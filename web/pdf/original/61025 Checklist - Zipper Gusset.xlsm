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3.xml" ContentType="application/vnd.openxmlformats-officedocument.spreadsheetml.comments+xml"/>
  <Override PartName="/xl/drawings/drawing2.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3.xml" ContentType="application/vnd.openxmlformats-officedocument.drawing+xml"/>
  <Override PartName="/xl/ctrlProps/ctrlProp29.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mc:AlternateContent xmlns:mc="http://schemas.openxmlformats.org/markup-compatibility/2006">
    <mc:Choice Requires="x15">
      <x15ac:absPath xmlns:x15ac="http://schemas.microsoft.com/office/spreadsheetml/2010/11/ac" url="H:\MK\Marketing Forms\Marketing\"/>
    </mc:Choice>
  </mc:AlternateContent>
  <bookViews>
    <workbookView xWindow="165" yWindow="300" windowWidth="15135" windowHeight="13740" tabRatio="796" firstSheet="2" activeTab="2"/>
  </bookViews>
  <sheets>
    <sheet name="Pouch Macros Data" sheetId="26" state="hidden" r:id="rId1"/>
    <sheet name="General Data" sheetId="28" state="hidden" r:id="rId2"/>
    <sheet name="Gusset Pouch" sheetId="8" r:id="rId3"/>
    <sheet name="ICM" sheetId="29" r:id="rId4"/>
    <sheet name="S+R" sheetId="32" r:id="rId5"/>
    <sheet name="Drawing" sheetId="30" r:id="rId6"/>
    <sheet name="GL Codes" sheetId="16" state="hidden" r:id="rId7"/>
    <sheet name="IN to MM" sheetId="27" state="hidden" r:id="rId8"/>
    <sheet name="Conversions" sheetId="21" r:id="rId9"/>
    <sheet name="Print Direction Chart" sheetId="31" r:id="rId10"/>
  </sheets>
  <definedNames>
    <definedName name="_xlnm.Print_Area" localSheetId="6">'GL Codes'!#REF!</definedName>
    <definedName name="_xlnm.Print_Area" localSheetId="2">'Gusset Pouch'!$A$1:$I$144</definedName>
  </definedNames>
  <calcPr calcId="171027" concurrentCalc="0"/>
</workbook>
</file>

<file path=xl/calcChain.xml><?xml version="1.0" encoding="utf-8"?>
<calcChain xmlns="http://schemas.openxmlformats.org/spreadsheetml/2006/main">
  <c r="I29" i="8" l="1"/>
  <c r="V33" i="29"/>
  <c r="M15" i="29"/>
  <c r="J15" i="29"/>
  <c r="F75" i="8"/>
  <c r="F89" i="8"/>
  <c r="G89" i="8"/>
  <c r="G75" i="8"/>
  <c r="F87" i="8"/>
  <c r="F73" i="8"/>
  <c r="F49" i="8"/>
  <c r="F47" i="8"/>
  <c r="C41" i="8"/>
  <c r="I43" i="8"/>
  <c r="F43" i="8"/>
  <c r="C45" i="8"/>
  <c r="C43" i="8"/>
  <c r="I41" i="8"/>
  <c r="F41" i="8"/>
  <c r="F39" i="8"/>
  <c r="C37" i="8"/>
  <c r="F37" i="8"/>
  <c r="I37" i="8"/>
  <c r="F35" i="8"/>
  <c r="I35" i="8"/>
  <c r="C33" i="8"/>
  <c r="I33" i="8"/>
  <c r="F23" i="8"/>
  <c r="F29" i="8"/>
  <c r="C29" i="8"/>
  <c r="I27" i="8"/>
  <c r="F27" i="8"/>
  <c r="C27" i="8"/>
  <c r="C25" i="8"/>
  <c r="I25" i="8"/>
  <c r="C23" i="8"/>
  <c r="I23" i="8"/>
  <c r="J12" i="26"/>
  <c r="J11" i="26"/>
  <c r="J9" i="26"/>
  <c r="J10" i="26"/>
  <c r="J8" i="26"/>
  <c r="I12" i="26"/>
  <c r="AE77" i="29"/>
  <c r="A58" i="8"/>
  <c r="AE71" i="29"/>
  <c r="AE69" i="29"/>
  <c r="AE75" i="29"/>
  <c r="AE79" i="29"/>
  <c r="AE73" i="29"/>
  <c r="V79" i="29"/>
  <c r="J77" i="29"/>
  <c r="J71" i="29"/>
  <c r="J69" i="29"/>
  <c r="J73" i="29"/>
  <c r="J75" i="29"/>
  <c r="J79" i="29"/>
  <c r="A79" i="29"/>
  <c r="AG7" i="32"/>
  <c r="G34" i="32"/>
  <c r="AG9" i="32"/>
  <c r="AG11" i="32"/>
  <c r="L6" i="26"/>
  <c r="L5" i="26"/>
  <c r="L4" i="26"/>
  <c r="K6" i="26"/>
  <c r="C5" i="26"/>
  <c r="B13" i="26"/>
  <c r="B12" i="26"/>
  <c r="B11" i="26"/>
  <c r="B10" i="26"/>
  <c r="B9" i="26"/>
  <c r="B8" i="26"/>
  <c r="B7" i="26"/>
  <c r="E5" i="26"/>
  <c r="M6" i="26"/>
  <c r="M5" i="26"/>
  <c r="K5" i="26"/>
  <c r="H10" i="26"/>
  <c r="H9" i="26"/>
  <c r="H8" i="26"/>
  <c r="H7" i="26"/>
  <c r="H6" i="26"/>
  <c r="H5" i="26"/>
  <c r="G20" i="26"/>
  <c r="G19" i="26"/>
  <c r="G18" i="26"/>
  <c r="G17" i="26"/>
  <c r="G16" i="26"/>
  <c r="G15" i="26"/>
  <c r="G14" i="26"/>
  <c r="G13" i="26"/>
  <c r="G12" i="26"/>
  <c r="G11" i="26"/>
  <c r="G10" i="26"/>
  <c r="G9" i="26"/>
  <c r="G8" i="26"/>
  <c r="G7" i="26"/>
  <c r="G6" i="26"/>
  <c r="G5" i="26"/>
  <c r="J7" i="26"/>
  <c r="J6" i="26"/>
  <c r="J5" i="26"/>
  <c r="N33" i="29"/>
  <c r="M4" i="26"/>
  <c r="H5" i="27"/>
  <c r="AG23" i="29"/>
  <c r="H6" i="27"/>
  <c r="H7" i="27"/>
  <c r="AG25" i="29"/>
  <c r="B6" i="27"/>
  <c r="B7" i="27"/>
  <c r="B9" i="27"/>
  <c r="B10" i="27"/>
  <c r="B11" i="27"/>
  <c r="B12" i="27"/>
  <c r="G25" i="29"/>
  <c r="E6" i="27"/>
  <c r="E7" i="27"/>
  <c r="E9" i="27"/>
  <c r="E10" i="27"/>
  <c r="E11" i="27"/>
  <c r="E12" i="27"/>
  <c r="T25" i="29"/>
  <c r="T23" i="29"/>
  <c r="G23" i="29"/>
  <c r="D14" i="26"/>
  <c r="AG31" i="29"/>
  <c r="T31" i="29"/>
  <c r="G31" i="29"/>
  <c r="T21" i="29"/>
  <c r="G21" i="29"/>
  <c r="G17" i="32"/>
  <c r="T17" i="32"/>
  <c r="I65" i="29"/>
  <c r="G73" i="8"/>
  <c r="I63" i="29"/>
  <c r="AD65" i="29"/>
  <c r="G87" i="8"/>
  <c r="AD63" i="29"/>
  <c r="Z65" i="29"/>
  <c r="Z63" i="29"/>
  <c r="E63" i="29"/>
  <c r="E65" i="29"/>
  <c r="T53" i="29"/>
  <c r="AG17" i="32"/>
  <c r="G3" i="29"/>
  <c r="G5" i="29"/>
  <c r="T3" i="32"/>
  <c r="W51" i="29"/>
  <c r="G11" i="32"/>
  <c r="J11" i="29"/>
  <c r="I9" i="32"/>
  <c r="G9" i="32"/>
  <c r="G7" i="32"/>
  <c r="AG3" i="32"/>
  <c r="AA28" i="32"/>
  <c r="AI28" i="32"/>
  <c r="P28" i="32"/>
  <c r="F28" i="32"/>
  <c r="AG23" i="32"/>
  <c r="T23" i="32"/>
  <c r="T21" i="32"/>
  <c r="AG19" i="32"/>
  <c r="B11" i="8"/>
  <c r="N57" i="29"/>
  <c r="E57" i="29"/>
  <c r="AI57" i="29"/>
  <c r="Z57" i="29"/>
  <c r="AI61" i="29"/>
  <c r="Z61" i="29"/>
  <c r="N61" i="29"/>
  <c r="E61" i="29"/>
  <c r="AA59" i="29"/>
  <c r="F59" i="29"/>
  <c r="AI53" i="29"/>
  <c r="E53" i="29"/>
  <c r="E51" i="29"/>
  <c r="AC87" i="29"/>
  <c r="V77" i="29"/>
  <c r="V71" i="29"/>
  <c r="V69" i="29"/>
  <c r="V75" i="29"/>
  <c r="V73" i="29"/>
  <c r="A71" i="29"/>
  <c r="A77" i="29"/>
  <c r="A75" i="29"/>
  <c r="A73" i="29"/>
  <c r="A69" i="29"/>
  <c r="AB47" i="29"/>
  <c r="K47" i="29"/>
  <c r="D47" i="29"/>
  <c r="Y45" i="29"/>
  <c r="S45" i="29"/>
  <c r="G45" i="29"/>
  <c r="AH43" i="29"/>
  <c r="X43" i="29"/>
  <c r="N43" i="29"/>
  <c r="G43" i="29"/>
  <c r="Q41" i="29"/>
  <c r="G41" i="29"/>
  <c r="T39" i="29"/>
  <c r="Q39" i="29"/>
  <c r="G39" i="29"/>
  <c r="T37" i="29"/>
  <c r="Q37" i="29"/>
  <c r="G37" i="29"/>
  <c r="AA35" i="29"/>
  <c r="G35" i="29"/>
  <c r="AA29" i="29"/>
  <c r="V15" i="29"/>
  <c r="AG13" i="29"/>
  <c r="G13" i="29"/>
  <c r="AG11" i="29"/>
  <c r="AG9" i="29"/>
  <c r="G9" i="29"/>
  <c r="T3" i="29"/>
  <c r="AG27" i="29"/>
  <c r="B6" i="26"/>
  <c r="D13" i="26"/>
  <c r="D12" i="26"/>
  <c r="I11" i="26"/>
  <c r="D11" i="26"/>
  <c r="I10" i="26"/>
  <c r="D10" i="26"/>
  <c r="I9" i="26"/>
  <c r="D9" i="26"/>
  <c r="I8" i="26"/>
  <c r="D8" i="26"/>
  <c r="I7" i="26"/>
  <c r="D7" i="26"/>
  <c r="I6" i="26"/>
  <c r="D6" i="26"/>
  <c r="A6" i="26"/>
  <c r="I5" i="26"/>
  <c r="F5" i="26"/>
  <c r="D5" i="26"/>
  <c r="B5" i="26"/>
  <c r="A5" i="26"/>
  <c r="K4" i="26"/>
  <c r="J4" i="26"/>
  <c r="I4" i="26"/>
  <c r="H4" i="26"/>
  <c r="G4" i="26"/>
  <c r="F4" i="26"/>
  <c r="E4" i="26"/>
  <c r="D4" i="26"/>
  <c r="C4" i="26"/>
  <c r="B4" i="26"/>
  <c r="A4" i="26"/>
  <c r="AG89" i="29"/>
  <c r="T89" i="29"/>
  <c r="G89" i="29"/>
  <c r="AJ87" i="29"/>
  <c r="G87" i="29"/>
  <c r="AG85" i="29"/>
  <c r="I85" i="29"/>
  <c r="G85" i="29"/>
  <c r="AG83" i="29"/>
  <c r="G83" i="29"/>
  <c r="T5" i="29"/>
  <c r="G76" i="8"/>
  <c r="G74" i="8"/>
  <c r="H4" i="21"/>
  <c r="H5" i="21"/>
  <c r="B14" i="21"/>
  <c r="B16" i="21"/>
  <c r="B17" i="21"/>
  <c r="B18" i="21"/>
  <c r="B19" i="21"/>
  <c r="B4" i="21"/>
  <c r="B6" i="21"/>
  <c r="B7" i="21"/>
  <c r="B8" i="21"/>
  <c r="B9" i="21"/>
  <c r="E4" i="21"/>
  <c r="E5" i="21"/>
  <c r="G29" i="29"/>
</calcChain>
</file>

<file path=xl/comments1.xml><?xml version="1.0" encoding="utf-8"?>
<comments xmlns="http://schemas.openxmlformats.org/spreadsheetml/2006/main">
  <authors>
    <author>Leann Chastko</author>
  </authors>
  <commentList>
    <comment ref="A1" authorId="0" shapeId="0">
      <text>
        <r>
          <rPr>
            <b/>
            <sz val="12"/>
            <color indexed="81"/>
            <rFont val="Arial"/>
            <charset val="204"/>
          </rPr>
          <t xml:space="preserve">Leann Chastko:
</t>
        </r>
        <r>
          <rPr>
            <sz val="12"/>
            <color indexed="81"/>
            <rFont val="Arial"/>
            <charset val="204"/>
          </rPr>
          <t xml:space="preserve">
Remember:
Originally I had the formulas in each of the cells in the top section corresponding with their counterpart cells in the two sections below so that when options are added to these lists in the future they will automatically be available on the Checklist. However 0's would appear in the drop down lists on the checkist which some users found confusing. So to resolve this issue, I used the two quotation marks "" in the formula to create blanks in the drop down list. Will have to remember this when options are added or changed.</t>
        </r>
      </text>
    </comment>
  </commentList>
</comments>
</file>

<file path=xl/comments2.xml><?xml version="1.0" encoding="utf-8"?>
<comments xmlns="http://schemas.openxmlformats.org/spreadsheetml/2006/main">
  <authors>
    <author>Leann Chastko</author>
  </authors>
  <commentList>
    <comment ref="C4" authorId="0" shapeId="0">
      <text>
        <r>
          <rPr>
            <b/>
            <sz val="9"/>
            <color indexed="81"/>
            <rFont val="Arial"/>
            <charset val="204"/>
          </rPr>
          <t>Leann Chastko:</t>
        </r>
        <r>
          <rPr>
            <sz val="9"/>
            <color indexed="81"/>
            <rFont val="Arial"/>
            <charset val="204"/>
          </rPr>
          <t xml:space="preserve">
Links to the new or repeat radial buttons on the checklist. Affects the population of new and repeat and number of plates, etc on the ICM.</t>
        </r>
      </text>
    </comment>
    <comment ref="C43" authorId="0" shapeId="0">
      <text>
        <r>
          <rPr>
            <b/>
            <sz val="9"/>
            <color indexed="81"/>
            <rFont val="Arial"/>
            <charset val="204"/>
          </rPr>
          <t>Leann Chastko:</t>
        </r>
        <r>
          <rPr>
            <sz val="9"/>
            <color indexed="81"/>
            <rFont val="Arial"/>
            <charset val="204"/>
          </rPr>
          <t xml:space="preserve">
Linked to checklist radial buttons for # of sides printed. This affects population of the image size fields on the ICM.</t>
        </r>
      </text>
    </comment>
  </commentList>
</comments>
</file>

<file path=xl/comments3.xml><?xml version="1.0" encoding="utf-8"?>
<comments xmlns="http://schemas.openxmlformats.org/spreadsheetml/2006/main">
  <authors>
    <author>Leann Chastko</author>
    <author>Winpak  Graphics</author>
  </authors>
  <commentList>
    <comment ref="J18" authorId="0" shapeId="0">
      <text>
        <r>
          <rPr>
            <b/>
            <sz val="9"/>
            <color indexed="81"/>
            <rFont val="Arial"/>
            <family val="2"/>
          </rPr>
          <t>Leann Chastko:</t>
        </r>
        <r>
          <rPr>
            <sz val="9"/>
            <color indexed="81"/>
            <rFont val="Arial"/>
            <family val="2"/>
          </rPr>
          <t xml:space="preserve">
Hidden cell link allows references the data for the drop downs on the checklist. The data is in a hidden sheet named Pouch Macros Data.</t>
        </r>
      </text>
    </comment>
    <comment ref="A23" authorId="1" shapeId="0">
      <text>
        <r>
          <rPr>
            <sz val="9"/>
            <color indexed="81"/>
            <rFont val="Arial"/>
            <family val="2"/>
          </rPr>
          <t>validation links to data sheet</t>
        </r>
      </text>
    </comment>
    <comment ref="E23" authorId="1" shapeId="0">
      <text>
        <r>
          <rPr>
            <sz val="9"/>
            <color indexed="81"/>
            <rFont val="Arial"/>
            <family val="2"/>
          </rPr>
          <t>validation links to data sheet</t>
        </r>
      </text>
    </comment>
    <comment ref="H23" authorId="1" shapeId="0">
      <text>
        <r>
          <rPr>
            <sz val="9"/>
            <color indexed="81"/>
            <rFont val="Arial"/>
            <family val="2"/>
          </rPr>
          <t>validation links to data sheet</t>
        </r>
      </text>
    </comment>
    <comment ref="A25" authorId="1" shapeId="0">
      <text>
        <r>
          <rPr>
            <sz val="9"/>
            <color indexed="81"/>
            <rFont val="Arial"/>
            <family val="2"/>
          </rPr>
          <t>validation links to data sheet</t>
        </r>
      </text>
    </comment>
    <comment ref="H25" authorId="1" shapeId="0">
      <text>
        <r>
          <rPr>
            <sz val="9"/>
            <color indexed="81"/>
            <rFont val="Arial"/>
            <family val="2"/>
          </rPr>
          <t>validation links to data sheet</t>
        </r>
      </text>
    </comment>
    <comment ref="A27" authorId="0" shapeId="0">
      <text>
        <r>
          <rPr>
            <sz val="9"/>
            <color indexed="81"/>
            <rFont val="Arial"/>
            <family val="2"/>
          </rPr>
          <t>validation links to data sheet</t>
        </r>
      </text>
    </comment>
    <comment ref="E27" authorId="0" shapeId="0">
      <text>
        <r>
          <rPr>
            <b/>
            <sz val="9"/>
            <color indexed="81"/>
            <rFont val="Arial"/>
            <family val="2"/>
          </rPr>
          <t>validation links to data sheet</t>
        </r>
      </text>
    </comment>
    <comment ref="H27" authorId="0" shapeId="0">
      <text>
        <r>
          <rPr>
            <b/>
            <sz val="9"/>
            <color indexed="81"/>
            <rFont val="Arial"/>
            <family val="2"/>
          </rPr>
          <t>validation links to data sheet</t>
        </r>
      </text>
    </comment>
    <comment ref="A29" authorId="1" shapeId="0">
      <text>
        <r>
          <rPr>
            <sz val="9"/>
            <color indexed="81"/>
            <rFont val="Arial"/>
            <family val="2"/>
          </rPr>
          <t>validation links to data sheet</t>
        </r>
      </text>
    </comment>
    <comment ref="E29" authorId="1" shapeId="0">
      <text>
        <r>
          <rPr>
            <sz val="9"/>
            <color indexed="81"/>
            <rFont val="Arial"/>
            <family val="2"/>
          </rPr>
          <t>validation links to data sheet</t>
        </r>
      </text>
    </comment>
    <comment ref="H29" authorId="1" shapeId="0">
      <text>
        <r>
          <rPr>
            <b/>
            <sz val="9"/>
            <color indexed="81"/>
            <rFont val="Arial"/>
            <family val="2"/>
          </rPr>
          <t>Winpak  Graphics:</t>
        </r>
        <r>
          <rPr>
            <sz val="9"/>
            <color indexed="81"/>
            <rFont val="Arial"/>
            <family val="2"/>
          </rPr>
          <t xml:space="preserve">
validation links to the data sheet</t>
        </r>
      </text>
    </comment>
    <comment ref="A37" authorId="1" shapeId="0">
      <text>
        <r>
          <rPr>
            <sz val="9"/>
            <color indexed="81"/>
            <rFont val="Arial"/>
            <family val="2"/>
          </rPr>
          <t>validation links to data sheet</t>
        </r>
      </text>
    </comment>
  </commentList>
</comments>
</file>

<file path=xl/sharedStrings.xml><?xml version="1.0" encoding="utf-8"?>
<sst xmlns="http://schemas.openxmlformats.org/spreadsheetml/2006/main" count="753" uniqueCount="569">
  <si>
    <t>Hamill, David</t>
  </si>
  <si>
    <t>0014</t>
  </si>
  <si>
    <t>Date Submitted:</t>
  </si>
  <si>
    <t>0485</t>
  </si>
  <si>
    <t>0584</t>
  </si>
  <si>
    <t>C.O. #:</t>
  </si>
  <si>
    <t>0572</t>
  </si>
  <si>
    <t>0454</t>
  </si>
  <si>
    <t>Coleman, Tom</t>
  </si>
  <si>
    <t>0463</t>
  </si>
  <si>
    <t>0494</t>
  </si>
  <si>
    <t>Print Cylinder:</t>
  </si>
  <si>
    <t>Repeat:</t>
  </si>
  <si>
    <t>0533</t>
  </si>
  <si>
    <t>0610</t>
  </si>
  <si>
    <t>0827</t>
  </si>
  <si>
    <t>Position of Wickets:</t>
  </si>
  <si>
    <t>0319</t>
  </si>
  <si>
    <t>0551</t>
  </si>
  <si>
    <t>0810</t>
  </si>
  <si>
    <t>0507</t>
  </si>
  <si>
    <t>Rondeau, Rick</t>
  </si>
  <si>
    <t>0808</t>
  </si>
  <si>
    <t>PRINT POSTION AND COLOURS</t>
  </si>
  <si>
    <t>0660</t>
  </si>
  <si>
    <t>0609</t>
  </si>
  <si>
    <t>Time Req'd:</t>
  </si>
  <si>
    <t>0811</t>
  </si>
  <si>
    <t>Maxwell, Colleen</t>
  </si>
  <si>
    <t>0013</t>
  </si>
  <si>
    <t>0334</t>
  </si>
  <si>
    <t>0574</t>
  </si>
  <si>
    <t>Customer Acct. #:</t>
  </si>
  <si>
    <t>0524</t>
  </si>
  <si>
    <t>0822</t>
  </si>
  <si>
    <t>0643</t>
  </si>
  <si>
    <t>Colours as per:</t>
  </si>
  <si>
    <t>LAYOUT SKETCH</t>
  </si>
  <si>
    <t>Position:</t>
  </si>
  <si>
    <t>Zipper Header Space:</t>
  </si>
  <si>
    <t>Polgardi, Nick</t>
  </si>
  <si>
    <t>0616</t>
  </si>
  <si>
    <t>Spot Black</t>
  </si>
  <si>
    <t>0496</t>
  </si>
  <si>
    <t>Tear Type:</t>
  </si>
  <si>
    <t>0411</t>
  </si>
  <si>
    <t>0480</t>
  </si>
  <si>
    <t>Kingston, Kraig</t>
  </si>
  <si>
    <t>Structure:</t>
  </si>
  <si>
    <t>Design Desc.:</t>
  </si>
  <si>
    <t>Riekes Material Handling</t>
  </si>
  <si>
    <t>SPECIFICATIONS</t>
  </si>
  <si>
    <t>0661</t>
  </si>
  <si>
    <t>0662</t>
  </si>
  <si>
    <t>0606</t>
  </si>
  <si>
    <t>0499</t>
  </si>
  <si>
    <t>0826</t>
  </si>
  <si>
    <t>Art as Per:</t>
  </si>
  <si>
    <t>0607</t>
  </si>
  <si>
    <t>0010</t>
  </si>
  <si>
    <t>0809</t>
  </si>
  <si>
    <t># Colours Changing:</t>
  </si>
  <si>
    <t>Reference PO:</t>
  </si>
  <si>
    <t>Date Required:</t>
  </si>
  <si>
    <t>Lip Type:</t>
  </si>
  <si>
    <t>West Coast Foodpak</t>
  </si>
  <si>
    <t>0011</t>
  </si>
  <si>
    <t>0444</t>
  </si>
  <si>
    <t>PO:</t>
  </si>
  <si>
    <t>Plates:</t>
  </si>
  <si>
    <t>0049</t>
  </si>
  <si>
    <t>0593</t>
  </si>
  <si>
    <t>Total # Items:</t>
  </si>
  <si>
    <t>0505</t>
  </si>
  <si>
    <t>Hohensinner, Scott</t>
  </si>
  <si>
    <t>0506</t>
  </si>
  <si>
    <t>House - US</t>
  </si>
  <si>
    <t>Jenkins, Sid</t>
  </si>
  <si>
    <t>Black / White</t>
  </si>
  <si>
    <t>12 x 6</t>
  </si>
  <si>
    <t>0490</t>
  </si>
  <si>
    <t>PRINTED INFORMATION / TEXT</t>
  </si>
  <si>
    <t>0005</t>
  </si>
  <si>
    <t>0052</t>
  </si>
  <si>
    <t>BACK PANEL:</t>
  </si>
  <si>
    <t>0669</t>
  </si>
  <si>
    <t>Guideline Colour:</t>
  </si>
  <si>
    <t>0829</t>
  </si>
  <si>
    <t>DATE, CHANGES, REMARKS</t>
  </si>
  <si>
    <t>0508</t>
  </si>
  <si>
    <t>0368</t>
  </si>
  <si>
    <t>0072</t>
  </si>
  <si>
    <t>0663</t>
  </si>
  <si>
    <t>Corners:</t>
  </si>
  <si>
    <t>0046</t>
  </si>
  <si>
    <t>Bergsma, Mark</t>
  </si>
  <si>
    <t># of Colours:</t>
  </si>
  <si>
    <t>Multivac Mexico</t>
  </si>
  <si>
    <t>0015</t>
  </si>
  <si>
    <t>0553</t>
  </si>
  <si>
    <t>Gach, Greg</t>
  </si>
  <si>
    <t>0335</t>
  </si>
  <si>
    <t>0362</t>
  </si>
  <si>
    <t>Billable Keys:</t>
  </si>
  <si>
    <t>Billable Plates:</t>
  </si>
  <si>
    <t>0474</t>
  </si>
  <si>
    <t>0626</t>
  </si>
  <si>
    <t>Print Direction Chart</t>
  </si>
  <si>
    <t>Cust. Item Desc.:</t>
  </si>
  <si>
    <t>Fill:</t>
  </si>
  <si>
    <t>0525</t>
  </si>
  <si>
    <t>Header Seal Size:</t>
  </si>
  <si>
    <t>Bottom Seal Size:</t>
  </si>
  <si>
    <t>Side Seal Size:</t>
  </si>
  <si>
    <t>Pkg Width (mm):</t>
  </si>
  <si>
    <t>0493</t>
  </si>
  <si>
    <t>0625</t>
  </si>
  <si>
    <t>0554</t>
  </si>
  <si>
    <t>0487</t>
  </si>
  <si>
    <t>Lip Size:</t>
  </si>
  <si>
    <t>0611</t>
  </si>
  <si>
    <t>FRONT PANEL COLOURS:</t>
  </si>
  <si>
    <t>0513</t>
  </si>
  <si>
    <t>Pkg Width (in):</t>
  </si>
  <si>
    <t>0500</t>
  </si>
  <si>
    <t>0511</t>
  </si>
  <si>
    <t>Clear</t>
  </si>
  <si>
    <t>White</t>
  </si>
  <si>
    <t>Eyespot Distance:</t>
  </si>
  <si>
    <t>0523</t>
  </si>
  <si>
    <t>Kelly, Roger</t>
  </si>
  <si>
    <t>0821</t>
  </si>
  <si>
    <t>0562</t>
  </si>
  <si>
    <t>0514</t>
  </si>
  <si>
    <t>0559</t>
  </si>
  <si>
    <t>0032</t>
  </si>
  <si>
    <t>Duerbig, Bill-Nelson PKG</t>
  </si>
  <si>
    <t>Zipper Style:</t>
  </si>
  <si>
    <t>Perforation Line or Laser Scored?</t>
  </si>
  <si>
    <t>0075</t>
  </si>
  <si>
    <t>0200</t>
  </si>
  <si>
    <t>Wicket Wires:</t>
  </si>
  <si>
    <t>Size (imperial):</t>
  </si>
  <si>
    <t xml:space="preserve">       </t>
  </si>
  <si>
    <t>0566</t>
  </si>
  <si>
    <t>0064</t>
  </si>
  <si>
    <t>0588</t>
  </si>
  <si>
    <t>Kuhn, Vance</t>
  </si>
  <si>
    <t>0452</t>
  </si>
  <si>
    <t>0502</t>
  </si>
  <si>
    <t>0542</t>
  </si>
  <si>
    <t>Pellerin, Phillippe</t>
  </si>
  <si>
    <t>Degassing Valve:</t>
  </si>
  <si>
    <t>0526</t>
  </si>
  <si>
    <t>Wetoska Packaging</t>
  </si>
  <si>
    <t>Pin Holes:</t>
  </si>
  <si>
    <t>Customer:</t>
  </si>
  <si>
    <t>0573</t>
  </si>
  <si>
    <t>0567</t>
  </si>
  <si>
    <t>0807</t>
  </si>
  <si>
    <t>0805</t>
  </si>
  <si>
    <t>0806</t>
  </si>
  <si>
    <t>0503</t>
  </si>
  <si>
    <t>RWC or New?:</t>
  </si>
  <si>
    <t>Type of Print :</t>
  </si>
  <si>
    <t>0645</t>
  </si>
  <si>
    <t>0646</t>
  </si>
  <si>
    <t>0637</t>
  </si>
  <si>
    <t xml:space="preserve">Duerbig, Bill </t>
  </si>
  <si>
    <t>Coordinator:</t>
  </si>
  <si>
    <t>Baker, Andrea LTD US$</t>
  </si>
  <si>
    <t>Print Centered
Between S. Seals:</t>
  </si>
  <si>
    <t>Horiz. Print Pos.
(if not centered):</t>
  </si>
  <si>
    <t>0516</t>
  </si>
  <si>
    <t>0561</t>
  </si>
  <si>
    <t>Print Centered
Top to Bottom:</t>
  </si>
  <si>
    <t>Vert. Print Pos.
(if not centered):</t>
  </si>
  <si>
    <t>0569</t>
  </si>
  <si>
    <t>0604</t>
  </si>
  <si>
    <t>0804</t>
  </si>
  <si>
    <t>Parsons, Keith</t>
  </si>
  <si>
    <t>Bleed:</t>
  </si>
  <si>
    <t>0812</t>
  </si>
  <si>
    <t>15 x 8</t>
  </si>
  <si>
    <t>19 x 7</t>
  </si>
  <si>
    <t>0023</t>
  </si>
  <si>
    <t>Design Name:</t>
  </si>
  <si>
    <t>Baker, Andrea</t>
  </si>
  <si>
    <t>0803</t>
  </si>
  <si>
    <t>Contract Proof</t>
  </si>
  <si>
    <t>FRONT PANEL:</t>
  </si>
  <si>
    <t>0047</t>
  </si>
  <si>
    <t>0628</t>
  </si>
  <si>
    <t>Haversack, Jeff</t>
  </si>
  <si>
    <t>0344</t>
  </si>
  <si>
    <t>Medical Packaging</t>
  </si>
  <si>
    <t>0664</t>
  </si>
  <si>
    <t>0666</t>
  </si>
  <si>
    <t>USDA # / EST #:</t>
  </si>
  <si>
    <t>N/A</t>
  </si>
  <si>
    <t>Black</t>
  </si>
  <si>
    <t>Blue</t>
  </si>
  <si>
    <t>0659</t>
  </si>
  <si>
    <t>G/L Code:</t>
  </si>
  <si>
    <t>6916/100</t>
  </si>
  <si>
    <t>P.C.:</t>
  </si>
  <si>
    <t>Type of Proof:</t>
  </si>
  <si>
    <t>Combo Step:</t>
  </si>
  <si>
    <t>Print:</t>
  </si>
  <si>
    <t>Northern Star</t>
  </si>
  <si>
    <t>0563</t>
  </si>
  <si>
    <t>UPC #:</t>
  </si>
  <si>
    <t>Pkg Length (in):</t>
  </si>
  <si>
    <t>Dupey Equipment</t>
  </si>
  <si>
    <t>Pkg Length (mm):</t>
  </si>
  <si>
    <t>Last ammended:</t>
  </si>
  <si>
    <t>0068</t>
  </si>
  <si>
    <t>Sharpless, Bill (WHS)</t>
  </si>
  <si>
    <t>'0073</t>
  </si>
  <si>
    <t>0079</t>
  </si>
  <si>
    <t>Carman, Ted</t>
  </si>
  <si>
    <t>McNeil, Don</t>
  </si>
  <si>
    <t>0658</t>
  </si>
  <si>
    <t>Horn, Justin</t>
  </si>
  <si>
    <t>0668</t>
  </si>
  <si>
    <t>0672</t>
  </si>
  <si>
    <t>0680</t>
  </si>
  <si>
    <t>0683</t>
  </si>
  <si>
    <t>Richardson, Eric</t>
  </si>
  <si>
    <t>0685</t>
  </si>
  <si>
    <t>0686</t>
  </si>
  <si>
    <t>Print Direction #
(Back):</t>
  </si>
  <si>
    <t>Movex #:</t>
  </si>
  <si>
    <t>Step AC:</t>
  </si>
  <si>
    <t>Pouches</t>
  </si>
  <si>
    <t>Width Inch to MM</t>
  </si>
  <si>
    <t>Lip</t>
  </si>
  <si>
    <t>Width (Inches)</t>
  </si>
  <si>
    <t>Inches</t>
  </si>
  <si>
    <t>Mmeters</t>
  </si>
  <si>
    <t>Length Inch to MM</t>
  </si>
  <si>
    <t>Length (Inches)</t>
  </si>
  <si>
    <t>RWC or New?</t>
  </si>
  <si>
    <t>BACK PANEL COLORUS:</t>
  </si>
  <si>
    <t>1 up PDF</t>
  </si>
  <si>
    <t>REVISED Contract Proof</t>
  </si>
  <si>
    <t>REVISED 1 up PDF</t>
  </si>
  <si>
    <t>100% Content Proof</t>
  </si>
  <si>
    <t>REVISED 100% Content Proof</t>
  </si>
  <si>
    <t>Other (see description)</t>
  </si>
  <si>
    <t>Hole Size:</t>
  </si>
  <si>
    <t>Image Width:</t>
  </si>
  <si>
    <t>Image Length:</t>
  </si>
  <si>
    <t>Centered S to S:</t>
  </si>
  <si>
    <t>Centered T to B:</t>
  </si>
  <si>
    <t>V Print Pos.:</t>
  </si>
  <si>
    <t>H Print Pos.:</t>
  </si>
  <si>
    <t>Checker:</t>
  </si>
  <si>
    <t>Operator:</t>
  </si>
  <si>
    <t>B Print Direction:</t>
  </si>
  <si>
    <t>LET'S TALK</t>
  </si>
  <si>
    <t>Conversion to MM</t>
  </si>
  <si>
    <t>Distortion %:</t>
  </si>
  <si>
    <t>Checklist Data</t>
  </si>
  <si>
    <t>ICM Data</t>
  </si>
  <si>
    <t>Image Sizes:</t>
  </si>
  <si>
    <t>Close &amp; Invoice</t>
  </si>
  <si>
    <t>Design Description / #.:</t>
  </si>
  <si>
    <t>Eyespot Colour:</t>
  </si>
  <si>
    <t>Eyespot Size:</t>
  </si>
  <si>
    <t># Eyes AC / Web:</t>
  </si>
  <si>
    <t>Position Eyes AR:</t>
  </si>
  <si>
    <t>Other:</t>
  </si>
  <si>
    <t>S+R SPECIFICATIONS:</t>
  </si>
  <si>
    <t>ADDITIONAL COMMENTS / INSTRUCTIONS:</t>
  </si>
  <si>
    <t>S+R Data</t>
  </si>
  <si>
    <t>Bleed</t>
  </si>
  <si>
    <t>2 mm left + right</t>
  </si>
  <si>
    <t>2 mm left + right and fill in web</t>
  </si>
  <si>
    <t>5 mm top + bottom and 2 mm left + right and fill in web</t>
  </si>
  <si>
    <t>Other (see comments / layout sketch)</t>
  </si>
  <si>
    <t>5 mm top + bottom</t>
  </si>
  <si>
    <t>5 mm top + bottom and 2 mm left + right</t>
  </si>
  <si>
    <t>Black / OL</t>
  </si>
  <si>
    <t>Black / White / OL</t>
  </si>
  <si>
    <t>Spot Black / White</t>
  </si>
  <si>
    <t>Green</t>
  </si>
  <si>
    <t>Brown</t>
  </si>
  <si>
    <t>Burgundy</t>
  </si>
  <si>
    <t>Red</t>
  </si>
  <si>
    <t>Eyespot Required?</t>
  </si>
  <si>
    <t>0675</t>
  </si>
  <si>
    <t>Wilson, Leslie (WFI)</t>
  </si>
  <si>
    <t>Print Direction #
(Front):</t>
  </si>
  <si>
    <t>See Comments</t>
  </si>
  <si>
    <t>Spot Black / OL</t>
  </si>
  <si>
    <t>Spot Black / White / OL</t>
  </si>
  <si>
    <t>0000</t>
  </si>
  <si>
    <t>Inter Co</t>
  </si>
  <si>
    <t>GUSSET / ZIPPER POUCH CHECKLIST</t>
  </si>
  <si>
    <t>REFERENCE LINKS</t>
  </si>
  <si>
    <t>BOTTOM GUSSET DATA</t>
  </si>
  <si>
    <t>SIDE GUSSET DATA</t>
  </si>
  <si>
    <t>Zipper:</t>
  </si>
  <si>
    <t>Gusset Style:</t>
  </si>
  <si>
    <t>Seal Type:</t>
  </si>
  <si>
    <t>Quad Seal Size:</t>
  </si>
  <si>
    <t>None</t>
  </si>
  <si>
    <t>Folded Bottom</t>
  </si>
  <si>
    <t>5 mm</t>
  </si>
  <si>
    <t>Top Fill</t>
  </si>
  <si>
    <t>Folded</t>
  </si>
  <si>
    <t>Quad - 1 Seal</t>
  </si>
  <si>
    <t>3/4" (19 mm)</t>
  </si>
  <si>
    <t>Separate Bottom</t>
  </si>
  <si>
    <t>8 mm</t>
  </si>
  <si>
    <t>Notch</t>
  </si>
  <si>
    <t>Yes - Open</t>
  </si>
  <si>
    <t>Bottom Fill</t>
  </si>
  <si>
    <t>3.4" (19 mm)</t>
  </si>
  <si>
    <t>Quad - 4 Seals</t>
  </si>
  <si>
    <t>3 mm</t>
  </si>
  <si>
    <t>1" (25 mm)</t>
  </si>
  <si>
    <t>10 mm</t>
  </si>
  <si>
    <t>Nick</t>
  </si>
  <si>
    <t>Yes - Closed</t>
  </si>
  <si>
    <t>4 mm</t>
  </si>
  <si>
    <t>13 mm</t>
  </si>
  <si>
    <t>6 mm</t>
  </si>
  <si>
    <t>16 mm (Std)</t>
  </si>
  <si>
    <t>1.5" (38 mm)</t>
  </si>
  <si>
    <t>16 mm</t>
  </si>
  <si>
    <t>20 mm</t>
  </si>
  <si>
    <t>1.75" (44 mm)</t>
  </si>
  <si>
    <t>32 mm</t>
  </si>
  <si>
    <t>7 mm</t>
  </si>
  <si>
    <t>25 mm</t>
  </si>
  <si>
    <t>2" (51 mm)</t>
  </si>
  <si>
    <t>50 mm</t>
  </si>
  <si>
    <t>2.5" (64 mm)</t>
  </si>
  <si>
    <t>9 mm</t>
  </si>
  <si>
    <t>2.75" (70 mm)</t>
  </si>
  <si>
    <t>Innoloc (Subcontracted)</t>
  </si>
  <si>
    <t>4" (102 mm)</t>
  </si>
  <si>
    <t>11 mm</t>
  </si>
  <si>
    <t>Slider (Subcontracted)</t>
  </si>
  <si>
    <t>12 mm</t>
  </si>
  <si>
    <t>14 mm</t>
  </si>
  <si>
    <t>15 mm</t>
  </si>
  <si>
    <t>17 mm</t>
  </si>
  <si>
    <t>18 mm</t>
  </si>
  <si>
    <r>
      <t xml:space="preserve">Seal Options:
</t>
    </r>
    <r>
      <rPr>
        <sz val="8"/>
        <color indexed="10"/>
        <rFont val="Arial"/>
        <charset val="204"/>
      </rPr>
      <t>(Side Gusset Only)</t>
    </r>
  </si>
  <si>
    <t>Hole or Handle Punch
Type and Size:</t>
  </si>
  <si>
    <t>Gusset</t>
  </si>
  <si>
    <t>Header / Bottom Seal Sizes:</t>
  </si>
  <si>
    <t>Gusset Size (mm):</t>
  </si>
  <si>
    <t>Gusset Size (in):</t>
  </si>
  <si>
    <t>Bottom Seal Sizes:</t>
  </si>
  <si>
    <t>Header Seal Sizes:</t>
  </si>
  <si>
    <t>Standard 1.25"
(32 mm)</t>
  </si>
  <si>
    <t>Other
(See Comments)</t>
  </si>
  <si>
    <t>Box, Brian</t>
  </si>
  <si>
    <t>0082</t>
  </si>
  <si>
    <t>Bennett, Kevin</t>
  </si>
  <si>
    <t>PROOF REQUIRED:</t>
  </si>
  <si>
    <t>Header / Bottom
Seal Size:</t>
  </si>
  <si>
    <t>Hole Punch Type/Size:</t>
  </si>
  <si>
    <t>Pouches / Wckt:</t>
  </si>
  <si>
    <t>Dist. from top of Lip (mm):</t>
  </si>
  <si>
    <t>Pin Hole(s):</t>
  </si>
  <si>
    <t>Pin Hole(s) Position:</t>
  </si>
  <si>
    <t>Degas. Valve Pos.:</t>
  </si>
  <si>
    <t>PRINT POSITION AND COLOURS:</t>
  </si>
  <si>
    <t>Total # Cols:</t>
  </si>
  <si>
    <t>Laminated to:</t>
  </si>
  <si>
    <t>Medical Application:</t>
  </si>
  <si>
    <r>
      <rPr>
        <b/>
        <sz val="7"/>
        <rFont val="Arial"/>
        <charset val="204"/>
      </rPr>
      <t>F</t>
    </r>
    <r>
      <rPr>
        <sz val="7"/>
        <rFont val="Arial"/>
        <charset val="204"/>
      </rPr>
      <t xml:space="preserve"> Print Direction:</t>
    </r>
  </si>
  <si>
    <t>DATE, REVISIONS, REMARKS</t>
  </si>
  <si>
    <t>C.O.#</t>
  </si>
  <si>
    <r>
      <t>Distance from top
of Lip (mm)</t>
    </r>
    <r>
      <rPr>
        <i/>
        <sz val="8"/>
        <rFont val="Arial"/>
        <charset val="204"/>
      </rPr>
      <t xml:space="preserve"> (fx):</t>
    </r>
  </si>
  <si>
    <r>
      <t xml:space="preserve">Zipper Header
Space (imperial) </t>
    </r>
    <r>
      <rPr>
        <i/>
        <sz val="8"/>
        <rFont val="Arial"/>
        <charset val="204"/>
      </rPr>
      <t>(fx)</t>
    </r>
    <r>
      <rPr>
        <sz val="8"/>
        <rFont val="Arial"/>
        <charset val="204"/>
      </rPr>
      <t>:</t>
    </r>
  </si>
  <si>
    <r>
      <t xml:space="preserve">Fill </t>
    </r>
    <r>
      <rPr>
        <i/>
        <sz val="8"/>
        <rFont val="Arial"/>
        <charset val="204"/>
      </rPr>
      <t>(fx)</t>
    </r>
    <r>
      <rPr>
        <sz val="8"/>
        <rFont val="Arial"/>
        <charset val="204"/>
      </rPr>
      <t>:</t>
    </r>
  </si>
  <si>
    <r>
      <t>Zipper Style</t>
    </r>
    <r>
      <rPr>
        <i/>
        <sz val="8"/>
        <rFont val="Arial"/>
        <charset val="204"/>
      </rPr>
      <t xml:space="preserve"> (fx)</t>
    </r>
    <r>
      <rPr>
        <sz val="8"/>
        <rFont val="Arial"/>
        <charset val="204"/>
      </rPr>
      <t>:</t>
    </r>
  </si>
  <si>
    <r>
      <t xml:space="preserve">Gusset Style </t>
    </r>
    <r>
      <rPr>
        <i/>
        <sz val="8"/>
        <rFont val="Arial"/>
        <charset val="204"/>
      </rPr>
      <t>(fx)</t>
    </r>
    <r>
      <rPr>
        <sz val="8"/>
        <rFont val="Arial"/>
        <charset val="204"/>
      </rPr>
      <t>:</t>
    </r>
  </si>
  <si>
    <r>
      <t xml:space="preserve">Quad Seal Size </t>
    </r>
    <r>
      <rPr>
        <i/>
        <sz val="8"/>
        <rFont val="Arial"/>
        <charset val="204"/>
      </rPr>
      <t>(fx)</t>
    </r>
    <r>
      <rPr>
        <sz val="8"/>
        <rFont val="Arial"/>
        <charset val="204"/>
      </rPr>
      <t xml:space="preserve">:
</t>
    </r>
    <r>
      <rPr>
        <sz val="8"/>
        <color indexed="10"/>
        <rFont val="Arial"/>
        <charset val="204"/>
      </rPr>
      <t>(Side Gusset Only)</t>
    </r>
  </si>
  <si>
    <r>
      <t xml:space="preserve">Side Seal Size </t>
    </r>
    <r>
      <rPr>
        <i/>
        <sz val="8"/>
        <rFont val="Arial"/>
        <charset val="204"/>
      </rPr>
      <t>(fx)</t>
    </r>
    <r>
      <rPr>
        <sz val="8"/>
        <rFont val="Arial"/>
        <charset val="204"/>
      </rPr>
      <t xml:space="preserve">:
</t>
    </r>
    <r>
      <rPr>
        <sz val="8"/>
        <color indexed="10"/>
        <rFont val="Arial"/>
        <charset val="204"/>
      </rPr>
      <t>(Bottom Gusset Only)</t>
    </r>
  </si>
  <si>
    <r>
      <t>Header Seal Size</t>
    </r>
    <r>
      <rPr>
        <i/>
        <sz val="8"/>
        <rFont val="Arial"/>
        <charset val="204"/>
      </rPr>
      <t xml:space="preserve"> (fx)</t>
    </r>
    <r>
      <rPr>
        <sz val="8"/>
        <rFont val="Arial"/>
        <charset val="204"/>
      </rPr>
      <t xml:space="preserve">:
</t>
    </r>
    <r>
      <rPr>
        <sz val="8"/>
        <color indexed="10"/>
        <rFont val="Arial"/>
        <charset val="204"/>
      </rPr>
      <t>(Bottom Fill Only)</t>
    </r>
  </si>
  <si>
    <r>
      <t xml:space="preserve">Lip Type </t>
    </r>
    <r>
      <rPr>
        <i/>
        <sz val="8"/>
        <rFont val="Arial"/>
        <charset val="204"/>
      </rPr>
      <t>(fx)</t>
    </r>
    <r>
      <rPr>
        <sz val="8"/>
        <rFont val="Arial"/>
        <charset val="204"/>
      </rPr>
      <t>:</t>
    </r>
  </si>
  <si>
    <r>
      <t xml:space="preserve">Lip Size </t>
    </r>
    <r>
      <rPr>
        <i/>
        <sz val="8"/>
        <rFont val="Arial"/>
        <charset val="204"/>
      </rPr>
      <t>(fx)</t>
    </r>
    <r>
      <rPr>
        <sz val="8"/>
        <rFont val="Arial"/>
        <charset val="204"/>
      </rPr>
      <t>:</t>
    </r>
  </si>
  <si>
    <r>
      <t xml:space="preserve">Position </t>
    </r>
    <r>
      <rPr>
        <i/>
        <sz val="8"/>
        <rFont val="Arial"/>
        <charset val="204"/>
      </rPr>
      <t>(fx)</t>
    </r>
    <r>
      <rPr>
        <sz val="8"/>
        <rFont val="Arial"/>
        <charset val="204"/>
      </rPr>
      <t>:</t>
    </r>
  </si>
  <si>
    <r>
      <t>Tear Type</t>
    </r>
    <r>
      <rPr>
        <i/>
        <sz val="8"/>
        <rFont val="Arial"/>
        <charset val="204"/>
      </rPr>
      <t xml:space="preserve"> (fx)</t>
    </r>
    <r>
      <rPr>
        <sz val="8"/>
        <rFont val="Arial"/>
        <charset val="204"/>
      </rPr>
      <t>:</t>
    </r>
  </si>
  <si>
    <r>
      <t>Wicket Wires</t>
    </r>
    <r>
      <rPr>
        <i/>
        <sz val="8"/>
        <rFont val="Arial"/>
        <charset val="204"/>
      </rPr>
      <t xml:space="preserve"> (fx)</t>
    </r>
    <r>
      <rPr>
        <sz val="8"/>
        <rFont val="Arial"/>
        <charset val="204"/>
      </rPr>
      <t>:</t>
    </r>
  </si>
  <si>
    <r>
      <t xml:space="preserve">Size (imperial) </t>
    </r>
    <r>
      <rPr>
        <i/>
        <sz val="8"/>
        <rFont val="Arial"/>
        <charset val="204"/>
      </rPr>
      <t>(fx)</t>
    </r>
    <r>
      <rPr>
        <sz val="8"/>
        <rFont val="Arial"/>
        <charset val="204"/>
      </rPr>
      <t>:</t>
    </r>
  </si>
  <si>
    <r>
      <t xml:space="preserve">Wicket Hole Size </t>
    </r>
    <r>
      <rPr>
        <i/>
        <sz val="8"/>
        <rFont val="Arial"/>
        <charset val="204"/>
      </rPr>
      <t>(fx)</t>
    </r>
    <r>
      <rPr>
        <sz val="8"/>
        <rFont val="Arial"/>
        <charset val="204"/>
      </rPr>
      <t>:</t>
    </r>
  </si>
  <si>
    <r>
      <t xml:space="preserve">Position of Wkts </t>
    </r>
    <r>
      <rPr>
        <i/>
        <sz val="8"/>
        <rFont val="Arial"/>
        <charset val="204"/>
      </rPr>
      <t>(fx)</t>
    </r>
    <r>
      <rPr>
        <sz val="8"/>
        <rFont val="Arial"/>
        <charset val="204"/>
      </rPr>
      <t>:</t>
    </r>
  </si>
  <si>
    <r>
      <t>Position</t>
    </r>
    <r>
      <rPr>
        <i/>
        <sz val="8"/>
        <rFont val="Arial"/>
        <charset val="204"/>
      </rPr>
      <t xml:space="preserve"> (fx)</t>
    </r>
    <r>
      <rPr>
        <sz val="8"/>
        <rFont val="Arial"/>
        <charset val="204"/>
      </rPr>
      <t>:</t>
    </r>
  </si>
  <si>
    <t>CELL LINK</t>
  </si>
  <si>
    <t>Standard</t>
  </si>
  <si>
    <t>Offset</t>
  </si>
  <si>
    <t>Double</t>
  </si>
  <si>
    <t>Velcro (Experimental)</t>
  </si>
  <si>
    <t>High Temp
(Tech Review Req'd)</t>
  </si>
  <si>
    <t>TD Zipper</t>
  </si>
  <si>
    <t>Perf or Laser Position:</t>
  </si>
  <si>
    <t>Back to Checklist</t>
  </si>
  <si>
    <t>Back to ICM</t>
  </si>
  <si>
    <t>Time Required:</t>
  </si>
  <si>
    <t># Across:</t>
  </si>
  <si>
    <t># Around:</t>
  </si>
  <si>
    <t>K Seal</t>
  </si>
  <si>
    <t>Bottom Tack Seal</t>
  </si>
  <si>
    <t>Top Tack Seal</t>
  </si>
  <si>
    <t>Pouch Style:</t>
  </si>
  <si>
    <t>See Drawing</t>
  </si>
  <si>
    <t>Back to S+R</t>
  </si>
  <si>
    <t>Quad Seal:</t>
  </si>
  <si>
    <t>Fin Seal:</t>
  </si>
  <si>
    <r>
      <t xml:space="preserve">Bottom Seal Size </t>
    </r>
    <r>
      <rPr>
        <i/>
        <sz val="8"/>
        <rFont val="Arial"/>
        <charset val="204"/>
      </rPr>
      <t>(fx)</t>
    </r>
    <r>
      <rPr>
        <sz val="8"/>
        <rFont val="Arial"/>
        <charset val="204"/>
      </rPr>
      <t xml:space="preserve">:
</t>
    </r>
    <r>
      <rPr>
        <sz val="8"/>
        <color indexed="10"/>
        <rFont val="Arial"/>
        <charset val="204"/>
      </rPr>
      <t>(Side Gusset Only)</t>
    </r>
  </si>
  <si>
    <t>INTERNAL CHANGE MEMO - GUSSET POUCH</t>
  </si>
  <si>
    <t>TRAPPING / STEP &amp; REPEAT - GUSSET POUCH</t>
  </si>
  <si>
    <t>Sales Rep #:</t>
  </si>
  <si>
    <r>
      <t>Pouches / Wkt</t>
    </r>
    <r>
      <rPr>
        <i/>
        <sz val="8"/>
        <rFont val="Arial"/>
        <charset val="204"/>
      </rPr>
      <t xml:space="preserve"> (fx)</t>
    </r>
    <r>
      <rPr>
        <sz val="8"/>
        <rFont val="Arial"/>
        <charset val="204"/>
      </rPr>
      <t>:</t>
    </r>
  </si>
  <si>
    <t>POUCH DIELINE SPECIFICATIONS - GUSSET POUCH:</t>
  </si>
  <si>
    <r>
      <t xml:space="preserve">Quad Seal (fx):
</t>
    </r>
    <r>
      <rPr>
        <sz val="8"/>
        <color indexed="10"/>
        <rFont val="Arial"/>
        <charset val="204"/>
      </rPr>
      <t>(Side Gusset Only)</t>
    </r>
  </si>
  <si>
    <r>
      <t xml:space="preserve">Quad Seal:
</t>
    </r>
    <r>
      <rPr>
        <sz val="7"/>
        <color indexed="10"/>
        <rFont val="Arial"/>
        <charset val="204"/>
      </rPr>
      <t>(Side Gusset Only)</t>
    </r>
  </si>
  <si>
    <r>
      <t xml:space="preserve">Quad Seal Size:
</t>
    </r>
    <r>
      <rPr>
        <sz val="7"/>
        <color indexed="10"/>
        <rFont val="Arial"/>
        <charset val="204"/>
      </rPr>
      <t>(Side Gusset Only)</t>
    </r>
  </si>
  <si>
    <r>
      <t xml:space="preserve">Fin Seal (fx):
</t>
    </r>
    <r>
      <rPr>
        <sz val="7"/>
        <color indexed="10"/>
        <rFont val="Arial"/>
        <charset val="204"/>
      </rPr>
      <t>(Side Gusset Only)</t>
    </r>
  </si>
  <si>
    <r>
      <t xml:space="preserve">Fin Seal Size </t>
    </r>
    <r>
      <rPr>
        <i/>
        <sz val="8"/>
        <rFont val="Arial"/>
        <charset val="204"/>
      </rPr>
      <t>(fx)</t>
    </r>
    <r>
      <rPr>
        <sz val="8"/>
        <rFont val="Arial"/>
        <charset val="204"/>
      </rPr>
      <t xml:space="preserve">:
</t>
    </r>
    <r>
      <rPr>
        <sz val="8"/>
        <color indexed="10"/>
        <rFont val="Arial"/>
        <charset val="204"/>
      </rPr>
      <t>(Side Gusset Only)</t>
    </r>
  </si>
  <si>
    <t>Pouch Length (in.):</t>
  </si>
  <si>
    <t>Pouch Width (in.):</t>
  </si>
  <si>
    <t>Gusset Size (in.):</t>
  </si>
  <si>
    <t>Mmeters - Width</t>
  </si>
  <si>
    <t xml:space="preserve"> Mmeters - Length</t>
  </si>
  <si>
    <t>Millimeters</t>
  </si>
  <si>
    <t>Millimeters - Width</t>
  </si>
  <si>
    <t>Millimeters - Length</t>
  </si>
  <si>
    <t>Bottom Gusset Seal Size</t>
  </si>
  <si>
    <r>
      <rPr>
        <sz val="8"/>
        <color indexed="10"/>
        <rFont val="Arial"/>
        <charset val="204"/>
      </rPr>
      <t>Bottom Gusset</t>
    </r>
    <r>
      <rPr>
        <sz val="8"/>
        <rFont val="Arial"/>
        <charset val="204"/>
      </rPr>
      <t xml:space="preserve">
Seal Size </t>
    </r>
    <r>
      <rPr>
        <i/>
        <sz val="8"/>
        <rFont val="Arial"/>
        <charset val="204"/>
      </rPr>
      <t>(fx)</t>
    </r>
    <r>
      <rPr>
        <sz val="8"/>
        <rFont val="Arial"/>
        <charset val="204"/>
      </rPr>
      <t>:</t>
    </r>
  </si>
  <si>
    <r>
      <t xml:space="preserve">Corners </t>
    </r>
    <r>
      <rPr>
        <i/>
        <sz val="8"/>
        <rFont val="Arial"/>
        <charset val="204"/>
      </rPr>
      <t>(fx)</t>
    </r>
    <r>
      <rPr>
        <sz val="8"/>
        <rFont val="Arial"/>
        <charset val="204"/>
      </rPr>
      <t>:</t>
    </r>
  </si>
  <si>
    <t>Bottom Gusset
Seal Size:</t>
  </si>
  <si>
    <t>Side Seal
Size:</t>
  </si>
  <si>
    <t>READ ME</t>
  </si>
  <si>
    <t>Besant, Steve - MB</t>
  </si>
  <si>
    <t>Graham, Robert (WPP-ON)</t>
  </si>
  <si>
    <t>Hurley, Steven</t>
  </si>
  <si>
    <t>Besant, Steve - AB, SK</t>
  </si>
  <si>
    <t>Hamill, David - LTD US$</t>
  </si>
  <si>
    <t>Carman, Ted - LTD US$</t>
  </si>
  <si>
    <t>McCormac, Frank</t>
  </si>
  <si>
    <t>Cameron, Herman (WFI)</t>
  </si>
  <si>
    <t>Matthews, Mike</t>
  </si>
  <si>
    <t>Johnson, Eric (WPP)</t>
  </si>
  <si>
    <t>Abernethy, Chip</t>
  </si>
  <si>
    <t>Fiedler, David (WFI)</t>
  </si>
  <si>
    <t>Cote, Jeff - Direct</t>
  </si>
  <si>
    <t>Scheiller, Al</t>
  </si>
  <si>
    <t>Jones, Greg - Dist</t>
  </si>
  <si>
    <t>Harrison, Ron - Dist</t>
  </si>
  <si>
    <t>Klips, Ryan - Dist</t>
  </si>
  <si>
    <t>House Texas Direct</t>
  </si>
  <si>
    <t>House Texas Distributors</t>
  </si>
  <si>
    <t>Cote, Jess - Dist</t>
  </si>
  <si>
    <t>Harrison, Ron - Direct</t>
  </si>
  <si>
    <t>House - Inc.</t>
  </si>
  <si>
    <t>Guerrerro, Bobby - Dist</t>
  </si>
  <si>
    <t>Sayad, David</t>
  </si>
  <si>
    <t>Briggs, Bob (WPP)</t>
  </si>
  <si>
    <t>Gregg, Darin</t>
  </si>
  <si>
    <t>Sattler, Barbara (WPP)</t>
  </si>
  <si>
    <t>Guerrerro, Bobby - Direct</t>
  </si>
  <si>
    <t>Vista International</t>
  </si>
  <si>
    <t>Smith, Matthew</t>
  </si>
  <si>
    <t>Woelfel, Terry</t>
  </si>
  <si>
    <t>Prena, Dan</t>
  </si>
  <si>
    <t>Rondeau, Rick - US$</t>
  </si>
  <si>
    <t>Lauck, Jacob</t>
  </si>
  <si>
    <t>Gustashaw, Ben - Direct</t>
  </si>
  <si>
    <t>Gustashaw, Ben - Dist</t>
  </si>
  <si>
    <t>Advanced Packaging</t>
  </si>
  <si>
    <t>Miller, Clyde Red</t>
  </si>
  <si>
    <t>Bobbs, Kathy (WFI)</t>
  </si>
  <si>
    <t>Butcher &amp; Packer</t>
  </si>
  <si>
    <t>Davis, Glenn</t>
  </si>
  <si>
    <t>Manley, Tom</t>
  </si>
  <si>
    <t>Topps, Chris</t>
  </si>
  <si>
    <t>0656</t>
  </si>
  <si>
    <t>Fenske, Kathy (WPP)</t>
  </si>
  <si>
    <t>Ruggiero, Peterson &amp; Assoc</t>
  </si>
  <si>
    <t>Packaging Resource LLC</t>
  </si>
  <si>
    <t>Cyrus, Jim</t>
  </si>
  <si>
    <t>Jones, Greg</t>
  </si>
  <si>
    <t>Toilette, Bud</t>
  </si>
  <si>
    <t>0676</t>
  </si>
  <si>
    <t>0677</t>
  </si>
  <si>
    <t>Johnson, Lance</t>
  </si>
  <si>
    <t>Wetoska Sales &amp; Service</t>
  </si>
  <si>
    <t>Colpack / Elore</t>
  </si>
  <si>
    <t>McNeil-Papetti, Don</t>
  </si>
  <si>
    <t>Wheeler, Britton</t>
  </si>
  <si>
    <t>0688</t>
  </si>
  <si>
    <t>0689</t>
  </si>
  <si>
    <t>0690</t>
  </si>
  <si>
    <t>Anderson, Chad</t>
  </si>
  <si>
    <t xml:space="preserve"> Argentina</t>
  </si>
  <si>
    <t xml:space="preserve"> Brazil</t>
  </si>
  <si>
    <t>Central America</t>
  </si>
  <si>
    <t>Columbia</t>
  </si>
  <si>
    <t>Costa Rica</t>
  </si>
  <si>
    <t>Equador</t>
  </si>
  <si>
    <t>Resendez - Sigma</t>
  </si>
  <si>
    <t>Peru</t>
  </si>
  <si>
    <t>South America</t>
  </si>
  <si>
    <t>Venezuela</t>
  </si>
  <si>
    <t>Foodtek Car (PR)</t>
  </si>
  <si>
    <t>Chile</t>
  </si>
  <si>
    <t>Garcia, Ian - Mexico</t>
  </si>
  <si>
    <t>Resendez</t>
  </si>
  <si>
    <t>0830</t>
  </si>
  <si>
    <t>0832</t>
  </si>
  <si>
    <t>Dominiccan Republic</t>
  </si>
  <si>
    <t>Swartz, Todd (WHS)</t>
  </si>
  <si>
    <t>0076</t>
  </si>
  <si>
    <t>Cutler, Dave (WPP)</t>
  </si>
  <si>
    <t>0684</t>
  </si>
  <si>
    <t>Bender, Greg 9WPP)</t>
  </si>
  <si>
    <t>McMacken, Paul</t>
  </si>
  <si>
    <t>0691</t>
  </si>
  <si>
    <t>Luciano, Sandra</t>
  </si>
  <si>
    <t>0084</t>
  </si>
  <si>
    <t>Carman, Ted - LTD $CAD</t>
  </si>
  <si>
    <t>0673</t>
  </si>
  <si>
    <t>Wheeler, Britton (Southwest)</t>
  </si>
  <si>
    <t>Romig, Bill</t>
  </si>
  <si>
    <t>McCormick, Kevin</t>
  </si>
  <si>
    <t>0333</t>
  </si>
  <si>
    <t>Gusset Printed or
Plain:</t>
  </si>
  <si>
    <t>Other (See Comments)</t>
  </si>
  <si>
    <t>Norm Rowe Distributors</t>
  </si>
  <si>
    <t>0086</t>
  </si>
  <si>
    <t>Guerrerro, Bobby - Dist LTD US$</t>
  </si>
  <si>
    <t>Foodtek - Carib. CDN$</t>
  </si>
  <si>
    <t>Prena, Dan CDN$</t>
  </si>
  <si>
    <t>Charlebois, MJ - CDN$</t>
  </si>
  <si>
    <t>Foodtek - Carib. US$</t>
  </si>
  <si>
    <t>Export Ltd.  - US$</t>
  </si>
  <si>
    <t>Bennett, Kevin - US$</t>
  </si>
  <si>
    <t>Hurley, Steven - US$</t>
  </si>
  <si>
    <t>Pellerin, Phillippe - US$</t>
  </si>
  <si>
    <t>Bennett, Kevin - LTD / US$</t>
  </si>
  <si>
    <t>Hurley, Steven - LTD  / US$</t>
  </si>
  <si>
    <t>Klips, Ryan US$</t>
  </si>
  <si>
    <t>Bergsma, MarK -  US$</t>
  </si>
  <si>
    <t>Besant, Steve - US$</t>
  </si>
  <si>
    <t>Andrea, Baker - Dist - LTD / US$</t>
  </si>
  <si>
    <t>Charlebois, MJ - US$</t>
  </si>
  <si>
    <t>Maxwell, Colleen - INC / US$</t>
  </si>
  <si>
    <t>0692</t>
  </si>
  <si>
    <t>Averwater, Lee</t>
  </si>
  <si>
    <t>Dunne, Keith</t>
  </si>
  <si>
    <t>June 9, 2014</t>
  </si>
  <si>
    <t>Surface with OL</t>
  </si>
  <si>
    <t>Surface without OL</t>
  </si>
  <si>
    <t>Surface at Pouch</t>
  </si>
  <si>
    <t>Sandwich with Matte OL - 2 pass</t>
  </si>
  <si>
    <t>Sandwich with Surface AND Reverse Plates</t>
  </si>
  <si>
    <t>Sandwich with Matte OL</t>
  </si>
  <si>
    <t>Sandwich</t>
  </si>
  <si>
    <t>Sandwich - 2 pass</t>
  </si>
  <si>
    <t>Print readable from sealable side (Surface Plates)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</si>
</sst>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mmmm\ d\,\ yyyy"/>
    <numFmt numFmtId="165" formatCode="0.000"/>
    <numFmt numFmtId="166" formatCode="d/mmm/yyyy"/>
  </numFmts>
  <fonts count="47" x14ac:knownFonts="1">
    <font>
      <sz val="10"/>
      <name val="Arial"/>
      <charset val="204"/>
    </font>
    <font>
      <sz val="10"/>
      <name val="Arial"/>
      <charset val="204"/>
    </font>
    <font>
      <sz val="12"/>
      <name val="Arial"/>
      <family val="2"/>
      <charset val="204"/>
    </font>
    <font>
      <b/>
      <sz val="12"/>
      <name val="Arial"/>
      <family val="2"/>
      <charset val="204"/>
    </font>
    <font>
      <sz val="8"/>
      <name val="Arial"/>
      <charset val="204"/>
    </font>
    <font>
      <u/>
      <sz val="15"/>
      <color indexed="12"/>
      <name val="Arial"/>
      <charset val="204"/>
    </font>
    <font>
      <b/>
      <sz val="10"/>
      <name val="Arial"/>
      <charset val="204"/>
    </font>
    <font>
      <sz val="9"/>
      <name val="Arial"/>
      <charset val="204"/>
    </font>
    <font>
      <sz val="10"/>
      <color indexed="9"/>
      <name val="Arial"/>
      <charset val="204"/>
    </font>
    <font>
      <b/>
      <sz val="11"/>
      <color indexed="9"/>
      <name val="Arial"/>
      <charset val="204"/>
    </font>
    <font>
      <b/>
      <sz val="9"/>
      <name val="Arial"/>
      <charset val="204"/>
    </font>
    <font>
      <b/>
      <u/>
      <sz val="9"/>
      <color indexed="9"/>
      <name val="Arial"/>
      <charset val="204"/>
    </font>
    <font>
      <sz val="10"/>
      <name val="Arial"/>
      <charset val="204"/>
    </font>
    <font>
      <i/>
      <sz val="8"/>
      <name val="Arial"/>
      <charset val="204"/>
    </font>
    <font>
      <b/>
      <sz val="14"/>
      <name val="Arial"/>
      <charset val="204"/>
    </font>
    <font>
      <b/>
      <sz val="8"/>
      <name val="Arial"/>
      <charset val="204"/>
    </font>
    <font>
      <b/>
      <sz val="14"/>
      <color indexed="9"/>
      <name val="Arial Bold"/>
      <charset val="204"/>
    </font>
    <font>
      <sz val="7"/>
      <name val="Arial"/>
      <charset val="204"/>
    </font>
    <font>
      <b/>
      <sz val="14"/>
      <color indexed="9"/>
      <name val="Arial"/>
      <charset val="204"/>
    </font>
    <font>
      <sz val="14"/>
      <name val="Arial"/>
      <charset val="204"/>
    </font>
    <font>
      <b/>
      <sz val="8.5"/>
      <name val="Arial"/>
      <charset val="204"/>
    </font>
    <font>
      <sz val="8.5"/>
      <name val="Arial"/>
      <charset val="204"/>
    </font>
    <font>
      <sz val="9"/>
      <name val="Arial Black"/>
    </font>
    <font>
      <b/>
      <sz val="9"/>
      <color indexed="81"/>
      <name val="Arial"/>
      <charset val="204"/>
    </font>
    <font>
      <sz val="9"/>
      <color indexed="81"/>
      <name val="Arial"/>
      <charset val="204"/>
    </font>
    <font>
      <sz val="8"/>
      <color indexed="10"/>
      <name val="Arial"/>
      <charset val="204"/>
    </font>
    <font>
      <sz val="10"/>
      <name val="Arial Black"/>
    </font>
    <font>
      <sz val="12"/>
      <name val="Arial Black"/>
    </font>
    <font>
      <b/>
      <sz val="7"/>
      <name val="Arial"/>
      <charset val="204"/>
    </font>
    <font>
      <sz val="13"/>
      <name val="Arial Black"/>
    </font>
    <font>
      <sz val="11"/>
      <name val="Arial Black"/>
    </font>
    <font>
      <u/>
      <sz val="9"/>
      <color indexed="12"/>
      <name val="Arial Black"/>
    </font>
    <font>
      <sz val="7"/>
      <color indexed="10"/>
      <name val="Arial"/>
      <charset val="204"/>
    </font>
    <font>
      <b/>
      <sz val="12"/>
      <color indexed="81"/>
      <name val="Arial"/>
      <charset val="204"/>
    </font>
    <font>
      <sz val="12"/>
      <color indexed="81"/>
      <name val="Arial"/>
      <charset val="204"/>
    </font>
    <font>
      <b/>
      <sz val="11"/>
      <name val="Arial"/>
      <charset val="204"/>
    </font>
    <font>
      <b/>
      <u/>
      <sz val="9"/>
      <color theme="8" tint="0.59999389629810485"/>
      <name val="Arial"/>
      <charset val="204"/>
    </font>
    <font>
      <b/>
      <sz val="10"/>
      <color theme="0"/>
      <name val="Arial"/>
      <charset val="204"/>
    </font>
    <font>
      <b/>
      <u/>
      <sz val="10"/>
      <color rgb="FFFFFF00"/>
      <name val="Arial"/>
      <charset val="204"/>
    </font>
    <font>
      <sz val="10"/>
      <color rgb="FFFF0000"/>
      <name val="Arial"/>
      <charset val="204"/>
    </font>
    <font>
      <b/>
      <sz val="10"/>
      <color rgb="FFFF0000"/>
      <name val="Arial"/>
      <charset val="204"/>
    </font>
    <font>
      <b/>
      <sz val="9"/>
      <color theme="8" tint="0.59999389629810485"/>
      <name val="Arial"/>
      <charset val="204"/>
    </font>
    <font>
      <b/>
      <sz val="9"/>
      <color rgb="FFFF0000"/>
      <name val="Arial"/>
      <charset val="204"/>
    </font>
    <font>
      <b/>
      <sz val="9"/>
      <color indexed="81"/>
      <name val="Arial"/>
      <family val="2"/>
    </font>
    <font>
      <sz val="9"/>
      <color indexed="81"/>
      <name val="Arial"/>
      <family val="2"/>
    </font>
    <font>
      <sz val="10"/>
      <color rgb="FF000000"/>
      <name val="Geneva"/>
      <family val="2"/>
    </font>
    <font>
      <b/>
      <sz val="8"/>
      <color rgb="FF808080"/>
      <name val="Arial"/>
      <family val="2"/>
    </font>
  </fonts>
  <fills count="19">
    <fill>
      <patternFill patternType="none"/>
    </fill>
    <fill>
      <patternFill patternType="gray125"/>
    </fill>
    <fill>
      <patternFill patternType="solid">
        <fgColor indexed="8"/>
        <bgColor indexed="64"/>
      </patternFill>
    </fill>
    <fill>
      <patternFill patternType="solid">
        <fgColor indexed="9"/>
        <bgColor indexed="64"/>
      </patternFill>
    </fill>
    <fill>
      <patternFill patternType="solid">
        <fgColor indexed="13"/>
        <bgColor indexed="64"/>
      </patternFill>
    </fill>
    <fill>
      <patternFill patternType="solid">
        <fgColor indexed="47"/>
        <bgColor indexed="64"/>
      </patternFill>
    </fill>
    <fill>
      <patternFill patternType="solid">
        <fgColor theme="8" tint="0.59999389629810485"/>
        <bgColor indexed="64"/>
      </patternFill>
    </fill>
    <fill>
      <patternFill patternType="solid">
        <fgColor theme="1"/>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2" tint="-9.9978637043366805E-2"/>
        <bgColor rgb="FF000000"/>
      </patternFill>
    </fill>
    <fill>
      <patternFill patternType="solid">
        <fgColor theme="0" tint="-0.14999847407452621"/>
        <bgColor indexed="64"/>
      </patternFill>
    </fill>
    <fill>
      <patternFill patternType="solid">
        <fgColor rgb="FFB7DEE8"/>
        <bgColor rgb="FF000000"/>
      </patternFill>
    </fill>
    <fill>
      <patternFill patternType="solid">
        <fgColor rgb="FFFFFF00"/>
        <bgColor indexed="64"/>
      </patternFill>
    </fill>
    <fill>
      <patternFill patternType="solid">
        <fgColor theme="4" tint="0.59999389629810485"/>
        <bgColor indexed="64"/>
      </patternFill>
    </fill>
    <fill>
      <patternFill patternType="solid">
        <fgColor theme="2"/>
        <bgColor indexed="64"/>
      </patternFill>
    </fill>
    <fill>
      <patternFill patternType="solid">
        <fgColor theme="3" tint="0.39997558519241921"/>
        <bgColor indexed="64"/>
      </patternFill>
    </fill>
    <fill>
      <patternFill patternType="solid">
        <fgColor rgb="FFFFFFFF"/>
        <bgColor rgb="FF000000"/>
      </patternFill>
    </fill>
  </fills>
  <borders count="50">
    <border>
      <left/>
      <right/>
      <top/>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style="thin">
        <color indexed="64"/>
      </bottom>
      <diagonal/>
    </border>
    <border>
      <left style="thin">
        <color indexed="55"/>
      </left>
      <right/>
      <top/>
      <bottom/>
      <diagonal/>
    </border>
    <border>
      <left/>
      <right style="thin">
        <color indexed="55"/>
      </right>
      <top/>
      <bottom/>
      <diagonal/>
    </border>
    <border>
      <left style="thin">
        <color indexed="55"/>
      </left>
      <right style="thin">
        <color indexed="55"/>
      </right>
      <top style="thin">
        <color indexed="55"/>
      </top>
      <bottom style="thin">
        <color indexed="55"/>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55"/>
      </left>
      <right/>
      <top style="thin">
        <color indexed="55"/>
      </top>
      <bottom/>
      <diagonal/>
    </border>
    <border>
      <left/>
      <right/>
      <top style="thin">
        <color indexed="55"/>
      </top>
      <bottom/>
      <diagonal/>
    </border>
    <border>
      <left/>
      <right style="thin">
        <color indexed="55"/>
      </right>
      <top style="thin">
        <color indexed="55"/>
      </top>
      <bottom/>
      <diagonal/>
    </border>
    <border>
      <left style="thin">
        <color indexed="55"/>
      </left>
      <right/>
      <top/>
      <bottom style="thin">
        <color indexed="55"/>
      </bottom>
      <diagonal/>
    </border>
    <border>
      <left/>
      <right/>
      <top/>
      <bottom style="thin">
        <color indexed="55"/>
      </bottom>
      <diagonal/>
    </border>
    <border>
      <left/>
      <right style="thin">
        <color indexed="55"/>
      </right>
      <top/>
      <bottom style="thin">
        <color indexed="55"/>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ck">
        <color indexed="64"/>
      </right>
      <top/>
      <bottom style="thick">
        <color indexed="64"/>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dotted">
        <color theme="0" tint="-0.14999847407452621"/>
      </top>
      <bottom style="dotted">
        <color theme="0" tint="-0.14999847407452621"/>
      </bottom>
      <diagonal/>
    </border>
    <border>
      <left/>
      <right/>
      <top style="dotted">
        <color theme="0" tint="-0.14999847407452621"/>
      </top>
      <bottom/>
      <diagonal/>
    </border>
    <border>
      <left style="thin">
        <color theme="0" tint="-0.34998626667073579"/>
      </left>
      <right/>
      <top/>
      <bottom/>
      <diagonal/>
    </border>
    <border>
      <left/>
      <right/>
      <top style="dotted">
        <color theme="0" tint="-0.249977111117893"/>
      </top>
      <bottom style="dotted">
        <color theme="0" tint="-0.249977111117893"/>
      </bottom>
      <diagonal/>
    </border>
    <border>
      <left/>
      <right style="thin">
        <color theme="0" tint="-0.34998626667073579"/>
      </right>
      <top/>
      <bottom/>
      <diagonal/>
    </border>
    <border>
      <left style="dotted">
        <color theme="0" tint="-0.249977111117893"/>
      </left>
      <right style="dotted">
        <color theme="0" tint="-0.249977111117893"/>
      </right>
      <top style="dotted">
        <color theme="0" tint="-0.249977111117893"/>
      </top>
      <bottom style="dotted">
        <color theme="0" tint="-0.249977111117893"/>
      </bottom>
      <diagonal/>
    </border>
    <border>
      <left style="dotted">
        <color theme="0" tint="-0.249977111117893"/>
      </left>
      <right style="dotted">
        <color theme="0" tint="-0.249977111117893"/>
      </right>
      <top style="dotted">
        <color theme="0" tint="-0.249977111117893"/>
      </top>
      <bottom/>
      <diagonal/>
    </border>
    <border>
      <left/>
      <right style="thin">
        <color rgb="FF969696"/>
      </right>
      <top style="thin">
        <color rgb="FF969696"/>
      </top>
      <bottom style="thin">
        <color rgb="FF969696"/>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rgb="FFA6A6A6"/>
      </top>
      <bottom style="thin">
        <color rgb="FFA6A6A6"/>
      </bottom>
      <diagonal/>
    </border>
    <border>
      <left/>
      <right/>
      <top/>
      <bottom style="dotted">
        <color theme="0" tint="-0.249977111117893"/>
      </bottom>
      <diagonal/>
    </border>
    <border>
      <left/>
      <right/>
      <top/>
      <bottom style="dotted">
        <color theme="0" tint="-0.14999847407452621"/>
      </bottom>
      <diagonal/>
    </border>
    <border>
      <left style="thin">
        <color rgb="FF969696"/>
      </left>
      <right/>
      <top style="thin">
        <color rgb="FF969696"/>
      </top>
      <bottom style="thin">
        <color rgb="FFA6A6A6"/>
      </bottom>
      <diagonal/>
    </border>
    <border>
      <left/>
      <right/>
      <top style="thin">
        <color rgb="FF969696"/>
      </top>
      <bottom style="thin">
        <color rgb="FFA6A6A6"/>
      </bottom>
      <diagonal/>
    </border>
    <border>
      <left style="thin">
        <color rgb="FF969696"/>
      </left>
      <right/>
      <top style="thin">
        <color rgb="FF969696"/>
      </top>
      <bottom style="thin">
        <color rgb="FF969696"/>
      </bottom>
      <diagonal/>
    </border>
    <border>
      <left/>
      <right/>
      <top style="thin">
        <color rgb="FF969696"/>
      </top>
      <bottom style="thin">
        <color rgb="FF969696"/>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rgb="FFA6A6A6"/>
      </left>
      <right/>
      <top style="thin">
        <color rgb="FFA6A6A6"/>
      </top>
      <bottom style="thin">
        <color rgb="FFA6A6A6"/>
      </bottom>
      <diagonal/>
    </border>
    <border>
      <left/>
      <right style="thin">
        <color rgb="FFA6A6A6"/>
      </right>
      <top style="thin">
        <color rgb="FFA6A6A6"/>
      </top>
      <bottom style="thin">
        <color rgb="FFA6A6A6"/>
      </bottom>
      <diagonal/>
    </border>
    <border>
      <left/>
      <right style="thin">
        <color theme="0" tint="-0.34998626667073579"/>
      </right>
      <top style="thin">
        <color theme="0" tint="-0.34998626667073579"/>
      </top>
      <bottom style="thin">
        <color theme="0" tint="-0.34998626667073579"/>
      </bottom>
      <diagonal/>
    </border>
  </borders>
  <cellStyleXfs count="2">
    <xf numFmtId="0" fontId="0" fillId="0" borderId="0"/>
    <xf numFmtId="0" fontId="5" fillId="0" borderId="0" applyNumberFormat="0" applyFill="0" applyBorder="0" applyAlignment="0" applyProtection="0">
      <alignment vertical="top"/>
      <protection locked="0"/>
    </xf>
  </cellStyleXfs>
  <cellXfs count="417">
    <xf numFmtId="0" fontId="0" fillId="0" borderId="0" xfId="0"/>
    <xf numFmtId="0" fontId="2" fillId="0" borderId="0" xfId="0" applyFont="1"/>
    <xf numFmtId="0" fontId="0" fillId="0" borderId="0" xfId="0" applyAlignment="1" applyProtection="1">
      <alignment vertical="center"/>
    </xf>
    <xf numFmtId="0" fontId="0" fillId="0" borderId="0" xfId="0" applyFill="1" applyBorder="1" applyAlignment="1" applyProtection="1">
      <alignment vertical="center"/>
    </xf>
    <xf numFmtId="0" fontId="8" fillId="2" borderId="0" xfId="0" applyFont="1" applyFill="1" applyAlignment="1" applyProtection="1">
      <alignment vertical="center"/>
    </xf>
    <xf numFmtId="0" fontId="0" fillId="0" borderId="0" xfId="0" applyFill="1" applyBorder="1" applyAlignment="1" applyProtection="1">
      <alignment horizontal="left" vertical="center"/>
    </xf>
    <xf numFmtId="0" fontId="7" fillId="0" borderId="0" xfId="0" applyFont="1"/>
    <xf numFmtId="0" fontId="0" fillId="3" borderId="0" xfId="0" applyFill="1" applyAlignment="1" applyProtection="1">
      <alignment vertical="center"/>
    </xf>
    <xf numFmtId="0" fontId="7" fillId="3" borderId="0" xfId="0" applyFont="1" applyFill="1" applyAlignment="1" applyProtection="1">
      <alignment vertical="center"/>
    </xf>
    <xf numFmtId="0" fontId="7" fillId="0" borderId="0" xfId="0" applyFont="1" applyFill="1" applyBorder="1" applyAlignment="1" applyProtection="1">
      <alignment vertical="center"/>
    </xf>
    <xf numFmtId="0" fontId="7" fillId="0" borderId="0" xfId="0" applyFont="1" applyAlignment="1" applyProtection="1">
      <alignment vertical="center"/>
    </xf>
    <xf numFmtId="0" fontId="7" fillId="0" borderId="0" xfId="0" applyFont="1" applyFill="1" applyAlignment="1" applyProtection="1">
      <alignment vertical="center"/>
    </xf>
    <xf numFmtId="0" fontId="0" fillId="0" borderId="0" xfId="0" applyFill="1" applyAlignment="1" applyProtection="1">
      <alignment vertical="center"/>
    </xf>
    <xf numFmtId="0" fontId="6" fillId="0" borderId="0" xfId="0" applyFont="1" applyFill="1" applyBorder="1" applyAlignment="1" applyProtection="1">
      <alignment vertical="center"/>
    </xf>
    <xf numFmtId="0" fontId="4" fillId="0" borderId="0" xfId="0" applyFont="1" applyFill="1" applyBorder="1" applyAlignment="1" applyProtection="1">
      <alignment horizontal="left" vertical="center"/>
    </xf>
    <xf numFmtId="0" fontId="4" fillId="0" borderId="1" xfId="0" applyFont="1" applyBorder="1" applyAlignment="1" applyProtection="1">
      <alignment vertical="center" wrapText="1"/>
    </xf>
    <xf numFmtId="0" fontId="4" fillId="0" borderId="1" xfId="0" applyFont="1" applyBorder="1" applyAlignment="1" applyProtection="1">
      <alignment vertical="center"/>
    </xf>
    <xf numFmtId="0" fontId="4" fillId="3" borderId="1" xfId="0" applyFont="1" applyFill="1" applyBorder="1" applyAlignment="1" applyProtection="1">
      <alignment vertical="center"/>
    </xf>
    <xf numFmtId="0" fontId="4" fillId="0" borderId="0" xfId="0" applyFont="1" applyAlignment="1" applyProtection="1">
      <alignment vertical="center"/>
    </xf>
    <xf numFmtId="0" fontId="4" fillId="0" borderId="0" xfId="0" applyFont="1" applyFill="1" applyBorder="1" applyAlignment="1" applyProtection="1">
      <alignment vertical="center"/>
    </xf>
    <xf numFmtId="0" fontId="4" fillId="3" borderId="0" xfId="0" applyFont="1" applyFill="1" applyAlignment="1" applyProtection="1">
      <alignment vertical="center"/>
    </xf>
    <xf numFmtId="0" fontId="4" fillId="3" borderId="0" xfId="0" applyFont="1" applyFill="1" applyBorder="1" applyAlignment="1" applyProtection="1">
      <alignment vertical="center"/>
    </xf>
    <xf numFmtId="0" fontId="4" fillId="0" borderId="0" xfId="0" applyFont="1" applyBorder="1" applyAlignment="1" applyProtection="1">
      <alignment vertical="center" wrapText="1"/>
    </xf>
    <xf numFmtId="0" fontId="10" fillId="0" borderId="0" xfId="0" applyFont="1" applyAlignment="1" applyProtection="1">
      <alignment vertical="center"/>
    </xf>
    <xf numFmtId="0" fontId="11" fillId="0" borderId="0" xfId="1" applyFont="1" applyFill="1" applyBorder="1" applyAlignment="1" applyProtection="1">
      <alignment horizontal="center" vertical="center" wrapText="1"/>
    </xf>
    <xf numFmtId="0" fontId="4" fillId="3" borderId="1" xfId="0" applyFont="1" applyFill="1" applyBorder="1" applyAlignment="1" applyProtection="1">
      <alignment horizontal="left" vertical="center"/>
    </xf>
    <xf numFmtId="0" fontId="4" fillId="3" borderId="0" xfId="0" applyFont="1" applyFill="1" applyAlignment="1" applyProtection="1">
      <alignment horizontal="left" vertical="center"/>
    </xf>
    <xf numFmtId="0" fontId="4" fillId="0" borderId="0" xfId="0" applyFont="1" applyFill="1" applyBorder="1" applyAlignment="1" applyProtection="1">
      <alignment vertical="center" wrapText="1"/>
    </xf>
    <xf numFmtId="0" fontId="4" fillId="0" borderId="0" xfId="0" applyFont="1" applyAlignment="1" applyProtection="1">
      <alignment horizontal="center" vertical="center"/>
    </xf>
    <xf numFmtId="0" fontId="4" fillId="0" borderId="1" xfId="0" applyFont="1" applyFill="1" applyBorder="1" applyAlignment="1" applyProtection="1">
      <alignment vertical="center"/>
    </xf>
    <xf numFmtId="0" fontId="10" fillId="3" borderId="0" xfId="0" applyFont="1" applyFill="1" applyAlignment="1" applyProtection="1">
      <alignment vertical="center"/>
    </xf>
    <xf numFmtId="0" fontId="12" fillId="3" borderId="0" xfId="0" applyFont="1" applyFill="1" applyAlignment="1" applyProtection="1">
      <alignment vertical="center"/>
    </xf>
    <xf numFmtId="0" fontId="10" fillId="0" borderId="0" xfId="0" applyFont="1" applyFill="1" applyBorder="1" applyAlignment="1" applyProtection="1">
      <alignment horizontal="left" vertical="center"/>
    </xf>
    <xf numFmtId="0" fontId="6" fillId="0" borderId="0" xfId="0" applyFont="1" applyFill="1" applyBorder="1" applyAlignment="1" applyProtection="1">
      <alignment horizontal="left" vertical="center"/>
    </xf>
    <xf numFmtId="0" fontId="4" fillId="0" borderId="1" xfId="0" applyFont="1" applyFill="1" applyBorder="1" applyAlignment="1" applyProtection="1">
      <alignment horizontal="left" vertical="center" shrinkToFit="1"/>
    </xf>
    <xf numFmtId="0" fontId="6" fillId="3" borderId="0" xfId="0" applyFont="1" applyFill="1" applyAlignment="1" applyProtection="1">
      <alignment vertical="center"/>
    </xf>
    <xf numFmtId="0" fontId="12" fillId="0" borderId="0" xfId="0" applyFont="1" applyAlignment="1" applyProtection="1">
      <alignment vertical="center"/>
    </xf>
    <xf numFmtId="0" fontId="13" fillId="0" borderId="0" xfId="0" applyFont="1" applyBorder="1" applyAlignment="1" applyProtection="1">
      <alignment horizontal="center" vertical="center"/>
    </xf>
    <xf numFmtId="0" fontId="4" fillId="0" borderId="0" xfId="0" applyFont="1" applyBorder="1" applyAlignment="1" applyProtection="1">
      <alignment horizontal="center" vertical="center"/>
    </xf>
    <xf numFmtId="0" fontId="6" fillId="0" borderId="0" xfId="0" applyFont="1" applyFill="1" applyBorder="1" applyAlignment="1" applyProtection="1">
      <alignment horizontal="left" vertical="center" shrinkToFit="1"/>
    </xf>
    <xf numFmtId="1" fontId="6" fillId="0" borderId="0" xfId="0" applyNumberFormat="1" applyFont="1" applyFill="1" applyBorder="1" applyAlignment="1" applyProtection="1">
      <alignment horizontal="left" vertical="center"/>
    </xf>
    <xf numFmtId="0" fontId="7" fillId="3" borderId="0" xfId="0" applyFont="1" applyFill="1" applyAlignment="1" applyProtection="1">
      <alignment horizontal="left" vertical="center"/>
    </xf>
    <xf numFmtId="0" fontId="6" fillId="0" borderId="2" xfId="0" applyFont="1" applyFill="1" applyBorder="1" applyAlignment="1" applyProtection="1">
      <alignment horizontal="left" vertical="center" shrinkToFit="1"/>
    </xf>
    <xf numFmtId="0" fontId="6" fillId="0" borderId="2" xfId="0" applyFont="1" applyFill="1" applyBorder="1" applyAlignment="1" applyProtection="1">
      <alignment vertical="center" shrinkToFit="1"/>
    </xf>
    <xf numFmtId="0" fontId="7" fillId="3" borderId="0" xfId="0" applyFont="1" applyFill="1" applyBorder="1" applyAlignment="1" applyProtection="1">
      <alignment horizontal="left" vertical="center"/>
    </xf>
    <xf numFmtId="0" fontId="6" fillId="0" borderId="0" xfId="0" applyFont="1" applyFill="1" applyBorder="1" applyAlignment="1" applyProtection="1">
      <alignment horizontal="left" vertical="center" wrapText="1"/>
    </xf>
    <xf numFmtId="0" fontId="1" fillId="0" borderId="0" xfId="0" applyFont="1" applyAlignment="1" applyProtection="1">
      <alignment vertical="center"/>
    </xf>
    <xf numFmtId="0" fontId="0" fillId="0" borderId="0" xfId="0" applyAlignment="1" applyProtection="1">
      <alignment horizontal="center" vertical="center"/>
    </xf>
    <xf numFmtId="0" fontId="0" fillId="0" borderId="0" xfId="0" applyFill="1" applyBorder="1" applyAlignment="1" applyProtection="1">
      <alignment horizontal="left" vertical="top" wrapText="1"/>
    </xf>
    <xf numFmtId="0" fontId="6" fillId="6" borderId="3" xfId="0" applyFont="1" applyFill="1" applyBorder="1" applyAlignment="1" applyProtection="1">
      <alignment horizontal="left" vertical="center"/>
      <protection locked="0"/>
    </xf>
    <xf numFmtId="49" fontId="6" fillId="6" borderId="3" xfId="0" applyNumberFormat="1" applyFont="1" applyFill="1" applyBorder="1" applyAlignment="1" applyProtection="1">
      <alignment horizontal="left" vertical="center"/>
      <protection locked="0"/>
    </xf>
    <xf numFmtId="1" fontId="6" fillId="6" borderId="3" xfId="0" applyNumberFormat="1" applyFont="1" applyFill="1" applyBorder="1" applyAlignment="1" applyProtection="1">
      <alignment horizontal="left" vertical="center"/>
      <protection locked="0"/>
    </xf>
    <xf numFmtId="0" fontId="36" fillId="2" borderId="0" xfId="1" applyFont="1" applyFill="1" applyBorder="1" applyAlignment="1" applyProtection="1">
      <alignment horizontal="center" vertical="center" wrapText="1"/>
    </xf>
    <xf numFmtId="0" fontId="0" fillId="0" borderId="4" xfId="0" quotePrefix="1" applyFill="1" applyBorder="1" applyAlignment="1">
      <alignment horizontal="center" vertical="center"/>
    </xf>
    <xf numFmtId="0" fontId="0" fillId="0" borderId="4" xfId="0" applyFill="1" applyBorder="1" applyAlignment="1">
      <alignment horizontal="left" vertical="center" indent="1"/>
    </xf>
    <xf numFmtId="0" fontId="0" fillId="0" borderId="0" xfId="0" applyAlignment="1">
      <alignment vertical="center"/>
    </xf>
    <xf numFmtId="0" fontId="0" fillId="0" borderId="4" xfId="0" applyFill="1" applyBorder="1" applyAlignment="1">
      <alignment horizontal="center" vertical="center"/>
    </xf>
    <xf numFmtId="0" fontId="0" fillId="0" borderId="4" xfId="0" applyFont="1" applyFill="1" applyBorder="1" applyAlignment="1">
      <alignment horizontal="left" vertical="center" indent="1"/>
    </xf>
    <xf numFmtId="0" fontId="0" fillId="0" borderId="0" xfId="0" applyBorder="1"/>
    <xf numFmtId="0" fontId="0" fillId="0" borderId="0" xfId="0" applyBorder="1" applyAlignment="1">
      <alignment horizontal="left" indent="1"/>
    </xf>
    <xf numFmtId="0" fontId="6" fillId="0" borderId="0" xfId="0" applyFont="1" applyFill="1" applyBorder="1" applyAlignment="1" applyProtection="1">
      <alignment vertical="center" shrinkToFit="1"/>
    </xf>
    <xf numFmtId="0" fontId="16" fillId="2" borderId="0" xfId="0" applyFont="1" applyFill="1" applyAlignment="1" applyProtection="1">
      <alignment vertical="center"/>
    </xf>
    <xf numFmtId="0" fontId="6" fillId="0" borderId="2" xfId="0" applyFont="1" applyBorder="1" applyAlignment="1">
      <alignment horizontal="left" vertical="center"/>
    </xf>
    <xf numFmtId="0" fontId="9" fillId="2" borderId="0" xfId="0" applyFont="1" applyFill="1" applyAlignment="1" applyProtection="1">
      <alignment horizontal="left" vertical="center"/>
    </xf>
    <xf numFmtId="0" fontId="0" fillId="0" borderId="0" xfId="0" applyAlignment="1">
      <alignment horizontal="center"/>
    </xf>
    <xf numFmtId="0" fontId="6" fillId="0" borderId="4" xfId="0" applyFont="1" applyBorder="1" applyAlignment="1">
      <alignment horizontal="center"/>
    </xf>
    <xf numFmtId="0" fontId="6" fillId="0" borderId="0" xfId="0" applyFont="1" applyAlignment="1">
      <alignment horizontal="center"/>
    </xf>
    <xf numFmtId="0" fontId="0" fillId="4" borderId="0" xfId="0" applyFill="1"/>
    <xf numFmtId="0" fontId="0" fillId="5" borderId="0" xfId="0" applyFill="1"/>
    <xf numFmtId="0" fontId="0" fillId="0" borderId="0" xfId="0" applyFill="1"/>
    <xf numFmtId="0" fontId="0" fillId="4" borderId="0" xfId="0" applyFill="1" applyProtection="1">
      <protection locked="0"/>
    </xf>
    <xf numFmtId="0" fontId="0" fillId="7" borderId="0" xfId="0" applyFill="1" applyAlignment="1">
      <alignment vertical="center"/>
    </xf>
    <xf numFmtId="0" fontId="17" fillId="8" borderId="23" xfId="0" applyFont="1" applyFill="1" applyBorder="1" applyAlignment="1">
      <alignment vertical="center"/>
    </xf>
    <xf numFmtId="0" fontId="17" fillId="8" borderId="24" xfId="0" applyFont="1" applyFill="1" applyBorder="1" applyAlignment="1">
      <alignment vertical="center"/>
    </xf>
    <xf numFmtId="0" fontId="0" fillId="8" borderId="24" xfId="0" applyFill="1" applyBorder="1" applyAlignment="1">
      <alignment vertical="center"/>
    </xf>
    <xf numFmtId="0" fontId="0" fillId="0" borderId="0" xfId="0" applyFill="1" applyBorder="1" applyAlignment="1">
      <alignment vertical="center"/>
    </xf>
    <xf numFmtId="0" fontId="0" fillId="0" borderId="0" xfId="0" applyFill="1" applyAlignment="1">
      <alignment vertical="center"/>
    </xf>
    <xf numFmtId="0" fontId="0" fillId="7" borderId="0" xfId="0" applyFill="1" applyBorder="1" applyAlignment="1">
      <alignment vertical="center"/>
    </xf>
    <xf numFmtId="0" fontId="14" fillId="8" borderId="23" xfId="0" applyFont="1" applyFill="1" applyBorder="1" applyAlignment="1">
      <alignment vertical="center"/>
    </xf>
    <xf numFmtId="0" fontId="6" fillId="8" borderId="24" xfId="0" applyFont="1" applyFill="1" applyBorder="1" applyAlignment="1">
      <alignment vertical="center"/>
    </xf>
    <xf numFmtId="0" fontId="37" fillId="7" borderId="0" xfId="0" applyFont="1" applyFill="1" applyAlignment="1">
      <alignment vertical="center"/>
    </xf>
    <xf numFmtId="0" fontId="17" fillId="0" borderId="0" xfId="0" applyFont="1" applyAlignment="1">
      <alignment vertical="center"/>
    </xf>
    <xf numFmtId="0" fontId="17" fillId="0" borderId="23" xfId="0" applyFont="1" applyBorder="1" applyAlignment="1">
      <alignment vertical="center"/>
    </xf>
    <xf numFmtId="0" fontId="17" fillId="0" borderId="24" xfId="0" applyFont="1" applyBorder="1" applyAlignment="1">
      <alignment vertical="center"/>
    </xf>
    <xf numFmtId="0" fontId="17" fillId="0" borderId="23" xfId="0" applyFont="1" applyFill="1" applyBorder="1" applyAlignment="1">
      <alignment vertical="center"/>
    </xf>
    <xf numFmtId="0" fontId="0" fillId="0" borderId="25" xfId="0" applyBorder="1" applyAlignment="1">
      <alignment vertical="center"/>
    </xf>
    <xf numFmtId="0" fontId="0" fillId="0" borderId="26" xfId="0" applyBorder="1" applyAlignment="1">
      <alignment vertical="center"/>
    </xf>
    <xf numFmtId="0" fontId="7" fillId="9" borderId="0" xfId="0" applyFont="1" applyFill="1"/>
    <xf numFmtId="0" fontId="0" fillId="0" borderId="27" xfId="0" applyBorder="1"/>
    <xf numFmtId="0" fontId="0" fillId="0" borderId="24" xfId="0" applyBorder="1"/>
    <xf numFmtId="0" fontId="0" fillId="0" borderId="0" xfId="0" applyAlignment="1"/>
    <xf numFmtId="0" fontId="0" fillId="0" borderId="0" xfId="0" applyBorder="1" applyAlignment="1">
      <alignment vertical="center"/>
    </xf>
    <xf numFmtId="0" fontId="17" fillId="8" borderId="0" xfId="0" applyFont="1" applyFill="1" applyBorder="1" applyAlignment="1">
      <alignment vertical="center"/>
    </xf>
    <xf numFmtId="0" fontId="20" fillId="0" borderId="0" xfId="0" applyFont="1" applyFill="1" applyBorder="1" applyAlignment="1" applyProtection="1">
      <alignment horizontal="left" vertical="center"/>
      <protection locked="0"/>
    </xf>
    <xf numFmtId="0" fontId="20" fillId="0" borderId="0" xfId="0" applyFont="1" applyFill="1" applyBorder="1" applyAlignment="1">
      <alignment horizontal="left" vertical="center"/>
    </xf>
    <xf numFmtId="0" fontId="20" fillId="0" borderId="24" xfId="0" applyFont="1" applyFill="1" applyBorder="1" applyAlignment="1" applyProtection="1">
      <alignment vertical="center"/>
      <protection locked="0"/>
    </xf>
    <xf numFmtId="0" fontId="20" fillId="0" borderId="0" xfId="0" applyFont="1" applyFill="1" applyBorder="1" applyAlignment="1" applyProtection="1">
      <alignment vertical="center"/>
      <protection locked="0"/>
    </xf>
    <xf numFmtId="0" fontId="10" fillId="9" borderId="0" xfId="0" applyFont="1" applyFill="1"/>
    <xf numFmtId="0" fontId="17" fillId="0" borderId="24" xfId="0" applyFont="1" applyFill="1" applyBorder="1" applyAlignment="1">
      <alignment vertical="center"/>
    </xf>
    <xf numFmtId="0" fontId="0" fillId="0" borderId="24" xfId="0" applyFill="1" applyBorder="1"/>
    <xf numFmtId="0" fontId="0" fillId="0" borderId="28" xfId="0" applyBorder="1" applyAlignment="1">
      <alignment vertical="center"/>
    </xf>
    <xf numFmtId="0" fontId="0" fillId="0" borderId="29" xfId="0" applyBorder="1" applyAlignment="1">
      <alignment vertical="center"/>
    </xf>
    <xf numFmtId="0" fontId="0" fillId="0" borderId="30" xfId="0" applyBorder="1" applyAlignment="1">
      <alignment vertical="center"/>
    </xf>
    <xf numFmtId="0" fontId="0" fillId="0" borderId="31" xfId="0" applyBorder="1" applyAlignment="1">
      <alignment vertical="center"/>
    </xf>
    <xf numFmtId="0" fontId="4" fillId="0" borderId="0" xfId="0" applyFont="1" applyProtection="1">
      <protection locked="0"/>
    </xf>
    <xf numFmtId="0" fontId="4" fillId="0" borderId="0" xfId="0" applyFont="1" applyBorder="1" applyAlignment="1" applyProtection="1">
      <alignment wrapText="1"/>
      <protection locked="0"/>
    </xf>
    <xf numFmtId="0" fontId="4" fillId="3" borderId="1" xfId="0" applyFont="1" applyFill="1" applyBorder="1" applyAlignment="1" applyProtection="1">
      <alignment horizontal="left" vertical="center" wrapText="1"/>
    </xf>
    <xf numFmtId="0" fontId="4" fillId="0" borderId="1" xfId="0" applyFont="1" applyFill="1" applyBorder="1" applyAlignment="1" applyProtection="1">
      <alignment horizontal="left" vertical="center" wrapText="1"/>
    </xf>
    <xf numFmtId="0" fontId="4" fillId="0" borderId="1" xfId="0" applyFont="1" applyFill="1" applyBorder="1" applyAlignment="1">
      <alignment vertical="center" wrapText="1"/>
    </xf>
    <xf numFmtId="0" fontId="4" fillId="0" borderId="1" xfId="0" applyFont="1" applyFill="1" applyBorder="1" applyAlignment="1" applyProtection="1">
      <alignment vertical="center" wrapText="1"/>
    </xf>
    <xf numFmtId="0" fontId="7" fillId="0" borderId="0" xfId="0" applyFont="1" applyFill="1" applyBorder="1" applyProtection="1">
      <protection locked="0"/>
    </xf>
    <xf numFmtId="0" fontId="7" fillId="0" borderId="0" xfId="0" applyFont="1" applyFill="1" applyBorder="1" applyAlignment="1" applyProtection="1">
      <alignment wrapText="1"/>
      <protection locked="0"/>
    </xf>
    <xf numFmtId="0" fontId="10" fillId="9" borderId="0" xfId="0" applyFont="1" applyFill="1" applyBorder="1" applyAlignment="1" applyProtection="1">
      <protection locked="0"/>
    </xf>
    <xf numFmtId="0" fontId="10" fillId="6" borderId="3" xfId="0" applyFont="1" applyFill="1" applyBorder="1" applyAlignment="1" applyProtection="1">
      <alignment horizontal="left" vertical="center" wrapText="1"/>
      <protection locked="0"/>
    </xf>
    <xf numFmtId="0" fontId="10" fillId="10" borderId="0" xfId="0" applyFont="1" applyFill="1" applyProtection="1">
      <protection locked="0"/>
    </xf>
    <xf numFmtId="0" fontId="7" fillId="0" borderId="0" xfId="0" applyFont="1" applyProtection="1">
      <protection locked="0"/>
    </xf>
    <xf numFmtId="0" fontId="0" fillId="0" borderId="0" xfId="0" applyProtection="1">
      <protection locked="0"/>
    </xf>
    <xf numFmtId="0" fontId="7" fillId="0" borderId="0" xfId="0" applyFont="1" applyFill="1" applyProtection="1">
      <protection locked="0"/>
    </xf>
    <xf numFmtId="0" fontId="10" fillId="9" borderId="0" xfId="0" applyFont="1" applyFill="1" applyProtection="1">
      <protection locked="0"/>
    </xf>
    <xf numFmtId="0" fontId="10" fillId="11" borderId="0" xfId="0" applyFont="1" applyFill="1" applyProtection="1">
      <protection locked="0"/>
    </xf>
    <xf numFmtId="0" fontId="21" fillId="0" borderId="0" xfId="0" applyFont="1" applyProtection="1">
      <protection locked="0"/>
    </xf>
    <xf numFmtId="0" fontId="0" fillId="0" borderId="0" xfId="0" applyProtection="1"/>
    <xf numFmtId="0" fontId="0" fillId="5" borderId="0" xfId="0" applyFill="1" applyProtection="1"/>
    <xf numFmtId="0" fontId="0" fillId="0" borderId="0" xfId="0" applyFont="1" applyProtection="1">
      <protection locked="0"/>
    </xf>
    <xf numFmtId="0" fontId="10" fillId="6" borderId="3" xfId="0" applyFont="1" applyFill="1" applyBorder="1" applyAlignment="1" applyProtection="1">
      <alignment horizontal="left" vertical="center" shrinkToFit="1"/>
      <protection locked="0"/>
    </xf>
    <xf numFmtId="0" fontId="10" fillId="6" borderId="3" xfId="0" applyFont="1" applyFill="1" applyBorder="1" applyAlignment="1" applyProtection="1">
      <alignment horizontal="left" vertical="center"/>
      <protection locked="0"/>
    </xf>
    <xf numFmtId="0" fontId="10" fillId="6" borderId="7" xfId="0" applyFont="1" applyFill="1" applyBorder="1" applyAlignment="1" applyProtection="1">
      <alignment horizontal="left" vertical="center" wrapText="1"/>
      <protection locked="0"/>
    </xf>
    <xf numFmtId="0" fontId="10" fillId="6" borderId="3" xfId="0" applyNumberFormat="1" applyFont="1" applyFill="1" applyBorder="1" applyAlignment="1" applyProtection="1">
      <alignment horizontal="left" vertical="center"/>
      <protection locked="0"/>
    </xf>
    <xf numFmtId="0" fontId="10" fillId="6" borderId="3" xfId="0" applyFont="1" applyFill="1" applyBorder="1" applyAlignment="1" applyProtection="1">
      <alignment vertical="center"/>
      <protection locked="0"/>
    </xf>
    <xf numFmtId="0" fontId="10" fillId="6" borderId="7" xfId="0" applyFont="1" applyFill="1" applyBorder="1" applyAlignment="1" applyProtection="1">
      <alignment horizontal="left" vertical="center" wrapText="1" shrinkToFit="1"/>
      <protection locked="0"/>
    </xf>
    <xf numFmtId="0" fontId="0" fillId="0" borderId="0" xfId="0" applyAlignment="1" applyProtection="1">
      <alignment horizontal="left" vertical="top"/>
    </xf>
    <xf numFmtId="0" fontId="0" fillId="6" borderId="0" xfId="0" applyFill="1" applyAlignment="1" applyProtection="1">
      <alignment horizontal="left" vertical="top"/>
    </xf>
    <xf numFmtId="0" fontId="0" fillId="0" borderId="24" xfId="0" applyBorder="1" applyAlignment="1">
      <alignment vertical="center"/>
    </xf>
    <xf numFmtId="0" fontId="17" fillId="8" borderId="23" xfId="0" applyFont="1" applyFill="1" applyBorder="1" applyAlignment="1">
      <alignment horizontal="left" vertical="center"/>
    </xf>
    <xf numFmtId="0" fontId="17" fillId="8" borderId="24" xfId="0" applyFont="1" applyFill="1" applyBorder="1" applyAlignment="1">
      <alignment horizontal="left" vertical="center"/>
    </xf>
    <xf numFmtId="0" fontId="38" fillId="7" borderId="0" xfId="1" applyFont="1" applyFill="1" applyAlignment="1" applyProtection="1">
      <alignment horizontal="center" vertical="center"/>
    </xf>
    <xf numFmtId="0" fontId="15" fillId="8" borderId="23" xfId="0" applyFont="1" applyFill="1" applyBorder="1" applyAlignment="1">
      <alignment vertical="center"/>
    </xf>
    <xf numFmtId="0" fontId="37" fillId="7" borderId="8" xfId="0" applyFont="1" applyFill="1" applyBorder="1" applyAlignment="1">
      <alignment horizontal="left" vertical="center"/>
    </xf>
    <xf numFmtId="0" fontId="6" fillId="7" borderId="9" xfId="0" applyFont="1" applyFill="1" applyBorder="1" applyAlignment="1">
      <alignment horizontal="left" vertical="center"/>
    </xf>
    <xf numFmtId="0" fontId="26" fillId="7" borderId="9" xfId="0" applyFont="1" applyFill="1" applyBorder="1" applyAlignment="1" applyProtection="1">
      <alignment horizontal="left" vertical="center"/>
    </xf>
    <xf numFmtId="0" fontId="38" fillId="7" borderId="0" xfId="1" applyFont="1" applyFill="1" applyAlignment="1" applyProtection="1">
      <alignment horizontal="left" vertical="center"/>
    </xf>
    <xf numFmtId="0" fontId="15" fillId="0" borderId="0" xfId="0" applyFont="1" applyFill="1" applyAlignment="1">
      <alignment vertical="center"/>
    </xf>
    <xf numFmtId="0" fontId="6" fillId="0" borderId="0" xfId="0" applyFont="1" applyAlignment="1">
      <alignment vertical="center"/>
    </xf>
    <xf numFmtId="0" fontId="4" fillId="3" borderId="1" xfId="0" applyFont="1" applyFill="1" applyBorder="1" applyAlignment="1" applyProtection="1">
      <alignment vertical="center" wrapText="1"/>
    </xf>
    <xf numFmtId="0" fontId="10" fillId="6" borderId="3" xfId="0" applyFont="1" applyFill="1" applyBorder="1" applyAlignment="1" applyProtection="1">
      <alignment horizontal="left" vertical="center" wrapText="1"/>
      <protection locked="0"/>
    </xf>
    <xf numFmtId="0" fontId="10" fillId="6" borderId="3" xfId="0" applyFont="1" applyFill="1" applyBorder="1" applyAlignment="1" applyProtection="1">
      <alignment horizontal="left" vertical="center"/>
      <protection locked="0"/>
    </xf>
    <xf numFmtId="49" fontId="8" fillId="2" borderId="0" xfId="0" applyNumberFormat="1" applyFont="1" applyFill="1" applyAlignment="1" applyProtection="1">
      <alignment vertical="center"/>
    </xf>
    <xf numFmtId="0" fontId="39" fillId="0" borderId="0" xfId="0" applyFont="1" applyAlignment="1" applyProtection="1">
      <alignment vertical="center"/>
    </xf>
    <xf numFmtId="0" fontId="40" fillId="12" borderId="0" xfId="0" applyFont="1" applyFill="1" applyAlignment="1" applyProtection="1">
      <alignment horizontal="center" vertical="center"/>
      <protection locked="0"/>
    </xf>
    <xf numFmtId="0" fontId="17" fillId="8" borderId="23" xfId="0" applyFont="1" applyFill="1" applyBorder="1" applyAlignment="1">
      <alignment vertical="center"/>
    </xf>
    <xf numFmtId="49" fontId="0" fillId="0" borderId="0" xfId="0" applyNumberFormat="1" applyAlignment="1">
      <alignment vertical="center"/>
    </xf>
    <xf numFmtId="0" fontId="10" fillId="13" borderId="32" xfId="0" applyFont="1" applyFill="1" applyBorder="1" applyAlignment="1" applyProtection="1">
      <alignment horizontal="left" vertical="center" wrapText="1"/>
      <protection locked="0"/>
    </xf>
    <xf numFmtId="0" fontId="7" fillId="14" borderId="0" xfId="0" applyFont="1" applyFill="1" applyAlignment="1" applyProtection="1">
      <alignment horizontal="left"/>
      <protection locked="0"/>
    </xf>
    <xf numFmtId="0" fontId="0" fillId="0" borderId="24" xfId="0" applyFill="1" applyBorder="1" applyAlignment="1">
      <alignment vertical="center"/>
    </xf>
    <xf numFmtId="0" fontId="17" fillId="8" borderId="23" xfId="0" applyFont="1" applyFill="1" applyBorder="1" applyAlignment="1">
      <alignment horizontal="left" vertical="center"/>
    </xf>
    <xf numFmtId="0" fontId="17" fillId="8" borderId="23" xfId="0" applyFont="1" applyFill="1" applyBorder="1" applyAlignment="1">
      <alignment vertical="center"/>
    </xf>
    <xf numFmtId="0" fontId="17" fillId="8" borderId="24" xfId="0" applyFont="1" applyFill="1" applyBorder="1" applyAlignment="1">
      <alignment horizontal="left" vertical="center"/>
    </xf>
    <xf numFmtId="0" fontId="38" fillId="7" borderId="0" xfId="1" applyFont="1" applyFill="1" applyAlignment="1" applyProtection="1">
      <alignment horizontal="center" vertical="center"/>
    </xf>
    <xf numFmtId="0" fontId="20" fillId="0" borderId="24" xfId="0" applyFont="1" applyFill="1" applyBorder="1" applyAlignment="1" applyProtection="1">
      <alignment vertical="center"/>
    </xf>
    <xf numFmtId="0" fontId="20" fillId="12" borderId="0" xfId="0" applyFont="1" applyFill="1" applyBorder="1" applyAlignment="1" applyProtection="1">
      <alignment horizontal="left" vertical="center"/>
      <protection locked="0"/>
    </xf>
    <xf numFmtId="0" fontId="17" fillId="12" borderId="0" xfId="0" applyFont="1" applyFill="1" applyBorder="1" applyAlignment="1">
      <alignment vertical="center"/>
    </xf>
    <xf numFmtId="0" fontId="0" fillId="12" borderId="0" xfId="0" applyFill="1" applyBorder="1"/>
    <xf numFmtId="0" fontId="6" fillId="0" borderId="0" xfId="0" applyFont="1" applyProtection="1">
      <protection locked="0"/>
    </xf>
    <xf numFmtId="0" fontId="6" fillId="9" borderId="0" xfId="0" applyFont="1" applyFill="1"/>
    <xf numFmtId="0" fontId="7" fillId="14" borderId="0" xfId="0" applyFont="1" applyFill="1" applyAlignment="1">
      <alignment horizontal="left"/>
    </xf>
    <xf numFmtId="0" fontId="10" fillId="6" borderId="3" xfId="0" applyFont="1" applyFill="1" applyBorder="1" applyAlignment="1" applyProtection="1">
      <alignment horizontal="left" vertical="center" wrapText="1"/>
      <protection locked="0"/>
    </xf>
    <xf numFmtId="0" fontId="40" fillId="0" borderId="0" xfId="0" applyFont="1" applyBorder="1" applyAlignment="1" applyProtection="1">
      <alignment horizontal="center" vertical="center" wrapText="1"/>
      <protection locked="0"/>
    </xf>
    <xf numFmtId="0" fontId="15" fillId="9" borderId="0" xfId="0" applyFont="1" applyFill="1" applyBorder="1" applyAlignment="1" applyProtection="1">
      <alignment horizontal="left" wrapText="1"/>
      <protection locked="0"/>
    </xf>
    <xf numFmtId="0" fontId="4" fillId="9" borderId="0" xfId="0" applyFont="1" applyFill="1" applyBorder="1" applyAlignment="1" applyProtection="1">
      <alignment wrapText="1"/>
      <protection locked="0"/>
    </xf>
    <xf numFmtId="0" fontId="4" fillId="0" borderId="33" xfId="0" applyFont="1" applyBorder="1" applyAlignment="1" applyProtection="1">
      <alignment horizontal="left" vertical="center" wrapText="1"/>
      <protection locked="0"/>
    </xf>
    <xf numFmtId="0" fontId="4" fillId="0" borderId="33" xfId="0" applyFont="1" applyBorder="1" applyAlignment="1" applyProtection="1">
      <alignment wrapText="1"/>
      <protection locked="0"/>
    </xf>
    <xf numFmtId="0" fontId="4" fillId="15" borderId="33" xfId="0" applyFont="1" applyFill="1" applyBorder="1" applyAlignment="1" applyProtection="1">
      <alignment wrapText="1"/>
      <protection locked="0"/>
    </xf>
    <xf numFmtId="0" fontId="4" fillId="16" borderId="33" xfId="0" applyFont="1" applyFill="1" applyBorder="1" applyAlignment="1" applyProtection="1">
      <alignment wrapText="1"/>
      <protection locked="0"/>
    </xf>
    <xf numFmtId="0" fontId="4" fillId="0" borderId="33" xfId="0" applyFont="1" applyBorder="1" applyAlignment="1" applyProtection="1">
      <alignment horizontal="left" wrapText="1"/>
      <protection locked="0"/>
    </xf>
    <xf numFmtId="0" fontId="40" fillId="17" borderId="0" xfId="0" applyFont="1" applyFill="1" applyBorder="1" applyAlignment="1" applyProtection="1">
      <alignment horizontal="center" vertical="center" wrapText="1"/>
      <protection locked="0"/>
    </xf>
    <xf numFmtId="0" fontId="15" fillId="17" borderId="0" xfId="0" applyFont="1" applyFill="1" applyBorder="1" applyAlignment="1" applyProtection="1">
      <alignment wrapText="1"/>
      <protection locked="0"/>
    </xf>
    <xf numFmtId="0" fontId="4" fillId="15" borderId="33" xfId="0" applyFont="1" applyFill="1" applyBorder="1" applyAlignment="1" applyProtection="1">
      <alignment horizontal="left" vertical="center" wrapText="1"/>
      <protection locked="0"/>
    </xf>
    <xf numFmtId="0" fontId="4" fillId="0" borderId="33" xfId="0" applyFont="1" applyFill="1" applyBorder="1" applyAlignment="1" applyProtection="1">
      <alignment wrapText="1"/>
      <protection locked="0"/>
    </xf>
    <xf numFmtId="0" fontId="4" fillId="15" borderId="33" xfId="0" applyFont="1" applyFill="1" applyBorder="1" applyAlignment="1" applyProtection="1">
      <alignment wrapText="1"/>
      <protection locked="0"/>
    </xf>
    <xf numFmtId="0" fontId="4" fillId="0" borderId="33" xfId="0" applyFont="1" applyFill="1" applyBorder="1" applyAlignment="1" applyProtection="1">
      <alignment horizontal="left" vertical="center" wrapText="1"/>
      <protection locked="0"/>
    </xf>
    <xf numFmtId="0" fontId="4" fillId="15" borderId="33" xfId="0" applyFont="1" applyFill="1" applyBorder="1" applyAlignment="1" applyProtection="1">
      <alignment horizontal="left" wrapText="1"/>
      <protection locked="0"/>
    </xf>
    <xf numFmtId="0" fontId="10" fillId="6" borderId="3" xfId="0" applyFont="1" applyFill="1" applyBorder="1" applyAlignment="1" applyProtection="1">
      <alignment horizontal="left" vertical="center" wrapText="1"/>
      <protection locked="0"/>
    </xf>
    <xf numFmtId="0" fontId="10" fillId="6" borderId="3" xfId="0" applyFont="1" applyFill="1" applyBorder="1" applyAlignment="1" applyProtection="1">
      <alignment horizontal="left" vertical="center"/>
      <protection locked="0"/>
    </xf>
    <xf numFmtId="2" fontId="0" fillId="4" borderId="0" xfId="0" applyNumberFormat="1" applyFill="1" applyProtection="1">
      <protection locked="0"/>
    </xf>
    <xf numFmtId="0" fontId="10" fillId="6" borderId="3" xfId="0" applyFont="1" applyFill="1" applyBorder="1" applyAlignment="1" applyProtection="1">
      <alignment horizontal="left" vertical="center" wrapText="1"/>
      <protection locked="0"/>
    </xf>
    <xf numFmtId="0" fontId="17" fillId="18" borderId="34" xfId="0" applyFont="1" applyFill="1" applyBorder="1" applyAlignment="1">
      <alignment vertical="center" wrapText="1"/>
    </xf>
    <xf numFmtId="0" fontId="15" fillId="14" borderId="0" xfId="0" applyFont="1" applyFill="1" applyBorder="1" applyAlignment="1" applyProtection="1">
      <alignment horizontal="center" wrapText="1"/>
      <protection locked="0"/>
    </xf>
    <xf numFmtId="0" fontId="17" fillId="8" borderId="23" xfId="0" applyFont="1" applyFill="1" applyBorder="1" applyAlignment="1">
      <alignment vertical="center"/>
    </xf>
    <xf numFmtId="0" fontId="0" fillId="0" borderId="35" xfId="0" applyBorder="1" applyAlignment="1">
      <alignment vertical="center"/>
    </xf>
    <xf numFmtId="0" fontId="0" fillId="0" borderId="36" xfId="0" applyBorder="1" applyAlignment="1">
      <alignment vertical="center"/>
    </xf>
    <xf numFmtId="0" fontId="0" fillId="6" borderId="4" xfId="0" quotePrefix="1" applyFill="1" applyBorder="1" applyAlignment="1">
      <alignment horizontal="center" vertical="center"/>
    </xf>
    <xf numFmtId="0" fontId="0" fillId="6" borderId="4" xfId="0" applyFill="1" applyBorder="1" applyAlignment="1">
      <alignment horizontal="left" vertical="center" indent="1"/>
    </xf>
    <xf numFmtId="0" fontId="0" fillId="6" borderId="4" xfId="0" applyFill="1" applyBorder="1" applyAlignment="1">
      <alignment horizontal="center" vertical="center"/>
    </xf>
    <xf numFmtId="0" fontId="0" fillId="6" borderId="4" xfId="0" applyFont="1" applyFill="1" applyBorder="1" applyAlignment="1">
      <alignment horizontal="left" vertical="center" indent="1"/>
    </xf>
    <xf numFmtId="0" fontId="4" fillId="0" borderId="33" xfId="0" applyFont="1" applyFill="1" applyBorder="1" applyAlignment="1" applyProtection="1">
      <alignment vertical="center" wrapText="1"/>
      <protection locked="0"/>
    </xf>
    <xf numFmtId="0" fontId="4" fillId="15" borderId="33" xfId="0" applyFont="1" applyFill="1" applyBorder="1" applyAlignment="1" applyProtection="1">
      <alignment vertical="center" wrapText="1"/>
      <protection locked="0"/>
    </xf>
    <xf numFmtId="0" fontId="4" fillId="0" borderId="33" xfId="0" applyFont="1" applyBorder="1" applyAlignment="1" applyProtection="1">
      <alignment vertical="center" wrapText="1"/>
      <protection locked="0"/>
    </xf>
    <xf numFmtId="0" fontId="4" fillId="0" borderId="0" xfId="0" applyFont="1" applyBorder="1" applyAlignment="1" applyProtection="1">
      <alignment vertical="center" wrapText="1"/>
      <protection locked="0"/>
    </xf>
    <xf numFmtId="0" fontId="10" fillId="6" borderId="7" xfId="0" applyFont="1" applyFill="1" applyBorder="1" applyAlignment="1" applyProtection="1">
      <alignment horizontal="left" vertical="center"/>
      <protection locked="0"/>
    </xf>
    <xf numFmtId="0" fontId="0" fillId="6" borderId="0" xfId="0" applyFill="1" applyAlignment="1">
      <alignment vertical="center"/>
    </xf>
    <xf numFmtId="49" fontId="6" fillId="6" borderId="3" xfId="0" applyNumberFormat="1" applyFont="1" applyFill="1" applyBorder="1" applyAlignment="1" applyProtection="1">
      <alignment horizontal="left" vertical="center" shrinkToFit="1"/>
      <protection locked="0"/>
    </xf>
    <xf numFmtId="0" fontId="35" fillId="10" borderId="0" xfId="0" applyFont="1" applyFill="1" applyBorder="1" applyAlignment="1" applyProtection="1">
      <alignment horizontal="left" vertical="center" wrapText="1"/>
      <protection locked="0"/>
    </xf>
    <xf numFmtId="0" fontId="4" fillId="0" borderId="1" xfId="0" applyFont="1" applyBorder="1" applyAlignment="1" applyProtection="1">
      <alignment vertical="center"/>
    </xf>
    <xf numFmtId="0" fontId="0" fillId="0" borderId="24" xfId="0" applyBorder="1" applyAlignment="1">
      <alignment vertical="center"/>
    </xf>
    <xf numFmtId="0" fontId="0" fillId="0" borderId="0" xfId="0" applyAlignment="1" applyProtection="1">
      <alignment horizontal="left" vertical="center"/>
      <protection locked="0"/>
    </xf>
    <xf numFmtId="0" fontId="4" fillId="0" borderId="1" xfId="0" applyFont="1" applyFill="1" applyBorder="1" applyAlignment="1">
      <alignment vertical="center" wrapText="1"/>
    </xf>
    <xf numFmtId="0" fontId="0" fillId="0" borderId="2" xfId="0" applyFill="1" applyBorder="1" applyAlignment="1">
      <alignment vertical="center" wrapText="1"/>
    </xf>
    <xf numFmtId="0" fontId="4" fillId="0" borderId="1" xfId="0" applyFont="1" applyBorder="1" applyAlignment="1" applyProtection="1">
      <alignment vertical="center" wrapText="1"/>
    </xf>
    <xf numFmtId="0" fontId="0" fillId="0" borderId="2" xfId="0" applyBorder="1" applyAlignment="1">
      <alignment vertical="center" wrapText="1"/>
    </xf>
    <xf numFmtId="0" fontId="4" fillId="6" borderId="2" xfId="0" applyFont="1" applyFill="1" applyBorder="1" applyAlignment="1" applyProtection="1">
      <alignment horizontal="center" vertical="center"/>
      <protection locked="0"/>
    </xf>
    <xf numFmtId="0" fontId="4" fillId="6" borderId="3" xfId="0" applyFont="1" applyFill="1" applyBorder="1" applyAlignment="1" applyProtection="1">
      <alignment horizontal="center" vertical="center"/>
      <protection locked="0"/>
    </xf>
    <xf numFmtId="164" fontId="6" fillId="6" borderId="2" xfId="0" applyNumberFormat="1" applyFont="1" applyFill="1" applyBorder="1" applyAlignment="1" applyProtection="1">
      <alignment horizontal="left" vertical="center"/>
      <protection locked="0"/>
    </xf>
    <xf numFmtId="164" fontId="6" fillId="6" borderId="3" xfId="0" applyNumberFormat="1" applyFont="1" applyFill="1" applyBorder="1" applyAlignment="1" applyProtection="1">
      <alignment horizontal="left" vertical="center"/>
      <protection locked="0"/>
    </xf>
    <xf numFmtId="0" fontId="4" fillId="0" borderId="1" xfId="0" applyFont="1" applyFill="1" applyBorder="1" applyAlignment="1" applyProtection="1">
      <alignment vertical="center"/>
    </xf>
    <xf numFmtId="0" fontId="0" fillId="0" borderId="24" xfId="0" applyFill="1" applyBorder="1" applyAlignment="1">
      <alignment vertical="center"/>
    </xf>
    <xf numFmtId="0" fontId="4" fillId="3" borderId="1" xfId="0" applyFont="1" applyFill="1" applyBorder="1" applyAlignment="1" applyProtection="1">
      <alignment vertical="center" wrapText="1"/>
    </xf>
    <xf numFmtId="0" fontId="4" fillId="0" borderId="1" xfId="0" applyFont="1" applyBorder="1" applyAlignment="1">
      <alignment vertical="center" wrapText="1"/>
    </xf>
    <xf numFmtId="0" fontId="0" fillId="0" borderId="2" xfId="0" applyBorder="1" applyAlignment="1">
      <alignment wrapText="1"/>
    </xf>
    <xf numFmtId="0" fontId="6" fillId="6" borderId="2" xfId="0" applyFont="1" applyFill="1" applyBorder="1" applyAlignment="1" applyProtection="1">
      <alignment horizontal="left" vertical="center" shrinkToFit="1"/>
      <protection locked="0"/>
    </xf>
    <xf numFmtId="0" fontId="6" fillId="6" borderId="3" xfId="0" applyFont="1" applyFill="1" applyBorder="1" applyAlignment="1" applyProtection="1">
      <alignment horizontal="left" vertical="center" shrinkToFit="1"/>
      <protection locked="0"/>
    </xf>
    <xf numFmtId="0" fontId="4" fillId="3" borderId="1" xfId="0" applyFont="1" applyFill="1" applyBorder="1" applyAlignment="1" applyProtection="1">
      <alignment vertical="center"/>
    </xf>
    <xf numFmtId="0" fontId="9" fillId="2" borderId="0" xfId="0" applyFont="1" applyFill="1" applyAlignment="1" applyProtection="1">
      <alignment horizontal="left" vertical="center"/>
    </xf>
    <xf numFmtId="0" fontId="6" fillId="0" borderId="2" xfId="0" applyFont="1" applyFill="1" applyBorder="1" applyAlignment="1" applyProtection="1">
      <alignment horizontal="left" vertical="center"/>
    </xf>
    <xf numFmtId="0" fontId="6" fillId="0" borderId="3" xfId="0" applyFont="1" applyFill="1" applyBorder="1" applyAlignment="1" applyProtection="1">
      <alignment horizontal="left" vertical="center"/>
    </xf>
    <xf numFmtId="0" fontId="4" fillId="0" borderId="1" xfId="0" applyFont="1" applyBorder="1" applyAlignment="1" applyProtection="1">
      <alignment horizontal="left" vertical="center" wrapText="1"/>
    </xf>
    <xf numFmtId="0" fontId="4" fillId="0" borderId="2" xfId="0" applyFont="1" applyBorder="1" applyAlignment="1" applyProtection="1">
      <alignment horizontal="left" vertical="center" wrapText="1"/>
    </xf>
    <xf numFmtId="0" fontId="10" fillId="6" borderId="1" xfId="0" applyFont="1" applyFill="1" applyBorder="1" applyAlignment="1" applyProtection="1">
      <alignment horizontal="left" vertical="center" wrapText="1"/>
      <protection locked="0"/>
    </xf>
    <xf numFmtId="0" fontId="10" fillId="6" borderId="3" xfId="0" applyFont="1" applyFill="1" applyBorder="1" applyAlignment="1" applyProtection="1">
      <alignment horizontal="left" vertical="center" wrapText="1"/>
      <protection locked="0"/>
    </xf>
    <xf numFmtId="0" fontId="10" fillId="6" borderId="2" xfId="0" applyFont="1" applyFill="1" applyBorder="1" applyAlignment="1" applyProtection="1">
      <alignment horizontal="left" vertical="center"/>
      <protection locked="0"/>
    </xf>
    <xf numFmtId="0" fontId="10" fillId="6" borderId="3" xfId="0" applyFont="1" applyFill="1" applyBorder="1" applyAlignment="1" applyProtection="1">
      <alignment horizontal="left" vertical="center"/>
      <protection locked="0"/>
    </xf>
    <xf numFmtId="0" fontId="0" fillId="6" borderId="1" xfId="0" applyFill="1" applyBorder="1" applyAlignment="1" applyProtection="1">
      <alignment horizontal="left" vertical="center"/>
      <protection locked="0"/>
    </xf>
    <xf numFmtId="0" fontId="0" fillId="6" borderId="2" xfId="0" applyFill="1" applyBorder="1" applyAlignment="1" applyProtection="1">
      <alignment horizontal="left" vertical="center"/>
      <protection locked="0"/>
    </xf>
    <xf numFmtId="0" fontId="0" fillId="6" borderId="3" xfId="0" applyFill="1" applyBorder="1" applyAlignment="1" applyProtection="1">
      <alignment horizontal="left" vertical="center"/>
      <protection locked="0"/>
    </xf>
    <xf numFmtId="0" fontId="10" fillId="6" borderId="1" xfId="0" applyFont="1" applyFill="1" applyBorder="1" applyAlignment="1" applyProtection="1">
      <alignment horizontal="left" vertical="center" wrapText="1" shrinkToFit="1"/>
      <protection locked="0"/>
    </xf>
    <xf numFmtId="0" fontId="10" fillId="6" borderId="3" xfId="0" applyFont="1" applyFill="1" applyBorder="1" applyAlignment="1" applyProtection="1">
      <alignment horizontal="left" vertical="center" wrapText="1" shrinkToFit="1"/>
      <protection locked="0"/>
    </xf>
    <xf numFmtId="0" fontId="4" fillId="18" borderId="37" xfId="0" applyFont="1" applyFill="1" applyBorder="1" applyAlignment="1">
      <alignment vertical="center"/>
    </xf>
    <xf numFmtId="0" fontId="4" fillId="18" borderId="38" xfId="0" applyFont="1" applyFill="1" applyBorder="1" applyAlignment="1">
      <alignment vertical="center"/>
    </xf>
    <xf numFmtId="0" fontId="40" fillId="0" borderId="0" xfId="0" applyFont="1" applyAlignment="1" applyProtection="1">
      <alignment horizontal="center" vertical="center"/>
    </xf>
    <xf numFmtId="0" fontId="0" fillId="6" borderId="10" xfId="0" applyFont="1" applyFill="1" applyBorder="1" applyAlignment="1" applyProtection="1">
      <alignment horizontal="left" vertical="center"/>
      <protection locked="0"/>
    </xf>
    <xf numFmtId="0" fontId="0" fillId="6" borderId="11" xfId="0" applyFont="1" applyFill="1" applyBorder="1" applyAlignment="1" applyProtection="1">
      <alignment horizontal="left" vertical="center"/>
      <protection locked="0"/>
    </xf>
    <xf numFmtId="0" fontId="0" fillId="6" borderId="12" xfId="0" applyFont="1" applyFill="1" applyBorder="1" applyAlignment="1" applyProtection="1">
      <alignment horizontal="left" vertical="center"/>
      <protection locked="0"/>
    </xf>
    <xf numFmtId="0" fontId="0" fillId="6" borderId="5" xfId="0" applyFont="1" applyFill="1" applyBorder="1" applyAlignment="1" applyProtection="1">
      <alignment horizontal="left" vertical="center"/>
      <protection locked="0"/>
    </xf>
    <xf numFmtId="0" fontId="0" fillId="6" borderId="0" xfId="0" applyFont="1" applyFill="1" applyBorder="1" applyAlignment="1" applyProtection="1">
      <alignment horizontal="left" vertical="center"/>
      <protection locked="0"/>
    </xf>
    <xf numFmtId="0" fontId="0" fillId="6" borderId="6" xfId="0" applyFont="1" applyFill="1" applyBorder="1" applyAlignment="1" applyProtection="1">
      <alignment horizontal="left" vertical="center"/>
      <protection locked="0"/>
    </xf>
    <xf numFmtId="0" fontId="0" fillId="6" borderId="13" xfId="0" applyFont="1" applyFill="1" applyBorder="1" applyAlignment="1" applyProtection="1">
      <alignment horizontal="left" vertical="center"/>
      <protection locked="0"/>
    </xf>
    <xf numFmtId="0" fontId="0" fillId="6" borderId="14" xfId="0" applyFont="1" applyFill="1" applyBorder="1" applyAlignment="1" applyProtection="1">
      <alignment horizontal="left" vertical="center"/>
      <protection locked="0"/>
    </xf>
    <xf numFmtId="0" fontId="0" fillId="6" borderId="15" xfId="0" applyFont="1" applyFill="1" applyBorder="1" applyAlignment="1" applyProtection="1">
      <alignment horizontal="left" vertical="center"/>
      <protection locked="0"/>
    </xf>
    <xf numFmtId="0" fontId="4" fillId="0" borderId="1" xfId="0" applyFont="1" applyBorder="1" applyAlignment="1" applyProtection="1">
      <alignment horizontal="left" vertical="center"/>
    </xf>
    <xf numFmtId="0" fontId="4" fillId="0" borderId="2" xfId="0" applyFont="1" applyBorder="1" applyAlignment="1" applyProtection="1">
      <alignment horizontal="left" vertical="center"/>
    </xf>
    <xf numFmtId="0" fontId="10" fillId="6" borderId="2" xfId="0" applyFont="1" applyFill="1" applyBorder="1" applyAlignment="1" applyProtection="1">
      <alignment horizontal="left" vertical="center" wrapText="1"/>
      <protection locked="0"/>
    </xf>
    <xf numFmtId="0" fontId="7" fillId="0" borderId="2" xfId="0" applyFont="1" applyBorder="1" applyAlignment="1" applyProtection="1">
      <protection locked="0"/>
    </xf>
    <xf numFmtId="0" fontId="4" fillId="0" borderId="39" xfId="0" applyFont="1" applyBorder="1" applyAlignment="1">
      <alignment horizontal="left" vertical="center"/>
    </xf>
    <xf numFmtId="0" fontId="0" fillId="0" borderId="40" xfId="0" applyBorder="1" applyAlignment="1"/>
    <xf numFmtId="0" fontId="4" fillId="6" borderId="41" xfId="0" applyFont="1" applyFill="1" applyBorder="1" applyAlignment="1" applyProtection="1">
      <alignment horizontal="center" vertical="center"/>
      <protection locked="0"/>
    </xf>
    <xf numFmtId="0" fontId="4" fillId="6" borderId="42" xfId="0" applyFont="1" applyFill="1" applyBorder="1" applyAlignment="1" applyProtection="1">
      <alignment horizontal="center" vertical="center"/>
      <protection locked="0"/>
    </xf>
    <xf numFmtId="0" fontId="4" fillId="6" borderId="43" xfId="0" applyFont="1" applyFill="1" applyBorder="1" applyAlignment="1" applyProtection="1">
      <alignment horizontal="center" vertical="center"/>
      <protection locked="0"/>
    </xf>
    <xf numFmtId="0" fontId="4" fillId="6" borderId="27" xfId="0" applyFont="1" applyFill="1" applyBorder="1" applyAlignment="1" applyProtection="1">
      <alignment horizontal="center" vertical="center"/>
      <protection locked="0"/>
    </xf>
    <xf numFmtId="0" fontId="4" fillId="6" borderId="0" xfId="0" applyFont="1" applyFill="1" applyBorder="1" applyAlignment="1" applyProtection="1">
      <alignment horizontal="center" vertical="center"/>
      <protection locked="0"/>
    </xf>
    <xf numFmtId="0" fontId="4" fillId="6" borderId="29" xfId="0" applyFont="1" applyFill="1" applyBorder="1" applyAlignment="1" applyProtection="1">
      <alignment horizontal="center" vertical="center"/>
      <protection locked="0"/>
    </xf>
    <xf numFmtId="0" fontId="4" fillId="6" borderId="44" xfId="0" applyFont="1" applyFill="1" applyBorder="1" applyAlignment="1" applyProtection="1">
      <alignment horizontal="center" vertical="center"/>
      <protection locked="0"/>
    </xf>
    <xf numFmtId="0" fontId="4" fillId="6" borderId="45" xfId="0" applyFont="1" applyFill="1" applyBorder="1" applyAlignment="1" applyProtection="1">
      <alignment horizontal="center" vertical="center"/>
      <protection locked="0"/>
    </xf>
    <xf numFmtId="0" fontId="4" fillId="6" borderId="46" xfId="0" applyFont="1" applyFill="1" applyBorder="1" applyAlignment="1" applyProtection="1">
      <alignment horizontal="center" vertical="center"/>
      <protection locked="0"/>
    </xf>
    <xf numFmtId="0" fontId="7" fillId="0" borderId="3" xfId="0" applyFont="1" applyBorder="1" applyAlignment="1" applyProtection="1">
      <protection locked="0"/>
    </xf>
    <xf numFmtId="0" fontId="42" fillId="0" borderId="0" xfId="0" applyFont="1" applyAlignment="1">
      <alignment horizontal="center" wrapText="1"/>
    </xf>
    <xf numFmtId="0" fontId="7" fillId="0" borderId="2" xfId="0" applyFont="1" applyBorder="1" applyAlignment="1" applyProtection="1">
      <alignment horizontal="left" vertical="center" wrapText="1"/>
      <protection locked="0"/>
    </xf>
    <xf numFmtId="0" fontId="7" fillId="0" borderId="3" xfId="0" applyFont="1" applyBorder="1" applyAlignment="1" applyProtection="1">
      <alignment horizontal="left" vertical="center" wrapText="1"/>
      <protection locked="0"/>
    </xf>
    <xf numFmtId="0" fontId="16" fillId="2" borderId="0" xfId="0" applyFont="1" applyFill="1" applyAlignment="1" applyProtection="1">
      <alignment horizontal="center" vertical="center"/>
    </xf>
    <xf numFmtId="1" fontId="10" fillId="6" borderId="2" xfId="0" applyNumberFormat="1" applyFont="1" applyFill="1" applyBorder="1" applyAlignment="1" applyProtection="1">
      <alignment horizontal="left" vertical="center"/>
      <protection locked="0"/>
    </xf>
    <xf numFmtId="1" fontId="10" fillId="6" borderId="3" xfId="0" applyNumberFormat="1" applyFont="1" applyFill="1" applyBorder="1" applyAlignment="1" applyProtection="1">
      <alignment horizontal="left" vertical="center"/>
      <protection locked="0"/>
    </xf>
    <xf numFmtId="0" fontId="18" fillId="2" borderId="0" xfId="0" applyFont="1" applyFill="1" applyAlignment="1" applyProtection="1">
      <alignment horizontal="center" vertical="center"/>
    </xf>
    <xf numFmtId="0" fontId="19" fillId="0" borderId="0" xfId="0" applyFont="1" applyAlignment="1">
      <alignment horizontal="center" vertical="center"/>
    </xf>
    <xf numFmtId="0" fontId="41" fillId="6" borderId="2" xfId="0" applyFont="1" applyFill="1" applyBorder="1" applyAlignment="1" applyProtection="1">
      <alignment horizontal="left" vertical="center"/>
      <protection locked="0"/>
    </xf>
    <xf numFmtId="0" fontId="41" fillId="6" borderId="3" xfId="0" applyFont="1" applyFill="1" applyBorder="1" applyAlignment="1" applyProtection="1">
      <alignment horizontal="left" vertical="center"/>
      <protection locked="0"/>
    </xf>
    <xf numFmtId="0" fontId="0" fillId="0" borderId="24" xfId="0" applyBorder="1" applyAlignment="1" applyProtection="1">
      <protection locked="0"/>
    </xf>
    <xf numFmtId="0" fontId="0" fillId="0" borderId="3" xfId="0" applyBorder="1" applyAlignment="1" applyProtection="1">
      <protection locked="0"/>
    </xf>
    <xf numFmtId="0" fontId="4" fillId="0" borderId="1" xfId="0" applyFont="1" applyFill="1" applyBorder="1" applyAlignment="1" applyProtection="1">
      <alignment vertical="center" wrapText="1"/>
    </xf>
    <xf numFmtId="0" fontId="20" fillId="12" borderId="24" xfId="0" applyFont="1" applyFill="1" applyBorder="1" applyAlignment="1" applyProtection="1">
      <alignment horizontal="left" vertical="center"/>
      <protection locked="0"/>
    </xf>
    <xf numFmtId="0" fontId="20" fillId="12" borderId="49" xfId="0" applyFont="1" applyFill="1" applyBorder="1" applyAlignment="1" applyProtection="1">
      <alignment horizontal="left" vertical="center"/>
      <protection locked="0"/>
    </xf>
    <xf numFmtId="165" fontId="28" fillId="6" borderId="24" xfId="0" applyNumberFormat="1" applyFont="1" applyFill="1" applyBorder="1" applyAlignment="1">
      <alignment horizontal="left" vertical="center"/>
    </xf>
    <xf numFmtId="165" fontId="28" fillId="6" borderId="49" xfId="0" applyNumberFormat="1" applyFont="1" applyFill="1" applyBorder="1" applyAlignment="1">
      <alignment horizontal="left" vertical="center"/>
    </xf>
    <xf numFmtId="0" fontId="20" fillId="6" borderId="23" xfId="0" applyFont="1" applyFill="1" applyBorder="1" applyAlignment="1">
      <alignment horizontal="left" vertical="center" shrinkToFit="1"/>
    </xf>
    <xf numFmtId="0" fontId="20" fillId="6" borderId="24" xfId="0" applyFont="1" applyFill="1" applyBorder="1" applyAlignment="1">
      <alignment horizontal="left" vertical="center" shrinkToFit="1"/>
    </xf>
    <xf numFmtId="0" fontId="20" fillId="6" borderId="49" xfId="0" applyFont="1" applyFill="1" applyBorder="1" applyAlignment="1">
      <alignment horizontal="left" vertical="center" shrinkToFit="1"/>
    </xf>
    <xf numFmtId="0" fontId="17" fillId="0" borderId="23" xfId="0" applyFont="1" applyFill="1" applyBorder="1" applyAlignment="1">
      <alignment horizontal="left" vertical="center" wrapText="1"/>
    </xf>
    <xf numFmtId="0" fontId="17" fillId="0" borderId="24" xfId="0" applyFont="1" applyFill="1" applyBorder="1" applyAlignment="1">
      <alignment horizontal="left" vertical="center" wrapText="1"/>
    </xf>
    <xf numFmtId="0" fontId="28" fillId="6" borderId="24" xfId="0" applyFont="1" applyFill="1" applyBorder="1" applyAlignment="1">
      <alignment horizontal="left" vertical="center"/>
    </xf>
    <xf numFmtId="0" fontId="28" fillId="6" borderId="49" xfId="0" applyFont="1" applyFill="1" applyBorder="1" applyAlignment="1">
      <alignment horizontal="left" vertical="center"/>
    </xf>
    <xf numFmtId="0" fontId="17" fillId="18" borderId="47" xfId="0" applyFont="1" applyFill="1" applyBorder="1" applyAlignment="1">
      <alignment horizontal="left" vertical="center" wrapText="1"/>
    </xf>
    <xf numFmtId="0" fontId="17" fillId="18" borderId="34" xfId="0" applyFont="1" applyFill="1" applyBorder="1" applyAlignment="1">
      <alignment horizontal="left" vertical="center" wrapText="1"/>
    </xf>
    <xf numFmtId="0" fontId="28" fillId="13" borderId="24" xfId="0" applyFont="1" applyFill="1" applyBorder="1" applyAlignment="1">
      <alignment horizontal="left" vertical="center"/>
    </xf>
    <xf numFmtId="0" fontId="28" fillId="13" borderId="49" xfId="0" applyFont="1" applyFill="1" applyBorder="1" applyAlignment="1">
      <alignment horizontal="left" vertical="center"/>
    </xf>
    <xf numFmtId="0" fontId="20" fillId="0" borderId="24" xfId="0" applyFont="1" applyBorder="1" applyAlignment="1">
      <alignment horizontal="left" vertical="center" shrinkToFit="1"/>
    </xf>
    <xf numFmtId="0" fontId="20" fillId="0" borderId="49" xfId="0" applyFont="1" applyBorder="1" applyAlignment="1">
      <alignment horizontal="left" vertical="center" shrinkToFit="1"/>
    </xf>
    <xf numFmtId="0" fontId="17" fillId="0" borderId="23" xfId="0" applyFont="1" applyBorder="1" applyAlignment="1">
      <alignment horizontal="left" vertical="top"/>
    </xf>
    <xf numFmtId="0" fontId="0" fillId="0" borderId="24" xfId="0" applyBorder="1" applyAlignment="1">
      <alignment horizontal="left" vertical="top"/>
    </xf>
    <xf numFmtId="0" fontId="0" fillId="0" borderId="49" xfId="0" applyBorder="1" applyAlignment="1">
      <alignment horizontal="left" vertical="top"/>
    </xf>
    <xf numFmtId="0" fontId="15" fillId="6" borderId="24" xfId="0" applyFont="1" applyFill="1" applyBorder="1" applyAlignment="1" applyProtection="1">
      <alignment horizontal="left" vertical="center"/>
    </xf>
    <xf numFmtId="0" fontId="15" fillId="6" borderId="24" xfId="0" applyFont="1" applyFill="1" applyBorder="1" applyAlignment="1">
      <alignment horizontal="left" vertical="center"/>
    </xf>
    <xf numFmtId="0" fontId="15" fillId="6" borderId="49" xfId="0" applyFont="1" applyFill="1" applyBorder="1" applyAlignment="1">
      <alignment horizontal="left" vertical="center"/>
    </xf>
    <xf numFmtId="0" fontId="15" fillId="12" borderId="24" xfId="0" applyFont="1" applyFill="1" applyBorder="1" applyAlignment="1" applyProtection="1">
      <alignment horizontal="left" vertical="center"/>
      <protection locked="0"/>
    </xf>
    <xf numFmtId="0" fontId="15" fillId="12" borderId="49" xfId="0" applyFont="1" applyFill="1" applyBorder="1" applyAlignment="1" applyProtection="1">
      <alignment horizontal="left" vertical="center"/>
      <protection locked="0"/>
    </xf>
    <xf numFmtId="166" fontId="15" fillId="12" borderId="24" xfId="0" applyNumberFormat="1" applyFont="1" applyFill="1" applyBorder="1" applyAlignment="1" applyProtection="1">
      <alignment horizontal="left" vertical="center"/>
      <protection locked="0"/>
    </xf>
    <xf numFmtId="166" fontId="15" fillId="12" borderId="49" xfId="0" applyNumberFormat="1" applyFont="1" applyFill="1" applyBorder="1" applyAlignment="1" applyProtection="1">
      <alignment horizontal="left" vertical="center"/>
      <protection locked="0"/>
    </xf>
    <xf numFmtId="166" fontId="22" fillId="12" borderId="24" xfId="0" applyNumberFormat="1" applyFont="1" applyFill="1" applyBorder="1" applyAlignment="1" applyProtection="1">
      <alignment horizontal="left" vertical="center"/>
      <protection locked="0"/>
    </xf>
    <xf numFmtId="166" fontId="22" fillId="12" borderId="49" xfId="0" applyNumberFormat="1" applyFont="1" applyFill="1" applyBorder="1" applyAlignment="1" applyProtection="1">
      <alignment horizontal="left" vertical="center"/>
      <protection locked="0"/>
    </xf>
    <xf numFmtId="18" fontId="22" fillId="14" borderId="24" xfId="0" applyNumberFormat="1" applyFont="1" applyFill="1" applyBorder="1" applyAlignment="1" applyProtection="1">
      <alignment horizontal="left" vertical="center"/>
      <protection locked="0"/>
    </xf>
    <xf numFmtId="18" fontId="22" fillId="14" borderId="49" xfId="0" applyNumberFormat="1" applyFont="1" applyFill="1" applyBorder="1" applyAlignment="1" applyProtection="1">
      <alignment horizontal="left" vertical="center"/>
      <protection locked="0"/>
    </xf>
    <xf numFmtId="0" fontId="26" fillId="6" borderId="24" xfId="0" applyFont="1" applyFill="1" applyBorder="1" applyAlignment="1">
      <alignment horizontal="left" vertical="center"/>
    </xf>
    <xf numFmtId="0" fontId="26" fillId="6" borderId="49" xfId="0" applyFont="1" applyFill="1" applyBorder="1" applyAlignment="1">
      <alignment horizontal="left" vertical="center"/>
    </xf>
    <xf numFmtId="0" fontId="27" fillId="6" borderId="24" xfId="0" applyFont="1" applyFill="1" applyBorder="1" applyAlignment="1" applyProtection="1">
      <alignment horizontal="left" vertical="center"/>
    </xf>
    <xf numFmtId="0" fontId="27" fillId="6" borderId="49" xfId="0" applyFont="1" applyFill="1" applyBorder="1" applyAlignment="1" applyProtection="1">
      <alignment horizontal="left" vertical="center"/>
    </xf>
    <xf numFmtId="0" fontId="26" fillId="12" borderId="24" xfId="0" applyFont="1" applyFill="1" applyBorder="1" applyAlignment="1" applyProtection="1">
      <alignment horizontal="left" vertical="center"/>
      <protection locked="0"/>
    </xf>
    <xf numFmtId="0" fontId="26" fillId="12" borderId="49" xfId="0" applyFont="1" applyFill="1" applyBorder="1" applyAlignment="1" applyProtection="1">
      <alignment horizontal="left" vertical="center"/>
      <protection locked="0"/>
    </xf>
    <xf numFmtId="0" fontId="17" fillId="0" borderId="23" xfId="0" applyFont="1" applyBorder="1" applyAlignment="1">
      <alignment horizontal="left" vertical="center"/>
    </xf>
    <xf numFmtId="0" fontId="17" fillId="0" borderId="24" xfId="0" applyFont="1" applyBorder="1" applyAlignment="1">
      <alignment horizontal="left" vertical="center"/>
    </xf>
    <xf numFmtId="0" fontId="6" fillId="0" borderId="0" xfId="0" applyFont="1" applyBorder="1" applyAlignment="1">
      <alignment horizontal="left" vertical="center"/>
    </xf>
    <xf numFmtId="0" fontId="0" fillId="0" borderId="0" xfId="0" applyAlignment="1">
      <alignment horizontal="left" vertical="center"/>
    </xf>
    <xf numFmtId="0" fontId="15" fillId="0" borderId="27" xfId="0" applyFont="1" applyBorder="1" applyAlignment="1">
      <alignment horizontal="left" vertical="center"/>
    </xf>
    <xf numFmtId="0" fontId="15" fillId="0" borderId="0" xfId="0" applyFont="1" applyBorder="1" applyAlignment="1">
      <alignment horizontal="left" vertical="center"/>
    </xf>
    <xf numFmtId="0" fontId="15" fillId="6" borderId="23" xfId="0" applyFont="1" applyFill="1" applyBorder="1" applyAlignment="1">
      <alignment horizontal="left" vertical="center"/>
    </xf>
    <xf numFmtId="0" fontId="15" fillId="0" borderId="0" xfId="0" applyFont="1" applyAlignment="1">
      <alignment horizontal="left" vertical="center"/>
    </xf>
    <xf numFmtId="0" fontId="15" fillId="6" borderId="24" xfId="0" applyFont="1" applyFill="1" applyBorder="1" applyAlignment="1">
      <alignment horizontal="left" vertical="center" shrinkToFit="1"/>
    </xf>
    <xf numFmtId="0" fontId="15" fillId="6" borderId="49" xfId="0" applyFont="1" applyFill="1" applyBorder="1" applyAlignment="1">
      <alignment horizontal="left" vertical="center" shrinkToFit="1"/>
    </xf>
    <xf numFmtId="0" fontId="15" fillId="6" borderId="23" xfId="0" applyFont="1" applyFill="1" applyBorder="1" applyAlignment="1">
      <alignment horizontal="left" vertical="center" shrinkToFit="1"/>
    </xf>
    <xf numFmtId="0" fontId="17" fillId="8" borderId="23" xfId="0" applyFont="1" applyFill="1" applyBorder="1" applyAlignment="1">
      <alignment horizontal="left" vertical="center"/>
    </xf>
    <xf numFmtId="0" fontId="0" fillId="0" borderId="24" xfId="0" applyBorder="1" applyAlignment="1">
      <alignment horizontal="left"/>
    </xf>
    <xf numFmtId="0" fontId="4" fillId="0" borderId="24" xfId="0" applyFont="1" applyBorder="1" applyAlignment="1"/>
    <xf numFmtId="0" fontId="17" fillId="8" borderId="23" xfId="0" applyFont="1" applyFill="1" applyBorder="1" applyAlignment="1">
      <alignment vertical="center"/>
    </xf>
    <xf numFmtId="0" fontId="0" fillId="0" borderId="24" xfId="0" applyBorder="1" applyAlignment="1"/>
    <xf numFmtId="0" fontId="4" fillId="0" borderId="24" xfId="0" applyFont="1" applyBorder="1" applyAlignment="1">
      <alignment horizontal="left" vertical="center"/>
    </xf>
    <xf numFmtId="0" fontId="4" fillId="0" borderId="49" xfId="0" applyFont="1" applyBorder="1" applyAlignment="1">
      <alignment horizontal="left" vertical="center"/>
    </xf>
    <xf numFmtId="0" fontId="17" fillId="8" borderId="23" xfId="0" applyFont="1" applyFill="1" applyBorder="1" applyAlignment="1">
      <alignment vertical="center" wrapText="1"/>
    </xf>
    <xf numFmtId="0" fontId="0" fillId="0" borderId="24" xfId="0" applyBorder="1" applyAlignment="1">
      <alignment vertical="center" wrapText="1"/>
    </xf>
    <xf numFmtId="0" fontId="17" fillId="14" borderId="23" xfId="0" applyFont="1" applyFill="1" applyBorder="1" applyAlignment="1">
      <alignment horizontal="left" vertical="center"/>
    </xf>
    <xf numFmtId="0" fontId="17" fillId="14" borderId="24" xfId="0" applyFont="1" applyFill="1" applyBorder="1" applyAlignment="1">
      <alignment horizontal="left" vertical="center"/>
    </xf>
    <xf numFmtId="0" fontId="4" fillId="12" borderId="24" xfId="0" applyFont="1" applyFill="1" applyBorder="1" applyAlignment="1" applyProtection="1">
      <alignment horizontal="left" vertical="center"/>
      <protection locked="0"/>
    </xf>
    <xf numFmtId="0" fontId="4" fillId="12" borderId="49" xfId="0" applyFont="1" applyFill="1" applyBorder="1" applyAlignment="1" applyProtection="1">
      <alignment horizontal="left" vertical="center"/>
      <protection locked="0"/>
    </xf>
    <xf numFmtId="0" fontId="28" fillId="6" borderId="24" xfId="0" applyFont="1" applyFill="1" applyBorder="1" applyAlignment="1">
      <alignment horizontal="left" vertical="center" shrinkToFit="1"/>
    </xf>
    <xf numFmtId="0" fontId="28" fillId="6" borderId="49" xfId="0" applyFont="1" applyFill="1" applyBorder="1" applyAlignment="1">
      <alignment horizontal="left" vertical="center" shrinkToFit="1"/>
    </xf>
    <xf numFmtId="0" fontId="17" fillId="8" borderId="23" xfId="0" applyFont="1" applyFill="1" applyBorder="1" applyAlignment="1">
      <alignment horizontal="left" vertical="center" wrapText="1"/>
    </xf>
    <xf numFmtId="0" fontId="17" fillId="8" borderId="24" xfId="0" applyFont="1" applyFill="1" applyBorder="1" applyAlignment="1">
      <alignment horizontal="left" vertical="center" wrapText="1"/>
    </xf>
    <xf numFmtId="0" fontId="37" fillId="7" borderId="0" xfId="0" applyFont="1" applyFill="1" applyAlignment="1">
      <alignment horizontal="left" vertical="center"/>
    </xf>
    <xf numFmtId="0" fontId="28" fillId="6" borderId="24" xfId="0" applyFont="1" applyFill="1" applyBorder="1" applyAlignment="1">
      <alignment horizontal="left" vertical="center" wrapText="1"/>
    </xf>
    <xf numFmtId="0" fontId="17" fillId="0" borderId="24" xfId="0" applyFont="1" applyBorder="1" applyAlignment="1">
      <alignment horizontal="left" vertical="center" wrapText="1"/>
    </xf>
    <xf numFmtId="0" fontId="17" fillId="0" borderId="49" xfId="0" applyFont="1" applyBorder="1" applyAlignment="1">
      <alignment horizontal="left" vertical="center" wrapText="1"/>
    </xf>
    <xf numFmtId="0" fontId="28" fillId="6" borderId="24" xfId="0" applyNumberFormat="1" applyFont="1" applyFill="1" applyBorder="1" applyAlignment="1">
      <alignment horizontal="left" vertical="center" wrapText="1"/>
    </xf>
    <xf numFmtId="0" fontId="28" fillId="6" borderId="49" xfId="0" applyNumberFormat="1" applyFont="1" applyFill="1" applyBorder="1" applyAlignment="1">
      <alignment horizontal="left" vertical="center" wrapText="1"/>
    </xf>
    <xf numFmtId="0" fontId="28" fillId="6" borderId="23" xfId="0" applyFont="1" applyFill="1" applyBorder="1" applyAlignment="1">
      <alignment horizontal="left" vertical="center"/>
    </xf>
    <xf numFmtId="0" fontId="17" fillId="0" borderId="49" xfId="0" applyFont="1" applyBorder="1" applyAlignment="1">
      <alignment horizontal="left" vertical="center"/>
    </xf>
    <xf numFmtId="2" fontId="28" fillId="13" borderId="34" xfId="0" applyNumberFormat="1" applyFont="1" applyFill="1" applyBorder="1" applyAlignment="1">
      <alignment horizontal="left" vertical="center"/>
    </xf>
    <xf numFmtId="2" fontId="28" fillId="13" borderId="48" xfId="0" applyNumberFormat="1" applyFont="1" applyFill="1" applyBorder="1" applyAlignment="1">
      <alignment horizontal="left" vertical="center"/>
    </xf>
    <xf numFmtId="0" fontId="28" fillId="12" borderId="24" xfId="0" applyFont="1" applyFill="1" applyBorder="1" applyAlignment="1" applyProtection="1">
      <alignment horizontal="left" vertical="center" shrinkToFit="1"/>
      <protection locked="0"/>
    </xf>
    <xf numFmtId="0" fontId="28" fillId="12" borderId="49" xfId="0" applyFont="1" applyFill="1" applyBorder="1" applyAlignment="1" applyProtection="1">
      <alignment horizontal="left" vertical="center" shrinkToFit="1"/>
      <protection locked="0"/>
    </xf>
    <xf numFmtId="0" fontId="17" fillId="0" borderId="1" xfId="0" applyFont="1" applyBorder="1" applyAlignment="1">
      <alignment vertical="center" wrapText="1"/>
    </xf>
    <xf numFmtId="0" fontId="26" fillId="12" borderId="9" xfId="0" applyFont="1" applyFill="1" applyBorder="1" applyAlignment="1" applyProtection="1">
      <alignment horizontal="left" vertical="center"/>
      <protection locked="0"/>
    </xf>
    <xf numFmtId="0" fontId="26" fillId="12" borderId="16" xfId="0" applyFont="1" applyFill="1" applyBorder="1" applyAlignment="1" applyProtection="1">
      <alignment horizontal="left" vertical="center"/>
      <protection locked="0"/>
    </xf>
    <xf numFmtId="2" fontId="28" fillId="6" borderId="24" xfId="0" applyNumberFormat="1" applyFont="1" applyFill="1" applyBorder="1" applyAlignment="1" applyProtection="1">
      <alignment horizontal="left" vertical="center"/>
    </xf>
    <xf numFmtId="2" fontId="28" fillId="6" borderId="49" xfId="0" applyNumberFormat="1" applyFont="1" applyFill="1" applyBorder="1" applyAlignment="1" applyProtection="1">
      <alignment horizontal="left" vertical="center"/>
    </xf>
    <xf numFmtId="0" fontId="28" fillId="6" borderId="24" xfId="0" applyFont="1" applyFill="1" applyBorder="1" applyAlignment="1" applyProtection="1">
      <alignment horizontal="left" vertical="center"/>
    </xf>
    <xf numFmtId="0" fontId="28" fillId="6" borderId="49" xfId="0" applyFont="1" applyFill="1" applyBorder="1" applyAlignment="1" applyProtection="1">
      <alignment horizontal="left" vertical="center"/>
    </xf>
    <xf numFmtId="0" fontId="17" fillId="0" borderId="47" xfId="0" applyFont="1" applyBorder="1" applyAlignment="1">
      <alignment horizontal="left" vertical="center"/>
    </xf>
    <xf numFmtId="0" fontId="17" fillId="0" borderId="34" xfId="0" applyFont="1" applyBorder="1" applyAlignment="1">
      <alignment horizontal="left" vertical="center"/>
    </xf>
    <xf numFmtId="0" fontId="28" fillId="6" borderId="34" xfId="0" applyFont="1" applyFill="1" applyBorder="1" applyAlignment="1">
      <alignment horizontal="left" vertical="center"/>
    </xf>
    <xf numFmtId="0" fontId="28" fillId="6" borderId="48" xfId="0" applyFont="1" applyFill="1" applyBorder="1" applyAlignment="1">
      <alignment horizontal="left" vertical="center"/>
    </xf>
    <xf numFmtId="49" fontId="15" fillId="6" borderId="24" xfId="0" applyNumberFormat="1" applyFont="1" applyFill="1" applyBorder="1" applyAlignment="1">
      <alignment horizontal="left" vertical="center"/>
    </xf>
    <xf numFmtId="0" fontId="27" fillId="12" borderId="24" xfId="0" applyFont="1" applyFill="1" applyBorder="1" applyAlignment="1" applyProtection="1">
      <alignment horizontal="left" vertical="center"/>
      <protection locked="0"/>
    </xf>
    <xf numFmtId="0" fontId="27" fillId="12" borderId="49" xfId="0" applyFont="1" applyFill="1" applyBorder="1" applyAlignment="1" applyProtection="1">
      <alignment horizontal="left" vertical="center"/>
      <protection locked="0"/>
    </xf>
    <xf numFmtId="1" fontId="15" fillId="6" borderId="24" xfId="0" applyNumberFormat="1" applyFont="1" applyFill="1" applyBorder="1" applyAlignment="1">
      <alignment horizontal="left" vertical="center"/>
    </xf>
    <xf numFmtId="0" fontId="15" fillId="6" borderId="24" xfId="0" applyFont="1" applyFill="1" applyBorder="1" applyAlignment="1" applyProtection="1">
      <alignment horizontal="center" vertical="center"/>
      <protection locked="0"/>
    </xf>
    <xf numFmtId="49" fontId="15" fillId="6" borderId="24" xfId="0" applyNumberFormat="1" applyFont="1" applyFill="1" applyBorder="1" applyAlignment="1">
      <alignment horizontal="center" vertical="center"/>
    </xf>
    <xf numFmtId="49" fontId="15" fillId="6" borderId="49" xfId="0" applyNumberFormat="1" applyFont="1" applyFill="1" applyBorder="1" applyAlignment="1">
      <alignment horizontal="center" vertical="center"/>
    </xf>
    <xf numFmtId="0" fontId="17" fillId="8" borderId="24" xfId="0" applyFont="1" applyFill="1" applyBorder="1" applyAlignment="1">
      <alignment horizontal="left" vertical="center"/>
    </xf>
    <xf numFmtId="1" fontId="15" fillId="6" borderId="49" xfId="0" applyNumberFormat="1" applyFont="1" applyFill="1" applyBorder="1" applyAlignment="1">
      <alignment horizontal="left" vertical="center"/>
    </xf>
    <xf numFmtId="0" fontId="20" fillId="6" borderId="34" xfId="0" applyFont="1" applyFill="1" applyBorder="1" applyAlignment="1">
      <alignment horizontal="left" vertical="center"/>
    </xf>
    <xf numFmtId="0" fontId="20" fillId="6" borderId="48" xfId="0" applyFont="1" applyFill="1" applyBorder="1" applyAlignment="1">
      <alignment horizontal="left" vertical="center"/>
    </xf>
    <xf numFmtId="0" fontId="20" fillId="12" borderId="24" xfId="0" applyFont="1" applyFill="1" applyBorder="1" applyAlignment="1" applyProtection="1">
      <alignment horizontal="left" vertical="center" shrinkToFit="1"/>
      <protection locked="0"/>
    </xf>
    <xf numFmtId="0" fontId="20" fillId="12" borderId="49" xfId="0" applyFont="1" applyFill="1" applyBorder="1" applyAlignment="1" applyProtection="1">
      <alignment horizontal="left" vertical="center" shrinkToFit="1"/>
      <protection locked="0"/>
    </xf>
    <xf numFmtId="0" fontId="10" fillId="0" borderId="0" xfId="0" applyFont="1" applyAlignment="1">
      <alignment horizontal="left" vertical="center"/>
    </xf>
    <xf numFmtId="0" fontId="15" fillId="6" borderId="49" xfId="0" applyFont="1" applyFill="1" applyBorder="1" applyAlignment="1" applyProtection="1">
      <alignment horizontal="left" vertical="center"/>
    </xf>
    <xf numFmtId="0" fontId="38" fillId="7" borderId="0" xfId="1" applyFont="1" applyFill="1" applyAlignment="1" applyProtection="1">
      <alignment horizontal="center" vertical="center"/>
    </xf>
    <xf numFmtId="0" fontId="20" fillId="6" borderId="24" xfId="0" applyFont="1" applyFill="1" applyBorder="1" applyAlignment="1" applyProtection="1">
      <alignment horizontal="left" vertical="center"/>
    </xf>
    <xf numFmtId="0" fontId="20" fillId="6" borderId="49" xfId="0" applyFont="1" applyFill="1" applyBorder="1" applyAlignment="1" applyProtection="1">
      <alignment horizontal="left" vertical="center"/>
    </xf>
    <xf numFmtId="165" fontId="20" fillId="6" borderId="24" xfId="0" applyNumberFormat="1" applyFont="1" applyFill="1" applyBorder="1" applyAlignment="1">
      <alignment horizontal="left" vertical="center"/>
    </xf>
    <xf numFmtId="165" fontId="20" fillId="6" borderId="49" xfId="0" applyNumberFormat="1" applyFont="1" applyFill="1" applyBorder="1" applyAlignment="1">
      <alignment horizontal="left" vertical="center"/>
    </xf>
    <xf numFmtId="2" fontId="20" fillId="6" borderId="24" xfId="0" applyNumberFormat="1" applyFont="1" applyFill="1" applyBorder="1" applyAlignment="1" applyProtection="1">
      <alignment horizontal="left" vertical="center"/>
    </xf>
    <xf numFmtId="2" fontId="20" fillId="6" borderId="49" xfId="0" applyNumberFormat="1" applyFont="1" applyFill="1" applyBorder="1" applyAlignment="1" applyProtection="1">
      <alignment horizontal="left" vertical="center"/>
    </xf>
    <xf numFmtId="2" fontId="20" fillId="12" borderId="24" xfId="0" applyNumberFormat="1" applyFont="1" applyFill="1" applyBorder="1" applyAlignment="1" applyProtection="1">
      <alignment horizontal="left" vertical="center"/>
      <protection locked="0"/>
    </xf>
    <xf numFmtId="2" fontId="20" fillId="12" borderId="49" xfId="0" applyNumberFormat="1" applyFont="1" applyFill="1" applyBorder="1" applyAlignment="1" applyProtection="1">
      <alignment horizontal="left" vertical="center"/>
      <protection locked="0"/>
    </xf>
    <xf numFmtId="0" fontId="20" fillId="12" borderId="34" xfId="0" applyFont="1" applyFill="1" applyBorder="1" applyAlignment="1" applyProtection="1">
      <alignment horizontal="left" vertical="center"/>
      <protection locked="0"/>
    </xf>
    <xf numFmtId="0" fontId="20" fillId="12" borderId="48" xfId="0" applyFont="1" applyFill="1" applyBorder="1" applyAlignment="1" applyProtection="1">
      <alignment horizontal="left" vertical="center"/>
      <protection locked="0"/>
    </xf>
    <xf numFmtId="0" fontId="30" fillId="6" borderId="24" xfId="0" applyFont="1" applyFill="1" applyBorder="1" applyAlignment="1">
      <alignment horizontal="left" vertical="center"/>
    </xf>
    <xf numFmtId="0" fontId="30" fillId="6" borderId="49" xfId="0" applyFont="1" applyFill="1" applyBorder="1" applyAlignment="1">
      <alignment horizontal="left" vertical="center"/>
    </xf>
    <xf numFmtId="0" fontId="20" fillId="6" borderId="24" xfId="0" applyFont="1" applyFill="1" applyBorder="1" applyAlignment="1">
      <alignment horizontal="left" vertical="center"/>
    </xf>
    <xf numFmtId="0" fontId="20" fillId="6" borderId="49" xfId="0" applyFont="1" applyFill="1" applyBorder="1" applyAlignment="1">
      <alignment horizontal="left" vertical="center"/>
    </xf>
    <xf numFmtId="1" fontId="20" fillId="12" borderId="24" xfId="0" applyNumberFormat="1" applyFont="1" applyFill="1" applyBorder="1" applyAlignment="1" applyProtection="1">
      <alignment horizontal="left" vertical="center"/>
      <protection locked="0"/>
    </xf>
    <xf numFmtId="1" fontId="20" fillId="12" borderId="49" xfId="0" applyNumberFormat="1" applyFont="1" applyFill="1" applyBorder="1" applyAlignment="1" applyProtection="1">
      <alignment horizontal="left" vertical="center"/>
      <protection locked="0"/>
    </xf>
    <xf numFmtId="0" fontId="29" fillId="6" borderId="24" xfId="0" applyFont="1" applyFill="1" applyBorder="1" applyAlignment="1" applyProtection="1">
      <alignment horizontal="left" vertical="center"/>
    </xf>
    <xf numFmtId="0" fontId="29" fillId="6" borderId="49" xfId="0" applyFont="1" applyFill="1" applyBorder="1" applyAlignment="1" applyProtection="1">
      <alignment horizontal="left" vertical="center"/>
    </xf>
    <xf numFmtId="166" fontId="20" fillId="12" borderId="24" xfId="0" applyNumberFormat="1" applyFont="1" applyFill="1" applyBorder="1" applyAlignment="1" applyProtection="1">
      <alignment horizontal="left" vertical="center"/>
      <protection locked="0"/>
    </xf>
    <xf numFmtId="166" fontId="20" fillId="12" borderId="49" xfId="0" applyNumberFormat="1" applyFont="1" applyFill="1" applyBorder="1" applyAlignment="1" applyProtection="1">
      <alignment horizontal="left" vertical="center"/>
      <protection locked="0"/>
    </xf>
    <xf numFmtId="164" fontId="0" fillId="6" borderId="0" xfId="0" applyNumberFormat="1" applyFill="1" applyAlignment="1">
      <alignment horizontal="left" vertical="center"/>
    </xf>
    <xf numFmtId="0" fontId="6" fillId="0" borderId="17" xfId="0" applyFont="1" applyBorder="1" applyAlignment="1">
      <alignment horizontal="center"/>
    </xf>
    <xf numFmtId="0" fontId="6" fillId="0" borderId="18" xfId="0" applyFont="1" applyBorder="1" applyAlignment="1">
      <alignment horizontal="center"/>
    </xf>
    <xf numFmtId="0" fontId="31" fillId="6" borderId="19" xfId="1" applyFont="1" applyFill="1" applyBorder="1" applyAlignment="1" applyProtection="1">
      <alignment horizontal="center" vertical="center"/>
    </xf>
    <xf numFmtId="0" fontId="31" fillId="6" borderId="20" xfId="1" applyFont="1" applyFill="1" applyBorder="1" applyAlignment="1" applyProtection="1">
      <alignment horizontal="center" vertical="center"/>
    </xf>
    <xf numFmtId="0" fontId="31" fillId="6" borderId="21" xfId="1" applyFont="1" applyFill="1" applyBorder="1" applyAlignment="1" applyProtection="1">
      <alignment horizontal="center" vertical="center"/>
    </xf>
    <xf numFmtId="0" fontId="31" fillId="6" borderId="22" xfId="1" applyFont="1" applyFill="1" applyBorder="1" applyAlignment="1" applyProtection="1">
      <alignment horizontal="center" vertical="center"/>
    </xf>
    <xf numFmtId="0" fontId="10" fillId="0" borderId="0" xfId="0" applyFont="1" applyAlignment="1">
      <alignment horizontal="center" wrapText="1"/>
    </xf>
    <xf numFmtId="0" fontId="5" fillId="0" borderId="0" xfId="1" applyAlignment="1" applyProtection="1">
      <alignment horizontal="center"/>
      <protection locked="0"/>
    </xf>
    <xf numFmtId="0" fontId="3" fillId="0" borderId="0" xfId="0" applyFont="1" applyAlignment="1" applyProtection="1">
      <alignment horizontal="center"/>
      <protection locked="0"/>
    </xf>
    <xf numFmtId="0" fontId="31" fillId="6" borderId="19" xfId="1" applyFont="1" applyFill="1" applyBorder="1" applyAlignment="1" applyProtection="1">
      <alignment horizontal="center" vertical="center" wrapText="1"/>
      <protection locked="0"/>
    </xf>
    <xf numFmtId="0" fontId="31" fillId="6" borderId="20" xfId="1" applyFont="1" applyFill="1" applyBorder="1" applyAlignment="1" applyProtection="1">
      <alignment horizontal="center" vertical="center"/>
      <protection locked="0"/>
    </xf>
    <xf numFmtId="0" fontId="31" fillId="6" borderId="21" xfId="1" applyFont="1" applyFill="1" applyBorder="1" applyAlignment="1" applyProtection="1">
      <alignment horizontal="center" vertical="center"/>
      <protection locked="0"/>
    </xf>
    <xf numFmtId="0" fontId="31" fillId="6" borderId="22" xfId="1" applyFont="1" applyFill="1" applyBorder="1" applyAlignment="1" applyProtection="1">
      <alignment horizontal="center" vertical="center"/>
      <protection locked="0"/>
    </xf>
    <xf numFmtId="0" fontId="31" fillId="6" borderId="20" xfId="1" applyFont="1" applyFill="1" applyBorder="1" applyAlignment="1" applyProtection="1">
      <alignment horizontal="center" vertical="center" wrapText="1"/>
      <protection locked="0"/>
    </xf>
    <xf numFmtId="0" fontId="31" fillId="6" borderId="21" xfId="1" applyFont="1" applyFill="1" applyBorder="1" applyAlignment="1" applyProtection="1">
      <alignment horizontal="center" vertical="center" wrapText="1"/>
      <protection locked="0"/>
    </xf>
    <xf numFmtId="0" fontId="31" fillId="6" borderId="22" xfId="1" applyFont="1" applyFill="1" applyBorder="1" applyAlignment="1" applyProtection="1">
      <alignment horizontal="center" vertical="center" wrapText="1"/>
      <protection locked="0"/>
    </xf>
  </cellXfs>
  <cellStyles count="2">
    <cellStyle name="Hyperlink" xfId="1" builtinId="8"/>
    <cellStyle name="Normal" xfId="0" builtinId="0"/>
  </cellStyles>
  <dxfs count="61">
    <dxf>
      <font>
        <color rgb="FFFF0000"/>
      </font>
      <fill>
        <patternFill patternType="solid">
          <fgColor indexed="64"/>
          <bgColor theme="0" tint="-0.14999847407452621"/>
        </patternFill>
      </fill>
    </dxf>
    <dxf>
      <font>
        <color theme="0"/>
      </font>
      <fill>
        <patternFill patternType="none">
          <fgColor indexed="64"/>
          <bgColor indexed="65"/>
        </patternFill>
      </fill>
      <border>
        <left/>
        <right/>
        <top/>
        <bottom/>
      </border>
    </dxf>
    <dxf>
      <font>
        <color rgb="FFFF0000"/>
      </font>
      <fill>
        <patternFill patternType="solid">
          <fgColor indexed="64"/>
          <bgColor theme="0" tint="-0.14999847407452621"/>
        </patternFill>
      </fill>
      <border>
        <left style="thin">
          <color theme="0" tint="-0.34998626667073579"/>
        </left>
        <right style="thin">
          <color theme="0" tint="-0.34998626667073579"/>
        </right>
        <top style="thin">
          <color theme="0" tint="-0.34998626667073579"/>
        </top>
        <bottom style="thin">
          <color theme="0" tint="-0.34998626667073579"/>
        </bottom>
      </border>
    </dxf>
    <dxf>
      <font>
        <color rgb="FFFF0000"/>
      </font>
      <fill>
        <patternFill patternType="solid">
          <fgColor indexed="64"/>
          <bgColor theme="8" tint="0.59999389629810485"/>
        </patternFill>
      </fill>
    </dxf>
    <dxf>
      <font>
        <color rgb="FFFF0000"/>
      </font>
      <fill>
        <patternFill patternType="solid">
          <fgColor indexed="64"/>
          <bgColor theme="8" tint="0.59999389629810485"/>
        </patternFill>
      </fill>
    </dxf>
    <dxf>
      <font>
        <color rgb="FFFF0000"/>
      </font>
      <fill>
        <patternFill patternType="solid">
          <fgColor indexed="64"/>
          <bgColor theme="8" tint="0.59999389629810485"/>
        </patternFill>
      </fill>
    </dxf>
    <dxf>
      <font>
        <color rgb="FFFFFF00"/>
      </font>
      <fill>
        <patternFill patternType="solid">
          <fgColor indexed="64"/>
          <bgColor rgb="FFFFFF00"/>
        </patternFill>
      </fill>
    </dxf>
    <dxf>
      <font>
        <color theme="0"/>
      </font>
      <fill>
        <patternFill patternType="none">
          <fgColor indexed="64"/>
          <bgColor indexed="65"/>
        </patternFill>
      </fill>
      <border>
        <left style="thin">
          <color theme="0" tint="-0.34998626667073579"/>
        </left>
        <right/>
        <top/>
        <bottom/>
      </border>
    </dxf>
    <dxf>
      <font>
        <color theme="0"/>
      </font>
      <fill>
        <patternFill patternType="none">
          <fgColor indexed="64"/>
          <bgColor indexed="65"/>
        </patternFill>
      </fill>
      <border>
        <left style="thin">
          <color theme="0" tint="-0.34998626667073579"/>
        </left>
        <right/>
        <top/>
        <bottom/>
      </border>
    </dxf>
    <dxf>
      <font>
        <color theme="0"/>
      </font>
      <fill>
        <patternFill patternType="none">
          <fgColor indexed="64"/>
          <bgColor indexed="65"/>
        </patternFill>
      </fill>
      <border>
        <left style="thin">
          <color theme="0" tint="-0.34998626667073579"/>
        </left>
        <right/>
        <top/>
        <bottom/>
      </border>
    </dxf>
    <dxf>
      <font>
        <color theme="0"/>
      </font>
      <fill>
        <patternFill patternType="none">
          <fgColor indexed="64"/>
          <bgColor indexed="65"/>
        </patternFill>
      </fill>
      <border>
        <left style="thin">
          <color theme="0" tint="-0.34998626667073579"/>
        </left>
        <right/>
        <top/>
        <bottom/>
      </border>
    </dxf>
    <dxf>
      <font>
        <color theme="0" tint="-0.14999847407452621"/>
      </font>
      <fill>
        <patternFill patternType="solid">
          <fgColor indexed="64"/>
          <bgColor theme="0" tint="-0.14999847407452621"/>
        </patternFill>
      </fill>
    </dxf>
    <dxf>
      <font>
        <color theme="0" tint="-0.14999847407452621"/>
      </font>
      <fill>
        <patternFill patternType="solid">
          <fgColor indexed="64"/>
          <bgColor theme="0" tint="-0.14999847407452621"/>
        </patternFill>
      </fill>
    </dxf>
    <dxf>
      <font>
        <color theme="0"/>
      </font>
      <fill>
        <patternFill patternType="none">
          <fgColor indexed="64"/>
          <bgColor indexed="65"/>
        </patternFill>
      </fill>
    </dxf>
    <dxf>
      <font>
        <b val="0"/>
        <i val="0"/>
        <condense val="0"/>
        <extend val="0"/>
        <color auto="1"/>
      </font>
    </dxf>
    <dxf>
      <font>
        <b/>
        <i val="0"/>
        <condense val="0"/>
        <extend val="0"/>
        <color indexed="9"/>
      </font>
    </dxf>
    <dxf>
      <font>
        <color theme="8" tint="0.59999389629810485"/>
      </font>
      <fill>
        <patternFill patternType="solid">
          <fgColor indexed="64"/>
          <bgColor theme="8" tint="0.59999389629810485"/>
        </patternFill>
      </fill>
    </dxf>
    <dxf>
      <font>
        <b val="0"/>
        <i val="0"/>
        <condense val="0"/>
        <extend val="0"/>
        <color auto="1"/>
      </font>
    </dxf>
    <dxf>
      <font>
        <b/>
        <i val="0"/>
        <condense val="0"/>
        <extend val="0"/>
        <color indexed="9"/>
      </font>
    </dxf>
    <dxf>
      <font>
        <color theme="8" tint="0.59999389629810485"/>
      </font>
      <fill>
        <patternFill patternType="solid">
          <fgColor indexed="64"/>
          <bgColor theme="8" tint="0.59999389629810485"/>
        </patternFill>
      </fill>
    </dxf>
    <dxf>
      <font>
        <color theme="8" tint="0.59999389629810485"/>
      </font>
      <fill>
        <patternFill patternType="solid">
          <fgColor indexed="64"/>
          <bgColor theme="8" tint="0.59999389629810485"/>
        </patternFill>
      </fill>
    </dxf>
    <dxf>
      <font>
        <color theme="8" tint="0.59999389629810485"/>
      </font>
      <fill>
        <patternFill patternType="solid">
          <fgColor indexed="64"/>
          <bgColor theme="8" tint="0.59999389629810485"/>
        </patternFill>
      </fill>
    </dxf>
    <dxf>
      <font>
        <color rgb="FFFF0000"/>
      </font>
      <fill>
        <patternFill patternType="solid">
          <fgColor indexed="64"/>
          <bgColor theme="8" tint="0.59999389629810485"/>
        </patternFill>
      </fill>
    </dxf>
    <dxf>
      <font>
        <color theme="8" tint="0.59999389629810485"/>
      </font>
      <fill>
        <patternFill patternType="solid">
          <fgColor indexed="64"/>
          <bgColor theme="8" tint="0.59999389629810485"/>
        </patternFill>
      </fill>
    </dxf>
    <dxf>
      <font>
        <color rgb="FFFF0000"/>
      </font>
      <fill>
        <patternFill patternType="solid">
          <fgColor indexed="64"/>
          <bgColor theme="8" tint="0.59999389629810485"/>
        </patternFill>
      </fill>
    </dxf>
    <dxf>
      <font>
        <color rgb="FFFF0000"/>
      </font>
      <fill>
        <patternFill patternType="solid">
          <fgColor indexed="64"/>
          <bgColor theme="8" tint="0.59999389629810485"/>
        </patternFill>
      </fill>
    </dxf>
    <dxf>
      <font>
        <b/>
        <i val="0"/>
        <color theme="8" tint="0.59999389629810485"/>
      </font>
      <fill>
        <patternFill patternType="solid">
          <fgColor indexed="64"/>
          <bgColor theme="8" tint="0.59999389629810485"/>
        </patternFill>
      </fill>
    </dxf>
    <dxf>
      <font>
        <color theme="8" tint="0.59999389629810485"/>
      </font>
      <fill>
        <patternFill patternType="solid">
          <fgColor indexed="64"/>
          <bgColor theme="8" tint="0.59999389629810485"/>
        </patternFill>
      </fill>
    </dxf>
    <dxf>
      <font>
        <color theme="8" tint="0.59999389629810485"/>
      </font>
      <fill>
        <patternFill patternType="solid">
          <fgColor indexed="64"/>
          <bgColor theme="8" tint="0.59999389629810485"/>
        </patternFill>
      </fill>
    </dxf>
    <dxf>
      <font>
        <color theme="8" tint="0.59999389629810485"/>
      </font>
      <fill>
        <patternFill patternType="solid">
          <fgColor indexed="64"/>
          <bgColor theme="8" tint="0.59999389629810485"/>
        </patternFill>
      </fill>
    </dxf>
    <dxf>
      <font>
        <color theme="8" tint="0.59999389629810485"/>
      </font>
      <fill>
        <patternFill patternType="solid">
          <fgColor indexed="64"/>
          <bgColor theme="8" tint="0.59999389629810485"/>
        </patternFill>
      </fill>
    </dxf>
    <dxf>
      <font>
        <color theme="8" tint="0.59999389629810485"/>
      </font>
      <fill>
        <patternFill patternType="solid">
          <fgColor indexed="64"/>
          <bgColor theme="8" tint="0.59999389629810485"/>
        </patternFill>
      </fill>
    </dxf>
    <dxf>
      <font>
        <color theme="8" tint="0.59999389629810485"/>
      </font>
      <fill>
        <patternFill patternType="solid">
          <fgColor indexed="64"/>
          <bgColor theme="8" tint="0.59999389629810485"/>
        </patternFill>
      </fill>
    </dxf>
    <dxf>
      <font>
        <b/>
        <i val="0"/>
        <color theme="8" tint="0.59999389629810485"/>
      </font>
      <fill>
        <patternFill patternType="solid">
          <fgColor indexed="64"/>
          <bgColor theme="8" tint="0.59999389629810485"/>
        </patternFill>
      </fill>
    </dxf>
    <dxf>
      <font>
        <b val="0"/>
        <i val="0"/>
        <condense val="0"/>
        <extend val="0"/>
        <color auto="1"/>
      </font>
    </dxf>
    <dxf>
      <font>
        <b/>
        <i val="0"/>
        <condense val="0"/>
        <extend val="0"/>
        <color indexed="9"/>
      </font>
    </dxf>
    <dxf>
      <font>
        <b val="0"/>
        <i val="0"/>
        <condense val="0"/>
        <extend val="0"/>
        <color auto="1"/>
      </font>
    </dxf>
    <dxf>
      <font>
        <b/>
        <i val="0"/>
        <condense val="0"/>
        <extend val="0"/>
        <color indexed="9"/>
      </font>
    </dxf>
    <dxf>
      <font>
        <b/>
        <i val="0"/>
        <color theme="8" tint="0.59999389629810485"/>
      </font>
      <fill>
        <patternFill patternType="solid">
          <fgColor indexed="64"/>
          <bgColor theme="8" tint="0.59999389629810485"/>
        </patternFill>
      </fill>
    </dxf>
    <dxf>
      <font>
        <b/>
        <i val="0"/>
        <color theme="8" tint="0.59999389629810485"/>
      </font>
      <fill>
        <patternFill patternType="solid">
          <fgColor indexed="64"/>
          <bgColor theme="8" tint="0.59999389629810485"/>
        </patternFill>
      </fill>
    </dxf>
    <dxf>
      <font>
        <b/>
        <i val="0"/>
        <color theme="8" tint="0.59999389629810485"/>
      </font>
      <fill>
        <patternFill patternType="solid">
          <fgColor indexed="64"/>
          <bgColor theme="8" tint="0.59999389629810485"/>
        </patternFill>
      </fill>
    </dxf>
    <dxf>
      <font>
        <b val="0"/>
        <i val="0"/>
        <condense val="0"/>
        <extend val="0"/>
        <color auto="1"/>
      </font>
    </dxf>
    <dxf>
      <font>
        <b/>
        <i val="0"/>
        <condense val="0"/>
        <extend val="0"/>
        <color indexed="9"/>
      </font>
    </dxf>
    <dxf>
      <font>
        <color rgb="FFFF0000"/>
      </font>
      <fill>
        <patternFill patternType="solid">
          <fgColor indexed="64"/>
          <bgColor theme="8" tint="0.59999389629810485"/>
        </patternFill>
      </fill>
    </dxf>
    <dxf>
      <font>
        <color theme="8" tint="0.59999389629810485"/>
      </font>
      <fill>
        <patternFill patternType="solid">
          <fgColor indexed="64"/>
          <bgColor theme="8" tint="0.59999389629810485"/>
        </patternFill>
      </fill>
    </dxf>
    <dxf>
      <font>
        <color theme="8" tint="0.59999389629810485"/>
      </font>
      <fill>
        <patternFill patternType="solid">
          <fgColor indexed="64"/>
          <bgColor theme="8" tint="0.59999389629810485"/>
        </patternFill>
      </fill>
    </dxf>
    <dxf>
      <font>
        <color rgb="FF9C0006"/>
      </font>
      <fill>
        <patternFill patternType="solid">
          <fgColor indexed="64"/>
          <bgColor theme="8" tint="0.59999389629810485"/>
        </patternFill>
      </fill>
    </dxf>
    <dxf>
      <font>
        <color theme="8" tint="0.59999389629810485"/>
      </font>
      <fill>
        <patternFill patternType="solid">
          <fgColor indexed="64"/>
          <bgColor theme="8" tint="0.59999389629810485"/>
        </patternFill>
      </fill>
    </dxf>
    <dxf>
      <font>
        <color rgb="FFFF0000"/>
      </font>
      <fill>
        <patternFill patternType="solid">
          <fgColor indexed="64"/>
          <bgColor theme="8" tint="0.59999389629810485"/>
        </patternFill>
      </fill>
    </dxf>
    <dxf>
      <font>
        <color auto="1"/>
      </font>
      <fill>
        <patternFill patternType="solid">
          <fgColor indexed="64"/>
          <bgColor theme="8" tint="0.59999389629810485"/>
        </patternFill>
      </fill>
    </dxf>
    <dxf>
      <font>
        <color rgb="FFFF0000"/>
      </font>
      <fill>
        <patternFill patternType="solid">
          <fgColor indexed="64"/>
          <bgColor theme="8" tint="0.59999389629810485"/>
        </patternFill>
      </fill>
    </dxf>
    <dxf>
      <font>
        <condense val="0"/>
        <extend val="0"/>
        <color auto="1"/>
      </font>
    </dxf>
    <dxf>
      <font>
        <color theme="0"/>
      </font>
      <fill>
        <patternFill patternType="none">
          <fgColor indexed="64"/>
          <bgColor indexed="65"/>
        </patternFill>
      </fill>
    </dxf>
    <dxf>
      <font>
        <color auto="1"/>
      </font>
      <fill>
        <patternFill patternType="solid">
          <fgColor indexed="64"/>
          <bgColor theme="8" tint="0.59999389629810485"/>
        </patternFill>
      </fill>
    </dxf>
    <dxf>
      <font>
        <b/>
        <i val="0"/>
        <color theme="8" tint="0.59999389629810485"/>
      </font>
      <fill>
        <patternFill patternType="solid">
          <fgColor indexed="64"/>
          <bgColor theme="8" tint="0.59999389629810485"/>
        </patternFill>
      </fill>
    </dxf>
    <dxf>
      <font>
        <b/>
        <i val="0"/>
        <condense val="0"/>
        <extend val="0"/>
        <color indexed="10"/>
      </font>
      <fill>
        <patternFill patternType="solid">
          <fgColor indexed="64"/>
          <bgColor rgb="FFFFFF00"/>
        </patternFill>
      </fill>
      <border>
        <left/>
        <right/>
        <top/>
        <bottom/>
      </border>
    </dxf>
    <dxf>
      <font>
        <b/>
        <i val="0"/>
        <color theme="8" tint="0.59999389629810485"/>
      </font>
      <fill>
        <patternFill patternType="solid">
          <fgColor indexed="64"/>
          <bgColor theme="8" tint="0.59999389629810485"/>
        </patternFill>
      </fill>
    </dxf>
    <dxf>
      <font>
        <condense val="0"/>
        <extend val="0"/>
        <color indexed="9"/>
      </font>
      <border>
        <left/>
        <right/>
        <top/>
        <bottom/>
      </border>
    </dxf>
    <dxf>
      <font>
        <color theme="8" tint="0.59999389629810485"/>
      </font>
      <fill>
        <patternFill patternType="solid">
          <fgColor indexed="64"/>
          <bgColor theme="8" tint="0.59999389629810485"/>
        </patternFill>
      </fill>
    </dxf>
    <dxf>
      <font>
        <b/>
        <i val="0"/>
        <color theme="8" tint="0.59999389629810485"/>
      </font>
      <fill>
        <patternFill patternType="solid">
          <fgColor indexed="64"/>
          <bgColor theme="8" tint="0.59999389629810485"/>
        </patternFill>
      </fill>
    </dxf>
    <dxf>
      <font>
        <b/>
        <i val="0"/>
        <condense val="0"/>
        <extend val="0"/>
        <color indexed="10"/>
      </font>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D9DAD8"/>
      <rgbColor rgb="00DD2D32"/>
      <rgbColor rgb="00C4C4BF"/>
      <rgbColor rgb="00ACD1E1"/>
      <rgbColor rgb="006711FF"/>
      <rgbColor rgb="00FEA746"/>
      <rgbColor rgb="00865357"/>
      <rgbColor rgb="00A2BD90"/>
      <rgbColor rgb="0063AAFE"/>
      <rgbColor rgb="00DD2D32"/>
      <rgbColor rgb="00FFF58C"/>
      <rgbColor rgb="006F9C79"/>
      <rgbColor rgb="006711FF"/>
      <rgbColor rgb="00FEA746"/>
      <rgbColor rgb="00865357"/>
      <rgbColor rgb="00A2BD90"/>
      <rgbColor rgb="0000CCFF"/>
      <rgbColor rgb="00CCFFFF"/>
      <rgbColor rgb="00CCFFCC"/>
      <rgbColor rgb="00FDFF63"/>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Radio" firstButton="1"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fmlaLink="'General Data'!$C$4"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fmlaLink="'General Data'!$C$43"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CheckBox" fmlaLink="'General Data'!$A$32" lockText="1" noThreeD="1"/>
</file>

<file path=xl/ctrlProps/ctrlProp15.xml><?xml version="1.0" encoding="utf-8"?>
<formControlPr xmlns="http://schemas.microsoft.com/office/spreadsheetml/2009/9/main" objectType="CheckBox" fmlaLink="'General Data'!$A$35" lockText="1" noThreeD="1"/>
</file>

<file path=xl/ctrlProps/ctrlProp16.xml><?xml version="1.0" encoding="utf-8"?>
<formControlPr xmlns="http://schemas.microsoft.com/office/spreadsheetml/2009/9/main" objectType="CheckBox" fmlaLink="'General Data'!$A$28" lockText="1" noThreeD="1"/>
</file>

<file path=xl/ctrlProps/ctrlProp17.xml><?xml version="1.0" encoding="utf-8"?>
<formControlPr xmlns="http://schemas.microsoft.com/office/spreadsheetml/2009/9/main" objectType="Radio" firstButton="1" fmlaLink="$J$18"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CheckBox" fmlaLink="'General Data'!$A$32" lockText="1" noThreeD="1"/>
</file>

<file path=xl/ctrlProps/ctrlProp26.xml><?xml version="1.0" encoding="utf-8"?>
<formControlPr xmlns="http://schemas.microsoft.com/office/spreadsheetml/2009/9/main" objectType="CheckBox" fmlaLink="'General Data'!$A$35" lockText="1" noThreeD="1"/>
</file>

<file path=xl/ctrlProps/ctrlProp27.xml><?xml version="1.0" encoding="utf-8"?>
<formControlPr xmlns="http://schemas.microsoft.com/office/spreadsheetml/2009/9/main" objectType="CheckBox" fmlaLink="'General Data'!$A$28"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30</xdr:row>
          <xdr:rowOff>28575</xdr:rowOff>
        </xdr:from>
        <xdr:to>
          <xdr:col>4</xdr:col>
          <xdr:colOff>342900</xdr:colOff>
          <xdr:row>30</xdr:row>
          <xdr:rowOff>266700</xdr:rowOff>
        </xdr:to>
        <xdr:sp macro="" textlink="">
          <xdr:nvSpPr>
            <xdr:cNvPr id="2776" name="Check Box 728" hidden="1">
              <a:extLst>
                <a:ext uri="{63B3BB69-23CF-44E3-9099-C40C66FF867C}">
                  <a14:compatExt spid="_x0000_s27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30</xdr:row>
          <xdr:rowOff>28575</xdr:rowOff>
        </xdr:from>
        <xdr:to>
          <xdr:col>5</xdr:col>
          <xdr:colOff>390525</xdr:colOff>
          <xdr:row>30</xdr:row>
          <xdr:rowOff>266700</xdr:rowOff>
        </xdr:to>
        <xdr:sp macro="" textlink="">
          <xdr:nvSpPr>
            <xdr:cNvPr id="2777" name="Check Box 729" hidden="1">
              <a:extLst>
                <a:ext uri="{63B3BB69-23CF-44E3-9099-C40C66FF867C}">
                  <a14:compatExt spid="_x0000_s27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77</xdr:row>
          <xdr:rowOff>66675</xdr:rowOff>
        </xdr:from>
        <xdr:to>
          <xdr:col>0</xdr:col>
          <xdr:colOff>400050</xdr:colOff>
          <xdr:row>78</xdr:row>
          <xdr:rowOff>190500</xdr:rowOff>
        </xdr:to>
        <xdr:sp macro="" textlink="">
          <xdr:nvSpPr>
            <xdr:cNvPr id="2421" name="Option Button 373" hidden="1">
              <a:extLst>
                <a:ext uri="{63B3BB69-23CF-44E3-9099-C40C66FF867C}">
                  <a14:compatExt spid="_x0000_s24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77</xdr:row>
          <xdr:rowOff>66675</xdr:rowOff>
        </xdr:from>
        <xdr:to>
          <xdr:col>5</xdr:col>
          <xdr:colOff>352425</xdr:colOff>
          <xdr:row>78</xdr:row>
          <xdr:rowOff>190500</xdr:rowOff>
        </xdr:to>
        <xdr:sp macro="" textlink="">
          <xdr:nvSpPr>
            <xdr:cNvPr id="2422" name="Option Button 374" hidden="1">
              <a:extLst>
                <a:ext uri="{63B3BB69-23CF-44E3-9099-C40C66FF867C}">
                  <a14:compatExt spid="_x0000_s24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9525</xdr:rowOff>
        </xdr:from>
        <xdr:to>
          <xdr:col>3</xdr:col>
          <xdr:colOff>0</xdr:colOff>
          <xdr:row>55</xdr:row>
          <xdr:rowOff>0</xdr:rowOff>
        </xdr:to>
        <xdr:sp macro="" textlink="">
          <xdr:nvSpPr>
            <xdr:cNvPr id="2431" name="Group Box 383" hidden="1">
              <a:extLst>
                <a:ext uri="{63B3BB69-23CF-44E3-9099-C40C66FF867C}">
                  <a14:compatExt spid="_x0000_s243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77</xdr:row>
          <xdr:rowOff>38100</xdr:rowOff>
        </xdr:from>
        <xdr:to>
          <xdr:col>8</xdr:col>
          <xdr:colOff>962025</xdr:colOff>
          <xdr:row>79</xdr:row>
          <xdr:rowOff>28575</xdr:rowOff>
        </xdr:to>
        <xdr:sp macro="" textlink="">
          <xdr:nvSpPr>
            <xdr:cNvPr id="2434" name="Group Box 386" hidden="1">
              <a:extLst>
                <a:ext uri="{63B3BB69-23CF-44E3-9099-C40C66FF867C}">
                  <a14:compatExt spid="_x0000_s24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52</xdr:row>
          <xdr:rowOff>114300</xdr:rowOff>
        </xdr:from>
        <xdr:to>
          <xdr:col>1</xdr:col>
          <xdr:colOff>171450</xdr:colOff>
          <xdr:row>53</xdr:row>
          <xdr:rowOff>9525</xdr:rowOff>
        </xdr:to>
        <xdr:sp macro="" textlink="">
          <xdr:nvSpPr>
            <xdr:cNvPr id="2435" name="Option Button 387" hidden="1">
              <a:extLst>
                <a:ext uri="{63B3BB69-23CF-44E3-9099-C40C66FF867C}">
                  <a14:compatExt spid="_x0000_s24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1000" b="0" i="0" u="none" strike="noStrike" baseline="0">
                  <a:solidFill>
                    <a:srgbClr val="000000"/>
                  </a:solidFill>
                  <a:latin typeface="Geneva"/>
                </a:rPr>
                <a:t>New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54</xdr:row>
          <xdr:rowOff>38100</xdr:rowOff>
        </xdr:from>
        <xdr:to>
          <xdr:col>2</xdr:col>
          <xdr:colOff>838200</xdr:colOff>
          <xdr:row>54</xdr:row>
          <xdr:rowOff>266700</xdr:rowOff>
        </xdr:to>
        <xdr:sp macro="" textlink="">
          <xdr:nvSpPr>
            <xdr:cNvPr id="2436" name="Option Button 388" hidden="1">
              <a:extLst>
                <a:ext uri="{63B3BB69-23CF-44E3-9099-C40C66FF867C}">
                  <a14:compatExt spid="_x0000_s24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1000" b="0" i="0" u="none" strike="noStrike" baseline="0">
                  <a:solidFill>
                    <a:srgbClr val="000000"/>
                  </a:solidFill>
                  <a:latin typeface="Geneva"/>
                </a:rPr>
                <a:t>RWC (indicate movex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8</xdr:col>
          <xdr:colOff>1009650</xdr:colOff>
          <xdr:row>20</xdr:row>
          <xdr:rowOff>9525</xdr:rowOff>
        </xdr:to>
        <xdr:sp macro="" textlink="">
          <xdr:nvSpPr>
            <xdr:cNvPr id="2466" name="Group Box 418" hidden="1">
              <a:extLst>
                <a:ext uri="{63B3BB69-23CF-44E3-9099-C40C66FF867C}">
                  <a14:compatExt spid="_x0000_s246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60</xdr:row>
          <xdr:rowOff>38100</xdr:rowOff>
        </xdr:from>
        <xdr:to>
          <xdr:col>7</xdr:col>
          <xdr:colOff>0</xdr:colOff>
          <xdr:row>60</xdr:row>
          <xdr:rowOff>295275</xdr:rowOff>
        </xdr:to>
        <xdr:sp macro="" textlink="">
          <xdr:nvSpPr>
            <xdr:cNvPr id="2646" name="Option Button 598" hidden="1">
              <a:extLst>
                <a:ext uri="{63B3BB69-23CF-44E3-9099-C40C66FF867C}">
                  <a14:compatExt spid="_x0000_s26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1000" b="0" i="0" u="none" strike="noStrike" baseline="0">
                  <a:solidFill>
                    <a:srgbClr val="000000"/>
                  </a:solidFill>
                  <a:latin typeface="Geneva"/>
                </a:rPr>
                <a:t>1 Side (Front)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219075</xdr:colOff>
          <xdr:row>60</xdr:row>
          <xdr:rowOff>38100</xdr:rowOff>
        </xdr:from>
        <xdr:to>
          <xdr:col>8</xdr:col>
          <xdr:colOff>285750</xdr:colOff>
          <xdr:row>60</xdr:row>
          <xdr:rowOff>304800</xdr:rowOff>
        </xdr:to>
        <xdr:sp macro="" textlink="">
          <xdr:nvSpPr>
            <xdr:cNvPr id="2647" name="Option Button 599" hidden="1">
              <a:extLst>
                <a:ext uri="{63B3BB69-23CF-44E3-9099-C40C66FF867C}">
                  <a14:compatExt spid="_x0000_s26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1000" b="0" i="0" u="none" strike="noStrike" baseline="0">
                  <a:solidFill>
                    <a:srgbClr val="000000"/>
                  </a:solidFill>
                  <a:latin typeface="Geneva"/>
                </a:rPr>
                <a:t>1 Side (Back)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60</xdr:row>
          <xdr:rowOff>38100</xdr:rowOff>
        </xdr:from>
        <xdr:to>
          <xdr:col>4</xdr:col>
          <xdr:colOff>733425</xdr:colOff>
          <xdr:row>60</xdr:row>
          <xdr:rowOff>314325</xdr:rowOff>
        </xdr:to>
        <xdr:sp macro="" textlink="">
          <xdr:nvSpPr>
            <xdr:cNvPr id="2648" name="Option Button 600" hidden="1">
              <a:extLst>
                <a:ext uri="{63B3BB69-23CF-44E3-9099-C40C66FF867C}">
                  <a14:compatExt spid="_x0000_s26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1000" b="0" i="0" u="none" strike="noStrike" baseline="0">
                  <a:solidFill>
                    <a:srgbClr val="000000"/>
                  </a:solidFill>
                  <a:latin typeface="Geneva"/>
                </a:rPr>
                <a:t>2 Sides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8</xdr:col>
          <xdr:colOff>1019175</xdr:colOff>
          <xdr:row>60</xdr:row>
          <xdr:rowOff>314325</xdr:rowOff>
        </xdr:to>
        <xdr:sp macro="" textlink="">
          <xdr:nvSpPr>
            <xdr:cNvPr id="2649" name="Group Box 601" hidden="1">
              <a:extLst>
                <a:ext uri="{63B3BB69-23CF-44E3-9099-C40C66FF867C}">
                  <a14:compatExt spid="_x0000_s264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28575</xdr:rowOff>
        </xdr:from>
        <xdr:to>
          <xdr:col>4</xdr:col>
          <xdr:colOff>228600</xdr:colOff>
          <xdr:row>30</xdr:row>
          <xdr:rowOff>266700</xdr:rowOff>
        </xdr:to>
        <xdr:sp macro="" textlink="">
          <xdr:nvSpPr>
            <xdr:cNvPr id="2773" name="Check Box 725" hidden="1">
              <a:extLst>
                <a:ext uri="{63B3BB69-23CF-44E3-9099-C40C66FF867C}">
                  <a14:compatExt spid="_x0000_s27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30</xdr:row>
          <xdr:rowOff>28575</xdr:rowOff>
        </xdr:from>
        <xdr:to>
          <xdr:col>5</xdr:col>
          <xdr:colOff>266700</xdr:colOff>
          <xdr:row>30</xdr:row>
          <xdr:rowOff>266700</xdr:rowOff>
        </xdr:to>
        <xdr:sp macro="" textlink="">
          <xdr:nvSpPr>
            <xdr:cNvPr id="2774" name="Check Box 726" hidden="1">
              <a:extLst>
                <a:ext uri="{63B3BB69-23CF-44E3-9099-C40C66FF867C}">
                  <a14:compatExt spid="_x0000_s27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2</xdr:col>
      <xdr:colOff>280459</xdr:colOff>
      <xdr:row>30</xdr:row>
      <xdr:rowOff>43391</xdr:rowOff>
    </xdr:from>
    <xdr:ext cx="915965" cy="210250"/>
    <xdr:sp macro="" textlink="">
      <xdr:nvSpPr>
        <xdr:cNvPr id="30" name="TextBox 29"/>
        <xdr:cNvSpPr txBox="1"/>
      </xdr:nvSpPr>
      <xdr:spPr>
        <a:xfrm>
          <a:off x="1320272" y="5171016"/>
          <a:ext cx="915965"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800" b="1" i="0" u="none">
              <a:latin typeface="Arial"/>
              <a:cs typeface="Arial"/>
            </a:rPr>
            <a:t>K Seal</a:t>
          </a:r>
        </a:p>
      </xdr:txBody>
    </xdr:sp>
    <xdr:clientData/>
  </xdr:oneCellAnchor>
  <xdr:oneCellAnchor>
    <xdr:from>
      <xdr:col>4</xdr:col>
      <xdr:colOff>225425</xdr:colOff>
      <xdr:row>29</xdr:row>
      <xdr:rowOff>31748</xdr:rowOff>
    </xdr:from>
    <xdr:ext cx="889338" cy="442385"/>
    <xdr:sp macro="" textlink="">
      <xdr:nvSpPr>
        <xdr:cNvPr id="31" name="TextBox 30"/>
        <xdr:cNvSpPr txBox="1"/>
      </xdr:nvSpPr>
      <xdr:spPr>
        <a:xfrm>
          <a:off x="2700867" y="5281081"/>
          <a:ext cx="855133" cy="4423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lnSpc>
              <a:spcPts val="900"/>
            </a:lnSpc>
          </a:pPr>
          <a:r>
            <a:rPr lang="en-US" sz="800" b="1" i="0">
              <a:latin typeface="Arial"/>
              <a:cs typeface="Arial"/>
            </a:rPr>
            <a:t>Top </a:t>
          </a:r>
        </a:p>
        <a:p>
          <a:pPr algn="l">
            <a:lnSpc>
              <a:spcPts val="900"/>
            </a:lnSpc>
          </a:pPr>
          <a:r>
            <a:rPr lang="en-US" sz="800" b="1" i="0">
              <a:latin typeface="Arial"/>
              <a:cs typeface="Arial"/>
            </a:rPr>
            <a:t>Tack Seal</a:t>
          </a:r>
        </a:p>
      </xdr:txBody>
    </xdr:sp>
    <xdr:clientData/>
  </xdr:oneCellAnchor>
  <xdr:oneCellAnchor>
    <xdr:from>
      <xdr:col>5</xdr:col>
      <xdr:colOff>267756</xdr:colOff>
      <xdr:row>29</xdr:row>
      <xdr:rowOff>31748</xdr:rowOff>
    </xdr:from>
    <xdr:ext cx="874673" cy="441259"/>
    <xdr:sp macro="" textlink="">
      <xdr:nvSpPr>
        <xdr:cNvPr id="32" name="TextBox 31"/>
        <xdr:cNvSpPr txBox="1"/>
      </xdr:nvSpPr>
      <xdr:spPr>
        <a:xfrm>
          <a:off x="3835398" y="5281081"/>
          <a:ext cx="863601" cy="4508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lnSpc>
              <a:spcPts val="900"/>
            </a:lnSpc>
          </a:pPr>
          <a:r>
            <a:rPr lang="en-US" sz="800" b="1" i="0">
              <a:latin typeface="Arial"/>
              <a:cs typeface="Arial"/>
            </a:rPr>
            <a:t>Bottom</a:t>
          </a:r>
        </a:p>
        <a:p>
          <a:pPr algn="l">
            <a:lnSpc>
              <a:spcPts val="900"/>
            </a:lnSpc>
          </a:pPr>
          <a:r>
            <a:rPr lang="en-US" sz="800" b="1" i="0">
              <a:latin typeface="Arial"/>
              <a:cs typeface="Arial"/>
            </a:rPr>
            <a:t>Tack Seal</a:t>
          </a:r>
        </a:p>
      </xdr:txBody>
    </xdr:sp>
    <xdr:clientData/>
  </xdr:oneCellAnchor>
  <xdr:twoCellAnchor>
    <xdr:from>
      <xdr:col>2</xdr:col>
      <xdr:colOff>269875</xdr:colOff>
      <xdr:row>16</xdr:row>
      <xdr:rowOff>3176</xdr:rowOff>
    </xdr:from>
    <xdr:to>
      <xdr:col>5</xdr:col>
      <xdr:colOff>645439</xdr:colOff>
      <xdr:row>17</xdr:row>
      <xdr:rowOff>84030</xdr:rowOff>
    </xdr:to>
    <xdr:sp macro="" textlink="">
      <xdr:nvSpPr>
        <xdr:cNvPr id="34" name="TextBox 33"/>
        <xdr:cNvSpPr txBox="1"/>
      </xdr:nvSpPr>
      <xdr:spPr>
        <a:xfrm>
          <a:off x="1502833" y="2722034"/>
          <a:ext cx="2751667" cy="3359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a:cs typeface="Arial"/>
            </a:rPr>
            <a:t>Side Gusset CLOSED Zipper</a:t>
          </a:r>
        </a:p>
      </xdr:txBody>
    </xdr:sp>
    <xdr:clientData/>
  </xdr:twoCellAnchor>
  <xdr:twoCellAnchor>
    <xdr:from>
      <xdr:col>5</xdr:col>
      <xdr:colOff>893232</xdr:colOff>
      <xdr:row>16</xdr:row>
      <xdr:rowOff>2118</xdr:rowOff>
    </xdr:from>
    <xdr:to>
      <xdr:col>8</xdr:col>
      <xdr:colOff>882650</xdr:colOff>
      <xdr:row>17</xdr:row>
      <xdr:rowOff>33815</xdr:rowOff>
    </xdr:to>
    <xdr:sp macro="" textlink="">
      <xdr:nvSpPr>
        <xdr:cNvPr id="35" name="TextBox 34"/>
        <xdr:cNvSpPr txBox="1"/>
      </xdr:nvSpPr>
      <xdr:spPr>
        <a:xfrm>
          <a:off x="4540249" y="2711451"/>
          <a:ext cx="2349501" cy="286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a:cs typeface="Arial"/>
            </a:rPr>
            <a:t>Side Gusset NO Zipper</a:t>
          </a:r>
        </a:p>
      </xdr:txBody>
    </xdr:sp>
    <xdr:clientData/>
  </xdr:twoCellAnchor>
  <xdr:twoCellAnchor>
    <xdr:from>
      <xdr:col>2</xdr:col>
      <xdr:colOff>269875</xdr:colOff>
      <xdr:row>17</xdr:row>
      <xdr:rowOff>243420</xdr:rowOff>
    </xdr:from>
    <xdr:to>
      <xdr:col>5</xdr:col>
      <xdr:colOff>645440</xdr:colOff>
      <xdr:row>18</xdr:row>
      <xdr:rowOff>222250</xdr:rowOff>
    </xdr:to>
    <xdr:sp macro="" textlink="">
      <xdr:nvSpPr>
        <xdr:cNvPr id="36" name="TextBox 35"/>
        <xdr:cNvSpPr txBox="1"/>
      </xdr:nvSpPr>
      <xdr:spPr>
        <a:xfrm>
          <a:off x="1502833" y="3217337"/>
          <a:ext cx="2751668" cy="243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a:cs typeface="Arial"/>
            </a:rPr>
            <a:t>Bottom Gusset OPEN Zipper</a:t>
          </a:r>
        </a:p>
      </xdr:txBody>
    </xdr:sp>
    <xdr:clientData/>
  </xdr:twoCellAnchor>
  <xdr:twoCellAnchor>
    <xdr:from>
      <xdr:col>2</xdr:col>
      <xdr:colOff>269874</xdr:colOff>
      <xdr:row>17</xdr:row>
      <xdr:rowOff>4</xdr:rowOff>
    </xdr:from>
    <xdr:to>
      <xdr:col>5</xdr:col>
      <xdr:colOff>623291</xdr:colOff>
      <xdr:row>18</xdr:row>
      <xdr:rowOff>0</xdr:rowOff>
    </xdr:to>
    <xdr:sp macro="" textlink="">
      <xdr:nvSpPr>
        <xdr:cNvPr id="37" name="TextBox 36"/>
        <xdr:cNvSpPr txBox="1"/>
      </xdr:nvSpPr>
      <xdr:spPr>
        <a:xfrm>
          <a:off x="1502832" y="2973921"/>
          <a:ext cx="2719918" cy="264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a:cs typeface="Arial"/>
            </a:rPr>
            <a:t>Bottom Gusset CLOSED Zipper</a:t>
          </a:r>
        </a:p>
      </xdr:txBody>
    </xdr:sp>
    <xdr:clientData/>
  </xdr:twoCellAnchor>
  <xdr:twoCellAnchor>
    <xdr:from>
      <xdr:col>5</xdr:col>
      <xdr:colOff>893232</xdr:colOff>
      <xdr:row>16</xdr:row>
      <xdr:rowOff>254005</xdr:rowOff>
    </xdr:from>
    <xdr:to>
      <xdr:col>8</xdr:col>
      <xdr:colOff>872066</xdr:colOff>
      <xdr:row>18</xdr:row>
      <xdr:rowOff>13121</xdr:rowOff>
    </xdr:to>
    <xdr:sp macro="" textlink="">
      <xdr:nvSpPr>
        <xdr:cNvPr id="38" name="TextBox 37"/>
        <xdr:cNvSpPr txBox="1"/>
      </xdr:nvSpPr>
      <xdr:spPr>
        <a:xfrm>
          <a:off x="4540249" y="2963338"/>
          <a:ext cx="2338917" cy="2882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a:cs typeface="Arial"/>
            </a:rPr>
            <a:t>Bottom Gusset NO Zipper</a:t>
          </a:r>
        </a:p>
      </xdr:txBody>
    </xdr:sp>
    <xdr:clientData/>
  </xdr:twoCellAnchor>
  <xdr:twoCellAnchor>
    <xdr:from>
      <xdr:col>5</xdr:col>
      <xdr:colOff>892173</xdr:colOff>
      <xdr:row>18</xdr:row>
      <xdr:rowOff>2</xdr:rowOff>
    </xdr:from>
    <xdr:to>
      <xdr:col>8</xdr:col>
      <xdr:colOff>775758</xdr:colOff>
      <xdr:row>19</xdr:row>
      <xdr:rowOff>1360</xdr:rowOff>
    </xdr:to>
    <xdr:sp macro="" textlink="">
      <xdr:nvSpPr>
        <xdr:cNvPr id="39" name="TextBox 38"/>
        <xdr:cNvSpPr txBox="1"/>
      </xdr:nvSpPr>
      <xdr:spPr>
        <a:xfrm>
          <a:off x="4529665" y="3238502"/>
          <a:ext cx="2243668" cy="275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a:cs typeface="Arial"/>
            </a:rPr>
            <a:t>CLEAR /</a:t>
          </a:r>
          <a:r>
            <a:rPr lang="en-US" sz="900" b="1" baseline="0">
              <a:latin typeface="Arial"/>
              <a:cs typeface="Arial"/>
            </a:rPr>
            <a:t> </a:t>
          </a:r>
          <a:r>
            <a:rPr lang="en-US" sz="900" b="1">
              <a:latin typeface="Arial"/>
              <a:cs typeface="Arial"/>
            </a:rPr>
            <a:t>RESET</a:t>
          </a:r>
        </a:p>
      </xdr:txBody>
    </xdr:sp>
    <xdr:clientData/>
  </xdr:twoCellAnchor>
  <mc:AlternateContent xmlns:mc="http://schemas.openxmlformats.org/markup-compatibility/2006">
    <mc:Choice xmlns:a14="http://schemas.microsoft.com/office/drawing/2010/main" Requires="a14">
      <xdr:twoCellAnchor editAs="oneCell">
        <xdr:from>
          <xdr:col>2</xdr:col>
          <xdr:colOff>85725</xdr:colOff>
          <xdr:row>30</xdr:row>
          <xdr:rowOff>28575</xdr:rowOff>
        </xdr:from>
        <xdr:to>
          <xdr:col>2</xdr:col>
          <xdr:colOff>314325</xdr:colOff>
          <xdr:row>30</xdr:row>
          <xdr:rowOff>266700</xdr:rowOff>
        </xdr:to>
        <xdr:sp macro="" textlink="">
          <xdr:nvSpPr>
            <xdr:cNvPr id="30113" name="Check Box 1441" hidden="1">
              <a:extLst>
                <a:ext uri="{63B3BB69-23CF-44E3-9099-C40C66FF867C}">
                  <a14:compatExt spid="_x0000_s301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17</xdr:row>
          <xdr:rowOff>0</xdr:rowOff>
        </xdr:from>
        <xdr:to>
          <xdr:col>0</xdr:col>
          <xdr:colOff>571500</xdr:colOff>
          <xdr:row>17</xdr:row>
          <xdr:rowOff>219075</xdr:rowOff>
        </xdr:to>
        <xdr:sp macro="" textlink="">
          <xdr:nvSpPr>
            <xdr:cNvPr id="32543" name="Option Button 2847" hidden="1">
              <a:extLst>
                <a:ext uri="{63B3BB69-23CF-44E3-9099-C40C66FF867C}">
                  <a14:compatExt spid="_x0000_s325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28575</xdr:rowOff>
        </xdr:from>
        <xdr:to>
          <xdr:col>2</xdr:col>
          <xdr:colOff>438150</xdr:colOff>
          <xdr:row>16</xdr:row>
          <xdr:rowOff>247650</xdr:rowOff>
        </xdr:to>
        <xdr:sp macro="" textlink="">
          <xdr:nvSpPr>
            <xdr:cNvPr id="32544" name="Option Button 2848" hidden="1">
              <a:extLst>
                <a:ext uri="{63B3BB69-23CF-44E3-9099-C40C66FF867C}">
                  <a14:compatExt spid="_x0000_s325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723900</xdr:colOff>
          <xdr:row>16</xdr:row>
          <xdr:rowOff>9525</xdr:rowOff>
        </xdr:from>
        <xdr:to>
          <xdr:col>6</xdr:col>
          <xdr:colOff>19050</xdr:colOff>
          <xdr:row>16</xdr:row>
          <xdr:rowOff>228600</xdr:rowOff>
        </xdr:to>
        <xdr:sp macro="" textlink="">
          <xdr:nvSpPr>
            <xdr:cNvPr id="32545" name="Option Button 2849" hidden="1">
              <a:extLst>
                <a:ext uri="{63B3BB69-23CF-44E3-9099-C40C66FF867C}">
                  <a14:compatExt spid="_x0000_s325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257175</xdr:rowOff>
        </xdr:from>
        <xdr:to>
          <xdr:col>2</xdr:col>
          <xdr:colOff>438150</xdr:colOff>
          <xdr:row>18</xdr:row>
          <xdr:rowOff>219075</xdr:rowOff>
        </xdr:to>
        <xdr:sp macro="" textlink="">
          <xdr:nvSpPr>
            <xdr:cNvPr id="32546" name="Option Button 2850" hidden="1">
              <a:extLst>
                <a:ext uri="{63B3BB69-23CF-44E3-9099-C40C66FF867C}">
                  <a14:compatExt spid="_x0000_s325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9525</xdr:rowOff>
        </xdr:from>
        <xdr:to>
          <xdr:col>2</xdr:col>
          <xdr:colOff>438150</xdr:colOff>
          <xdr:row>17</xdr:row>
          <xdr:rowOff>228600</xdr:rowOff>
        </xdr:to>
        <xdr:sp macro="" textlink="">
          <xdr:nvSpPr>
            <xdr:cNvPr id="32547" name="Option Button 2851" hidden="1">
              <a:extLst>
                <a:ext uri="{63B3BB69-23CF-44E3-9099-C40C66FF867C}">
                  <a14:compatExt spid="_x0000_s325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723900</xdr:colOff>
          <xdr:row>17</xdr:row>
          <xdr:rowOff>0</xdr:rowOff>
        </xdr:from>
        <xdr:to>
          <xdr:col>6</xdr:col>
          <xdr:colOff>19050</xdr:colOff>
          <xdr:row>17</xdr:row>
          <xdr:rowOff>219075</xdr:rowOff>
        </xdr:to>
        <xdr:sp macro="" textlink="">
          <xdr:nvSpPr>
            <xdr:cNvPr id="32548" name="Option Button 2852" hidden="1">
              <a:extLst>
                <a:ext uri="{63B3BB69-23CF-44E3-9099-C40C66FF867C}">
                  <a14:compatExt spid="_x0000_s325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723900</xdr:colOff>
          <xdr:row>18</xdr:row>
          <xdr:rowOff>0</xdr:rowOff>
        </xdr:from>
        <xdr:to>
          <xdr:col>6</xdr:col>
          <xdr:colOff>19050</xdr:colOff>
          <xdr:row>18</xdr:row>
          <xdr:rowOff>219075</xdr:rowOff>
        </xdr:to>
        <xdr:sp macro="" textlink="">
          <xdr:nvSpPr>
            <xdr:cNvPr id="32549" name="Option Button 2853" hidden="1">
              <a:extLst>
                <a:ext uri="{63B3BB69-23CF-44E3-9099-C40C66FF867C}">
                  <a14:compatExt spid="_x0000_s325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5</xdr:col>
      <xdr:colOff>132290</xdr:colOff>
      <xdr:row>77</xdr:row>
      <xdr:rowOff>63503</xdr:rowOff>
    </xdr:from>
    <xdr:to>
      <xdr:col>8</xdr:col>
      <xdr:colOff>915440</xdr:colOff>
      <xdr:row>78</xdr:row>
      <xdr:rowOff>191713</xdr:rowOff>
    </xdr:to>
    <xdr:sp macro="" textlink="">
      <xdr:nvSpPr>
        <xdr:cNvPr id="40" name="TextBox 39"/>
        <xdr:cNvSpPr txBox="1"/>
      </xdr:nvSpPr>
      <xdr:spPr>
        <a:xfrm>
          <a:off x="3680882" y="14812436"/>
          <a:ext cx="3287185" cy="230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b="1">
              <a:latin typeface="Arial"/>
              <a:cs typeface="Arial"/>
            </a:rPr>
            <a:t>Colours are NOT exactly</a:t>
          </a:r>
          <a:r>
            <a:rPr lang="en-US" sz="900" b="1" baseline="0">
              <a:latin typeface="Arial"/>
              <a:cs typeface="Arial"/>
            </a:rPr>
            <a:t> the same as the front.</a:t>
          </a:r>
          <a:endParaRPr lang="en-US" sz="900" b="1">
            <a:latin typeface="Arial"/>
            <a:cs typeface="Arial"/>
          </a:endParaRPr>
        </a:p>
      </xdr:txBody>
    </xdr:sp>
    <xdr:clientData/>
  </xdr:twoCellAnchor>
  <xdr:twoCellAnchor>
    <xdr:from>
      <xdr:col>0</xdr:col>
      <xdr:colOff>182034</xdr:colOff>
      <xdr:row>77</xdr:row>
      <xdr:rowOff>63501</xdr:rowOff>
    </xdr:from>
    <xdr:to>
      <xdr:col>5</xdr:col>
      <xdr:colOff>75119</xdr:colOff>
      <xdr:row>78</xdr:row>
      <xdr:rowOff>193741</xdr:rowOff>
    </xdr:to>
    <xdr:sp macro="" textlink="">
      <xdr:nvSpPr>
        <xdr:cNvPr id="41" name="TextBox 40"/>
        <xdr:cNvSpPr txBox="1"/>
      </xdr:nvSpPr>
      <xdr:spPr>
        <a:xfrm>
          <a:off x="201084" y="14812434"/>
          <a:ext cx="3422649" cy="232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b="1">
              <a:latin typeface="Arial"/>
              <a:cs typeface="Arial"/>
            </a:rPr>
            <a:t>Colours are EXACTLY</a:t>
          </a:r>
          <a:r>
            <a:rPr lang="en-US" sz="900" b="1" baseline="0">
              <a:latin typeface="Arial"/>
              <a:cs typeface="Arial"/>
            </a:rPr>
            <a:t> the same as the front.</a:t>
          </a:r>
          <a:endParaRPr lang="en-US" sz="900" b="1">
            <a:latin typeface="Arial"/>
            <a:cs typeface="Arial"/>
          </a:endParaRPr>
        </a:p>
      </xdr:txBody>
    </xdr:sp>
    <xdr:clientData/>
  </xdr:twoCellAnchor>
  <xdr:oneCellAnchor>
    <xdr:from>
      <xdr:col>0</xdr:col>
      <xdr:colOff>64559</xdr:colOff>
      <xdr:row>92</xdr:row>
      <xdr:rowOff>0</xdr:rowOff>
    </xdr:from>
    <xdr:ext cx="6102880" cy="7567083"/>
    <xdr:sp macro="" textlink="" fLocksText="0">
      <xdr:nvSpPr>
        <xdr:cNvPr id="2" name="TextBox 1"/>
        <xdr:cNvSpPr txBox="1"/>
      </xdr:nvSpPr>
      <xdr:spPr>
        <a:xfrm>
          <a:off x="64559" y="17121188"/>
          <a:ext cx="6102880" cy="75670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p>
          <a:endParaRPr lang="en-US" sz="1100" b="0" i="0">
            <a:latin typeface="Arial"/>
            <a:cs typeface="Arial"/>
          </a:endParaRPr>
        </a:p>
      </xdr:txBody>
    </xdr:sp>
    <xdr:clientData/>
  </xdr:oneCellAnchor>
  <xdr:absoluteAnchor>
    <xdr:pos x="194944" y="2763521"/>
    <xdr:ext cx="580445" cy="697230"/>
    <xdr:sp macro="" textlink="">
      <xdr:nvSpPr>
        <xdr:cNvPr id="42" name="Rectangle 41"/>
        <xdr:cNvSpPr/>
      </xdr:nvSpPr>
      <xdr:spPr bwMode="auto">
        <a:xfrm>
          <a:off x="223519" y="2763521"/>
          <a:ext cx="591397" cy="697230"/>
        </a:xfrm>
        <a:prstGeom prst="rect">
          <a:avLst/>
        </a:prstGeom>
        <a:solidFill>
          <a:srgbClr xmlns:mc="http://schemas.openxmlformats.org/markup-compatibility/2006" xmlns:a14="http://schemas.microsoft.com/office/drawing/2010/main" val="FFFFFF" mc:Ignorable="a14" a14:legacySpreadsheetColorIndex="9"/>
        </a:solidFill>
        <a:ln w="9525" cap="flat" cmpd="sng" algn="ctr">
          <a:no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wrap="square"/>
        <a:lstStyle/>
        <a:p>
          <a:endParaRPr lang="en-US"/>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xdr:from>
      <xdr:col>18</xdr:col>
      <xdr:colOff>162984</xdr:colOff>
      <xdr:row>66</xdr:row>
      <xdr:rowOff>109614</xdr:rowOff>
    </xdr:from>
    <xdr:to>
      <xdr:col>20</xdr:col>
      <xdr:colOff>9121</xdr:colOff>
      <xdr:row>68</xdr:row>
      <xdr:rowOff>135014</xdr:rowOff>
    </xdr:to>
    <xdr:sp macro="" textlink="">
      <xdr:nvSpPr>
        <xdr:cNvPr id="2" name="TextBox 1"/>
        <xdr:cNvSpPr txBox="1"/>
      </xdr:nvSpPr>
      <xdr:spPr>
        <a:xfrm>
          <a:off x="3442759" y="8097914"/>
          <a:ext cx="262466" cy="279400"/>
        </a:xfrm>
        <a:prstGeom prst="rect">
          <a:avLst/>
        </a:prstGeom>
        <a:noFill/>
        <a:ln w="9525" cmpd="sng">
          <a:noFill/>
        </a:ln>
        <a:extLst>
          <a:ext uri="{909E8E84-426E-40DD-AFC4-6F175D3DCCD1}">
            <a14:hiddenFill xmlns:a14="http://schemas.microsoft.com/office/drawing/2010/main">
              <a:solidFill>
                <a:schemeClr val="accent5">
                  <a:lumMod val="40000"/>
                  <a:lumOff val="60000"/>
                </a:schemeClr>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p>
      </xdr:txBody>
    </xdr:sp>
    <xdr:clientData fLocksWithSheet="0"/>
  </xdr:twoCellAnchor>
  <xdr:twoCellAnchor>
    <xdr:from>
      <xdr:col>18</xdr:col>
      <xdr:colOff>177800</xdr:colOff>
      <xdr:row>69</xdr:row>
      <xdr:rowOff>33565</xdr:rowOff>
    </xdr:from>
    <xdr:to>
      <xdr:col>20</xdr:col>
      <xdr:colOff>15441</xdr:colOff>
      <xdr:row>72</xdr:row>
      <xdr:rowOff>2721</xdr:rowOff>
    </xdr:to>
    <xdr:sp macro="" textlink="">
      <xdr:nvSpPr>
        <xdr:cNvPr id="3" name="TextBox 2"/>
        <xdr:cNvSpPr txBox="1"/>
      </xdr:nvSpPr>
      <xdr:spPr>
        <a:xfrm>
          <a:off x="3448050" y="8466365"/>
          <a:ext cx="262466" cy="261256"/>
        </a:xfrm>
        <a:prstGeom prst="rect">
          <a:avLst/>
        </a:prstGeom>
        <a:noFill/>
        <a:ln w="9525" cmpd="sng">
          <a:noFill/>
        </a:ln>
        <a:extLst>
          <a:ext uri="{909E8E84-426E-40DD-AFC4-6F175D3DCCD1}">
            <a14:hiddenFill xmlns:a14="http://schemas.microsoft.com/office/drawing/2010/main">
              <a:solidFill>
                <a:schemeClr val="accent5">
                  <a:lumMod val="40000"/>
                  <a:lumOff val="60000"/>
                </a:schemeClr>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p>
      </xdr:txBody>
    </xdr:sp>
    <xdr:clientData fLocksWithSheet="0"/>
  </xdr:twoCellAnchor>
  <xdr:twoCellAnchor>
    <xdr:from>
      <xdr:col>17</xdr:col>
      <xdr:colOff>106893</xdr:colOff>
      <xdr:row>75</xdr:row>
      <xdr:rowOff>3174</xdr:rowOff>
    </xdr:from>
    <xdr:to>
      <xdr:col>18</xdr:col>
      <xdr:colOff>131480</xdr:colOff>
      <xdr:row>77</xdr:row>
      <xdr:rowOff>34971</xdr:rowOff>
    </xdr:to>
    <xdr:sp macro="" textlink="">
      <xdr:nvSpPr>
        <xdr:cNvPr id="4" name="TextBox 3"/>
        <xdr:cNvSpPr txBox="1"/>
      </xdr:nvSpPr>
      <xdr:spPr>
        <a:xfrm>
          <a:off x="3139018" y="9182099"/>
          <a:ext cx="262466" cy="279400"/>
        </a:xfrm>
        <a:prstGeom prst="rect">
          <a:avLst/>
        </a:prstGeom>
        <a:noFill/>
        <a:ln w="9525" cmpd="sng">
          <a:noFill/>
        </a:ln>
        <a:extLst>
          <a:ext uri="{909E8E84-426E-40DD-AFC4-6F175D3DCCD1}">
            <a14:hiddenFill xmlns:a14="http://schemas.microsoft.com/office/drawing/2010/main">
              <a:solidFill>
                <a:schemeClr val="accent5">
                  <a:lumMod val="40000"/>
                  <a:lumOff val="60000"/>
                </a:schemeClr>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p>
      </xdr:txBody>
    </xdr:sp>
    <xdr:clientData fLocksWithSheet="0"/>
  </xdr:twoCellAnchor>
  <xdr:twoCellAnchor>
    <xdr:from>
      <xdr:col>18</xdr:col>
      <xdr:colOff>180975</xdr:colOff>
      <xdr:row>56</xdr:row>
      <xdr:rowOff>8465</xdr:rowOff>
    </xdr:from>
    <xdr:to>
      <xdr:col>20</xdr:col>
      <xdr:colOff>18616</xdr:colOff>
      <xdr:row>58</xdr:row>
      <xdr:rowOff>31665</xdr:rowOff>
    </xdr:to>
    <xdr:sp macro="" textlink="">
      <xdr:nvSpPr>
        <xdr:cNvPr id="5" name="TextBox 4"/>
        <xdr:cNvSpPr txBox="1"/>
      </xdr:nvSpPr>
      <xdr:spPr>
        <a:xfrm>
          <a:off x="3451225" y="6726765"/>
          <a:ext cx="262466" cy="277200"/>
        </a:xfrm>
        <a:prstGeom prst="rect">
          <a:avLst/>
        </a:prstGeom>
        <a:noFill/>
        <a:ln w="9525" cmpd="sng">
          <a:noFill/>
        </a:ln>
        <a:extLst>
          <a:ext uri="{909E8E84-426E-40DD-AFC4-6F175D3DCCD1}">
            <a14:hiddenFill xmlns:a14="http://schemas.microsoft.com/office/drawing/2010/main">
              <a:solidFill>
                <a:schemeClr val="accent5">
                  <a:lumMod val="40000"/>
                  <a:lumOff val="60000"/>
                </a:schemeClr>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p>
      </xdr:txBody>
    </xdr:sp>
    <xdr:clientData fLocksWithSheet="0"/>
  </xdr:twoCellAnchor>
  <xdr:twoCellAnchor>
    <xdr:from>
      <xdr:col>17</xdr:col>
      <xdr:colOff>106893</xdr:colOff>
      <xdr:row>56</xdr:row>
      <xdr:rowOff>3174</xdr:rowOff>
    </xdr:from>
    <xdr:to>
      <xdr:col>18</xdr:col>
      <xdr:colOff>131480</xdr:colOff>
      <xdr:row>58</xdr:row>
      <xdr:rowOff>26374</xdr:rowOff>
    </xdr:to>
    <xdr:sp macro="" textlink="">
      <xdr:nvSpPr>
        <xdr:cNvPr id="6" name="TextBox 5"/>
        <xdr:cNvSpPr txBox="1"/>
      </xdr:nvSpPr>
      <xdr:spPr>
        <a:xfrm>
          <a:off x="3139018" y="6721474"/>
          <a:ext cx="262466" cy="277200"/>
        </a:xfrm>
        <a:prstGeom prst="rect">
          <a:avLst/>
        </a:prstGeom>
        <a:noFill/>
        <a:ln w="9525" cmpd="sng">
          <a:noFill/>
        </a:ln>
        <a:extLst>
          <a:ext uri="{909E8E84-426E-40DD-AFC4-6F175D3DCCD1}">
            <a14:hiddenFill xmlns:a14="http://schemas.microsoft.com/office/drawing/2010/main">
              <a:solidFill>
                <a:schemeClr val="accent5">
                  <a:lumMod val="40000"/>
                  <a:lumOff val="60000"/>
                </a:schemeClr>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p>
      </xdr:txBody>
    </xdr:sp>
    <xdr:clientData fLocksWithSheet="0"/>
  </xdr:twoCellAnchor>
  <xdr:twoCellAnchor>
    <xdr:from>
      <xdr:col>18</xdr:col>
      <xdr:colOff>182033</xdr:colOff>
      <xdr:row>58</xdr:row>
      <xdr:rowOff>109313</xdr:rowOff>
    </xdr:from>
    <xdr:to>
      <xdr:col>20</xdr:col>
      <xdr:colOff>19674</xdr:colOff>
      <xdr:row>60</xdr:row>
      <xdr:rowOff>144329</xdr:rowOff>
    </xdr:to>
    <xdr:sp macro="" textlink="">
      <xdr:nvSpPr>
        <xdr:cNvPr id="7" name="TextBox 6"/>
        <xdr:cNvSpPr txBox="1"/>
      </xdr:nvSpPr>
      <xdr:spPr>
        <a:xfrm>
          <a:off x="3452283" y="7081613"/>
          <a:ext cx="262466" cy="279400"/>
        </a:xfrm>
        <a:prstGeom prst="rect">
          <a:avLst/>
        </a:prstGeom>
        <a:noFill/>
        <a:ln w="9525" cmpd="sng">
          <a:noFill/>
        </a:ln>
        <a:extLst>
          <a:ext uri="{909E8E84-426E-40DD-AFC4-6F175D3DCCD1}">
            <a14:hiddenFill xmlns:a14="http://schemas.microsoft.com/office/drawing/2010/main">
              <a:solidFill>
                <a:schemeClr val="accent5">
                  <a:lumMod val="40000"/>
                  <a:lumOff val="60000"/>
                </a:schemeClr>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p>
      </xdr:txBody>
    </xdr:sp>
    <xdr:clientData fLocksWithSheet="0"/>
  </xdr:twoCellAnchor>
  <xdr:twoCellAnchor>
    <xdr:from>
      <xdr:col>17</xdr:col>
      <xdr:colOff>106893</xdr:colOff>
      <xdr:row>58</xdr:row>
      <xdr:rowOff>106138</xdr:rowOff>
    </xdr:from>
    <xdr:to>
      <xdr:col>18</xdr:col>
      <xdr:colOff>131480</xdr:colOff>
      <xdr:row>60</xdr:row>
      <xdr:rowOff>131538</xdr:rowOff>
    </xdr:to>
    <xdr:sp macro="" textlink="">
      <xdr:nvSpPr>
        <xdr:cNvPr id="8" name="TextBox 7"/>
        <xdr:cNvSpPr txBox="1"/>
      </xdr:nvSpPr>
      <xdr:spPr>
        <a:xfrm>
          <a:off x="3139018" y="7078438"/>
          <a:ext cx="262466" cy="279400"/>
        </a:xfrm>
        <a:prstGeom prst="rect">
          <a:avLst/>
        </a:prstGeom>
        <a:noFill/>
        <a:ln w="9525" cmpd="sng">
          <a:noFill/>
        </a:ln>
        <a:extLst>
          <a:ext uri="{909E8E84-426E-40DD-AFC4-6F175D3DCCD1}">
            <a14:hiddenFill xmlns:a14="http://schemas.microsoft.com/office/drawing/2010/main">
              <a:solidFill>
                <a:schemeClr val="accent5">
                  <a:lumMod val="40000"/>
                  <a:lumOff val="60000"/>
                </a:schemeClr>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p>
      </xdr:txBody>
    </xdr:sp>
    <xdr:clientData fLocksWithSheet="0"/>
  </xdr:twoCellAnchor>
  <xdr:twoCellAnchor>
    <xdr:from>
      <xdr:col>18</xdr:col>
      <xdr:colOff>176741</xdr:colOff>
      <xdr:row>61</xdr:row>
      <xdr:rowOff>247</xdr:rowOff>
    </xdr:from>
    <xdr:to>
      <xdr:col>20</xdr:col>
      <xdr:colOff>23878</xdr:colOff>
      <xdr:row>63</xdr:row>
      <xdr:rowOff>6084</xdr:rowOff>
    </xdr:to>
    <xdr:sp macro="" textlink="">
      <xdr:nvSpPr>
        <xdr:cNvPr id="9" name="TextBox 8"/>
        <xdr:cNvSpPr txBox="1"/>
      </xdr:nvSpPr>
      <xdr:spPr>
        <a:xfrm>
          <a:off x="3456516" y="7424667"/>
          <a:ext cx="262466" cy="264917"/>
        </a:xfrm>
        <a:prstGeom prst="rect">
          <a:avLst/>
        </a:prstGeom>
        <a:noFill/>
        <a:ln w="9525" cmpd="sng">
          <a:noFill/>
        </a:ln>
        <a:extLst>
          <a:ext uri="{909E8E84-426E-40DD-AFC4-6F175D3DCCD1}">
            <a14:hiddenFill xmlns:a14="http://schemas.microsoft.com/office/drawing/2010/main">
              <a:solidFill>
                <a:schemeClr val="accent5">
                  <a:lumMod val="40000"/>
                  <a:lumOff val="60000"/>
                </a:schemeClr>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 </a:t>
          </a:r>
        </a:p>
      </xdr:txBody>
    </xdr:sp>
    <xdr:clientData fLocksWithSheet="0"/>
  </xdr:twoCellAnchor>
  <xdr:twoCellAnchor>
    <xdr:from>
      <xdr:col>17</xdr:col>
      <xdr:colOff>112184</xdr:colOff>
      <xdr:row>61</xdr:row>
      <xdr:rowOff>3633</xdr:rowOff>
    </xdr:from>
    <xdr:to>
      <xdr:col>18</xdr:col>
      <xdr:colOff>136384</xdr:colOff>
      <xdr:row>63</xdr:row>
      <xdr:rowOff>3076</xdr:rowOff>
    </xdr:to>
    <xdr:sp macro="" textlink="">
      <xdr:nvSpPr>
        <xdr:cNvPr id="10" name="TextBox 9"/>
        <xdr:cNvSpPr txBox="1"/>
      </xdr:nvSpPr>
      <xdr:spPr>
        <a:xfrm>
          <a:off x="3144309" y="7433133"/>
          <a:ext cx="262466" cy="262800"/>
        </a:xfrm>
        <a:prstGeom prst="rect">
          <a:avLst/>
        </a:prstGeom>
        <a:noFill/>
        <a:ln w="9525" cmpd="sng">
          <a:noFill/>
        </a:ln>
        <a:extLst>
          <a:ext uri="{909E8E84-426E-40DD-AFC4-6F175D3DCCD1}">
            <a14:hiddenFill xmlns:a14="http://schemas.microsoft.com/office/drawing/2010/main">
              <a:solidFill>
                <a:schemeClr val="accent5">
                  <a:lumMod val="40000"/>
                  <a:lumOff val="60000"/>
                </a:schemeClr>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p>
      </xdr:txBody>
    </xdr:sp>
    <xdr:clientData fLocksWithSheet="0"/>
  </xdr:twoCellAnchor>
  <xdr:twoCellAnchor>
    <xdr:from>
      <xdr:col>18</xdr:col>
      <xdr:colOff>182033</xdr:colOff>
      <xdr:row>64</xdr:row>
      <xdr:rowOff>25856</xdr:rowOff>
    </xdr:from>
    <xdr:to>
      <xdr:col>20</xdr:col>
      <xdr:colOff>19674</xdr:colOff>
      <xdr:row>66</xdr:row>
      <xdr:rowOff>38256</xdr:rowOff>
    </xdr:to>
    <xdr:sp macro="" textlink="">
      <xdr:nvSpPr>
        <xdr:cNvPr id="11" name="TextBox 10"/>
        <xdr:cNvSpPr txBox="1"/>
      </xdr:nvSpPr>
      <xdr:spPr>
        <a:xfrm>
          <a:off x="3452283" y="7760156"/>
          <a:ext cx="262466" cy="266400"/>
        </a:xfrm>
        <a:prstGeom prst="rect">
          <a:avLst/>
        </a:prstGeom>
        <a:noFill/>
        <a:ln w="9525" cmpd="sng">
          <a:noFill/>
        </a:ln>
        <a:extLst>
          <a:ext uri="{909E8E84-426E-40DD-AFC4-6F175D3DCCD1}">
            <a14:hiddenFill xmlns:a14="http://schemas.microsoft.com/office/drawing/2010/main">
              <a:solidFill>
                <a:schemeClr val="accent5">
                  <a:lumMod val="40000"/>
                  <a:lumOff val="60000"/>
                </a:schemeClr>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p>
      </xdr:txBody>
    </xdr:sp>
    <xdr:clientData fLocksWithSheet="0"/>
  </xdr:twoCellAnchor>
  <xdr:twoCellAnchor>
    <xdr:from>
      <xdr:col>17</xdr:col>
      <xdr:colOff>104776</xdr:colOff>
      <xdr:row>64</xdr:row>
      <xdr:rowOff>27973</xdr:rowOff>
    </xdr:from>
    <xdr:to>
      <xdr:col>18</xdr:col>
      <xdr:colOff>129363</xdr:colOff>
      <xdr:row>66</xdr:row>
      <xdr:rowOff>40373</xdr:rowOff>
    </xdr:to>
    <xdr:sp macro="" textlink="">
      <xdr:nvSpPr>
        <xdr:cNvPr id="12" name="TextBox 11"/>
        <xdr:cNvSpPr txBox="1"/>
      </xdr:nvSpPr>
      <xdr:spPr>
        <a:xfrm>
          <a:off x="3136901" y="7762273"/>
          <a:ext cx="262466" cy="266400"/>
        </a:xfrm>
        <a:prstGeom prst="rect">
          <a:avLst/>
        </a:prstGeom>
        <a:noFill/>
        <a:ln w="9525" cmpd="sng">
          <a:noFill/>
        </a:ln>
        <a:extLst>
          <a:ext uri="{909E8E84-426E-40DD-AFC4-6F175D3DCCD1}">
            <a14:hiddenFill xmlns:a14="http://schemas.microsoft.com/office/drawing/2010/main">
              <a:solidFill>
                <a:schemeClr val="accent5">
                  <a:lumMod val="40000"/>
                  <a:lumOff val="60000"/>
                </a:schemeClr>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p>
      </xdr:txBody>
    </xdr:sp>
    <xdr:clientData fLocksWithSheet="0"/>
  </xdr:twoCellAnchor>
  <xdr:twoCellAnchor>
    <xdr:from>
      <xdr:col>17</xdr:col>
      <xdr:colOff>98427</xdr:colOff>
      <xdr:row>66</xdr:row>
      <xdr:rowOff>110672</xdr:rowOff>
    </xdr:from>
    <xdr:to>
      <xdr:col>18</xdr:col>
      <xdr:colOff>132293</xdr:colOff>
      <xdr:row>68</xdr:row>
      <xdr:rowOff>136072</xdr:rowOff>
    </xdr:to>
    <xdr:sp macro="" textlink="">
      <xdr:nvSpPr>
        <xdr:cNvPr id="13" name="TextBox 12"/>
        <xdr:cNvSpPr txBox="1"/>
      </xdr:nvSpPr>
      <xdr:spPr>
        <a:xfrm>
          <a:off x="3130552" y="8098972"/>
          <a:ext cx="262466" cy="279400"/>
        </a:xfrm>
        <a:prstGeom prst="rect">
          <a:avLst/>
        </a:prstGeom>
        <a:noFill/>
        <a:ln w="9525" cmpd="sng">
          <a:noFill/>
        </a:ln>
        <a:extLst>
          <a:ext uri="{909E8E84-426E-40DD-AFC4-6F175D3DCCD1}">
            <a14:hiddenFill xmlns:a14="http://schemas.microsoft.com/office/drawing/2010/main">
              <a:solidFill>
                <a:schemeClr val="accent5">
                  <a:lumMod val="40000"/>
                  <a:lumOff val="60000"/>
                </a:schemeClr>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p>
      </xdr:txBody>
    </xdr:sp>
    <xdr:clientData fLocksWithSheet="0"/>
  </xdr:twoCellAnchor>
  <xdr:twoCellAnchor>
    <xdr:from>
      <xdr:col>17</xdr:col>
      <xdr:colOff>103718</xdr:colOff>
      <xdr:row>69</xdr:row>
      <xdr:rowOff>34624</xdr:rowOff>
    </xdr:from>
    <xdr:to>
      <xdr:col>18</xdr:col>
      <xdr:colOff>128305</xdr:colOff>
      <xdr:row>72</xdr:row>
      <xdr:rowOff>3780</xdr:rowOff>
    </xdr:to>
    <xdr:sp macro="" textlink="">
      <xdr:nvSpPr>
        <xdr:cNvPr id="14" name="TextBox 13"/>
        <xdr:cNvSpPr txBox="1"/>
      </xdr:nvSpPr>
      <xdr:spPr>
        <a:xfrm>
          <a:off x="3135843" y="8467424"/>
          <a:ext cx="262466" cy="261256"/>
        </a:xfrm>
        <a:prstGeom prst="rect">
          <a:avLst/>
        </a:prstGeom>
        <a:noFill/>
        <a:ln w="9525" cmpd="sng">
          <a:noFill/>
        </a:ln>
        <a:extLst>
          <a:ext uri="{909E8E84-426E-40DD-AFC4-6F175D3DCCD1}">
            <a14:hiddenFill xmlns:a14="http://schemas.microsoft.com/office/drawing/2010/main">
              <a:solidFill>
                <a:schemeClr val="accent5">
                  <a:lumMod val="40000"/>
                  <a:lumOff val="60000"/>
                </a:schemeClr>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p>
      </xdr:txBody>
    </xdr:sp>
    <xdr:clientData fLocksWithSheet="0"/>
  </xdr:twoCellAnchor>
  <xdr:twoCellAnchor>
    <xdr:from>
      <xdr:col>18</xdr:col>
      <xdr:colOff>177800</xdr:colOff>
      <xdr:row>72</xdr:row>
      <xdr:rowOff>92981</xdr:rowOff>
    </xdr:from>
    <xdr:to>
      <xdr:col>20</xdr:col>
      <xdr:colOff>15441</xdr:colOff>
      <xdr:row>74</xdr:row>
      <xdr:rowOff>118381</xdr:rowOff>
    </xdr:to>
    <xdr:sp macro="" textlink="">
      <xdr:nvSpPr>
        <xdr:cNvPr id="15" name="TextBox 14"/>
        <xdr:cNvSpPr txBox="1"/>
      </xdr:nvSpPr>
      <xdr:spPr>
        <a:xfrm>
          <a:off x="3448050" y="8817881"/>
          <a:ext cx="262466" cy="266700"/>
        </a:xfrm>
        <a:prstGeom prst="rect">
          <a:avLst/>
        </a:prstGeom>
        <a:noFill/>
        <a:ln w="9525" cmpd="sng">
          <a:noFill/>
        </a:ln>
        <a:extLst>
          <a:ext uri="{909E8E84-426E-40DD-AFC4-6F175D3DCCD1}">
            <a14:hiddenFill xmlns:a14="http://schemas.microsoft.com/office/drawing/2010/main">
              <a:solidFill>
                <a:schemeClr val="accent5">
                  <a:lumMod val="40000"/>
                  <a:lumOff val="60000"/>
                </a:schemeClr>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p>
      </xdr:txBody>
    </xdr:sp>
    <xdr:clientData fLocksWithSheet="0"/>
  </xdr:twoCellAnchor>
  <xdr:twoCellAnchor>
    <xdr:from>
      <xdr:col>17</xdr:col>
      <xdr:colOff>106893</xdr:colOff>
      <xdr:row>72</xdr:row>
      <xdr:rowOff>91923</xdr:rowOff>
    </xdr:from>
    <xdr:to>
      <xdr:col>18</xdr:col>
      <xdr:colOff>131480</xdr:colOff>
      <xdr:row>74</xdr:row>
      <xdr:rowOff>117323</xdr:rowOff>
    </xdr:to>
    <xdr:sp macro="" textlink="">
      <xdr:nvSpPr>
        <xdr:cNvPr id="16" name="TextBox 15"/>
        <xdr:cNvSpPr txBox="1"/>
      </xdr:nvSpPr>
      <xdr:spPr>
        <a:xfrm>
          <a:off x="3139018" y="8816823"/>
          <a:ext cx="262466" cy="266700"/>
        </a:xfrm>
        <a:prstGeom prst="rect">
          <a:avLst/>
        </a:prstGeom>
        <a:noFill/>
        <a:ln w="9525" cmpd="sng">
          <a:noFill/>
        </a:ln>
        <a:extLst>
          <a:ext uri="{909E8E84-426E-40DD-AFC4-6F175D3DCCD1}">
            <a14:hiddenFill xmlns:a14="http://schemas.microsoft.com/office/drawing/2010/main">
              <a:solidFill>
                <a:schemeClr val="accent5">
                  <a:lumMod val="40000"/>
                  <a:lumOff val="60000"/>
                </a:schemeClr>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p>
      </xdr:txBody>
    </xdr:sp>
    <xdr:clientData fLocksWithSheet="0"/>
  </xdr:twoCellAnchor>
  <xdr:twoCellAnchor>
    <xdr:from>
      <xdr:col>18</xdr:col>
      <xdr:colOff>184150</xdr:colOff>
      <xdr:row>74</xdr:row>
      <xdr:rowOff>190499</xdr:rowOff>
    </xdr:from>
    <xdr:to>
      <xdr:col>20</xdr:col>
      <xdr:colOff>20897</xdr:colOff>
      <xdr:row>77</xdr:row>
      <xdr:rowOff>31796</xdr:rowOff>
    </xdr:to>
    <xdr:sp macro="" textlink="">
      <xdr:nvSpPr>
        <xdr:cNvPr id="17" name="TextBox 16"/>
        <xdr:cNvSpPr txBox="1"/>
      </xdr:nvSpPr>
      <xdr:spPr>
        <a:xfrm>
          <a:off x="3454400" y="9178924"/>
          <a:ext cx="262466" cy="279400"/>
        </a:xfrm>
        <a:prstGeom prst="rect">
          <a:avLst/>
        </a:prstGeom>
        <a:noFill/>
        <a:ln w="9525" cmpd="sng">
          <a:noFill/>
        </a:ln>
        <a:extLst>
          <a:ext uri="{909E8E84-426E-40DD-AFC4-6F175D3DCCD1}">
            <a14:hiddenFill xmlns:a14="http://schemas.microsoft.com/office/drawing/2010/main">
              <a:solidFill>
                <a:schemeClr val="accent5">
                  <a:lumMod val="40000"/>
                  <a:lumOff val="60000"/>
                </a:schemeClr>
              </a:solidFill>
            </a14:hiddenFill>
          </a:ext>
        </a:ex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p>
      </xdr:txBody>
    </xdr:sp>
    <xdr:clientData fLocksWithSheet="0"/>
  </xdr:twoCellAnchor>
  <xdr:twoCellAnchor>
    <xdr:from>
      <xdr:col>0</xdr:col>
      <xdr:colOff>50800</xdr:colOff>
      <xdr:row>92</xdr:row>
      <xdr:rowOff>20320</xdr:rowOff>
    </xdr:from>
    <xdr:to>
      <xdr:col>37</xdr:col>
      <xdr:colOff>123836</xdr:colOff>
      <xdr:row>139</xdr:row>
      <xdr:rowOff>5080</xdr:rowOff>
    </xdr:to>
    <xdr:sp macro="" textlink="" fLocksText="0">
      <xdr:nvSpPr>
        <xdr:cNvPr id="18" name="TextBox 17"/>
        <xdr:cNvSpPr txBox="1"/>
      </xdr:nvSpPr>
      <xdr:spPr>
        <a:xfrm>
          <a:off x="50800" y="11409680"/>
          <a:ext cx="7011670" cy="7147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000" baseline="0">
            <a:latin typeface="Arial"/>
          </a:endParaRPr>
        </a:p>
      </xdr:txBody>
    </xdr:sp>
    <xdr:clientData/>
  </xdr:twoCellAnchor>
  <xdr:twoCellAnchor>
    <xdr:from>
      <xdr:col>20</xdr:col>
      <xdr:colOff>62446</xdr:colOff>
      <xdr:row>55</xdr:row>
      <xdr:rowOff>33867</xdr:rowOff>
    </xdr:from>
    <xdr:to>
      <xdr:col>20</xdr:col>
      <xdr:colOff>171101</xdr:colOff>
      <xdr:row>77</xdr:row>
      <xdr:rowOff>16933</xdr:rowOff>
    </xdr:to>
    <xdr:sp macro="" textlink="">
      <xdr:nvSpPr>
        <xdr:cNvPr id="19" name="TextBox 18"/>
        <xdr:cNvSpPr txBox="1"/>
      </xdr:nvSpPr>
      <xdr:spPr>
        <a:xfrm>
          <a:off x="3767671" y="6485467"/>
          <a:ext cx="118533" cy="2967566"/>
        </a:xfrm>
        <a:prstGeom prst="rect">
          <a:avLst/>
        </a:prstGeom>
        <a:solidFill>
          <a:schemeClr val="accent5">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 wrap="square" rtlCol="0" anchor="ctr" anchorCtr="0"/>
        <a:lstStyle/>
        <a:p>
          <a:pPr algn="ctr"/>
          <a:r>
            <a:rPr lang="en-US" sz="900" b="1" i="0" kern="0" spc="470">
              <a:latin typeface="Arial"/>
            </a:rPr>
            <a:t>RIGHT</a:t>
          </a:r>
          <a:r>
            <a:rPr lang="en-US" sz="1000" b="1" i="0" kern="0" spc="470">
              <a:latin typeface="Arial"/>
            </a:rPr>
            <a:t> HAND SEAL</a:t>
          </a:r>
        </a:p>
      </xdr:txBody>
    </xdr:sp>
    <xdr:clientData/>
  </xdr:twoCellAnchor>
  <mc:AlternateContent xmlns:mc="http://schemas.openxmlformats.org/markup-compatibility/2006">
    <mc:Choice xmlns:a14="http://schemas.microsoft.com/office/drawing/2010/main" Requires="a14">
      <xdr:twoCellAnchor>
        <xdr:from>
          <xdr:col>17</xdr:col>
          <xdr:colOff>161925</xdr:colOff>
          <xdr:row>52</xdr:row>
          <xdr:rowOff>180975</xdr:rowOff>
        </xdr:from>
        <xdr:to>
          <xdr:col>20</xdr:col>
          <xdr:colOff>0</xdr:colOff>
          <xdr:row>54</xdr:row>
          <xdr:rowOff>133350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808080"/>
                  </a:solidFill>
                  <a:latin typeface="Arial"/>
                  <a:cs typeface="Arial"/>
                </a:rPr>
                <a:t>RESET</a:t>
              </a:r>
            </a:p>
          </xdr:txBody>
        </xdr:sp>
        <xdr:clientData fPrintsWithSheet="0"/>
      </xdr:twoCellAnchor>
    </mc:Choice>
    <mc:Fallback/>
  </mc:AlternateContent>
  <xdr:twoCellAnchor>
    <xdr:from>
      <xdr:col>17</xdr:col>
      <xdr:colOff>19050</xdr:colOff>
      <xdr:row>55</xdr:row>
      <xdr:rowOff>28575</xdr:rowOff>
    </xdr:from>
    <xdr:to>
      <xdr:col>20</xdr:col>
      <xdr:colOff>19050</xdr:colOff>
      <xdr:row>77</xdr:row>
      <xdr:rowOff>28575</xdr:rowOff>
    </xdr:to>
    <xdr:grpSp>
      <xdr:nvGrpSpPr>
        <xdr:cNvPr id="92513" name="Group 19"/>
        <xdr:cNvGrpSpPr>
          <a:grpSpLocks/>
        </xdr:cNvGrpSpPr>
      </xdr:nvGrpSpPr>
      <xdr:grpSpPr bwMode="auto">
        <a:xfrm>
          <a:off x="2609850" y="6551295"/>
          <a:ext cx="586740" cy="2636520"/>
          <a:chOff x="7736840" y="6771640"/>
          <a:chExt cx="680720" cy="2733040"/>
        </a:xfrm>
      </xdr:grpSpPr>
      <xdr:pic macro="[0]!PD4B_Click">
        <xdr:nvPicPr>
          <xdr:cNvPr id="92517" name="Picture 16" descr="PD4B.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136764" y="7814009"/>
            <a:ext cx="280796" cy="3050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macro="[0]!PD5B_Click">
        <xdr:nvPicPr>
          <xdr:cNvPr id="92518" name="Picture 18" descr="PD5B.png"/>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136764" y="8169940"/>
            <a:ext cx="280483" cy="3050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macro="[0]!PD1F_Click">
        <xdr:nvPicPr>
          <xdr:cNvPr id="92519" name="Picture 4" descr="PD1F.png"/>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736841" y="6771640"/>
            <a:ext cx="361632" cy="30508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macro="[0]!PD2F_Click">
        <xdr:nvPicPr>
          <xdr:cNvPr id="92520" name="Picture 5" descr="PD2F.png"/>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36840" y="7127571"/>
            <a:ext cx="363189" cy="3062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macro="[0]!PD3F_Click">
        <xdr:nvPicPr>
          <xdr:cNvPr id="92521" name="Picture 6" descr="PD3F.png"/>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736841" y="7470791"/>
            <a:ext cx="361632" cy="3050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macro="[0]!PD4F_Click">
        <xdr:nvPicPr>
          <xdr:cNvPr id="92522" name="Picture 7" descr="PD4F.png"/>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7736841" y="7814010"/>
            <a:ext cx="363189" cy="3062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macro="[0]!PD5F_Click">
        <xdr:nvPicPr>
          <xdr:cNvPr id="92523" name="Picture 9" descr="PD5F.png"/>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7736841" y="8169940"/>
            <a:ext cx="363189" cy="3050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macro="[0]!PD6F_Click">
        <xdr:nvPicPr>
          <xdr:cNvPr id="92524" name="Picture 10" descr="PD6F.png"/>
          <xdr:cNvPicPr>
            <a:picLocks/>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7736841" y="8517397"/>
            <a:ext cx="361632" cy="3062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macro="[0]!PD7F_Click">
        <xdr:nvPicPr>
          <xdr:cNvPr id="92525" name="Picture 11" descr="PD7F.png"/>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7736841" y="8869090"/>
            <a:ext cx="361632" cy="3062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macro="[0]!PD8F_Click">
        <xdr:nvPicPr>
          <xdr:cNvPr id="92526" name="Picture 12" descr="PD8F.png"/>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7736841" y="9199597"/>
            <a:ext cx="361632" cy="3050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macro="[0]!PDB1_Click">
        <xdr:nvPicPr>
          <xdr:cNvPr id="92527" name="Picture 13" descr="PD1B.png"/>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8136764" y="6771641"/>
            <a:ext cx="280796" cy="3050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macro="[0]!PD2B_Click">
        <xdr:nvPicPr>
          <xdr:cNvPr id="92528" name="Picture 14" descr="PD2B.png"/>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8136764" y="7127572"/>
            <a:ext cx="280796" cy="3050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macro="[0]!PD3B_Click">
        <xdr:nvPicPr>
          <xdr:cNvPr id="92529" name="Picture 15" descr="PD3B.png"/>
          <xdr:cNvPicPr>
            <a:picLocks/>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8136764" y="7470792"/>
            <a:ext cx="280483" cy="3062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macro="[0]!PD6B_Click">
        <xdr:nvPicPr>
          <xdr:cNvPr id="92530" name="Picture 19" descr="PD6B.png"/>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8136764" y="8513159"/>
            <a:ext cx="280796" cy="3050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macro="[0]!PD7B_Click">
        <xdr:nvPicPr>
          <xdr:cNvPr id="92531" name="Picture 20" descr="PD7B.png"/>
          <xdr:cNvPicPr>
            <a:picLocks/>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8136764" y="8869090"/>
            <a:ext cx="280796" cy="3062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macro="[0]!PD8B_Click">
        <xdr:nvPicPr>
          <xdr:cNvPr id="92532" name="Picture 21" descr="PD8B.png"/>
          <xdr:cNvPicPr>
            <a:picLocks/>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8124000" y="9199597"/>
            <a:ext cx="280483" cy="3050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mc:AlternateContent xmlns:mc="http://schemas.openxmlformats.org/markup-compatibility/2006">
    <mc:Choice xmlns:a14="http://schemas.microsoft.com/office/drawing/2010/main" Requires="a14">
      <xdr:twoCellAnchor editAs="oneCell">
        <xdr:from>
          <xdr:col>29</xdr:col>
          <xdr:colOff>66675</xdr:colOff>
          <xdr:row>31</xdr:row>
          <xdr:rowOff>19050</xdr:rowOff>
        </xdr:from>
        <xdr:to>
          <xdr:col>31</xdr:col>
          <xdr:colOff>95250</xdr:colOff>
          <xdr:row>32</xdr:row>
          <xdr:rowOff>219075</xdr:rowOff>
        </xdr:to>
        <xdr:sp macro="" textlink="">
          <xdr:nvSpPr>
            <xdr:cNvPr id="68125" name="Check Box 13853" hidden="1">
              <a:extLst>
                <a:ext uri="{63B3BB69-23CF-44E3-9099-C40C66FF867C}">
                  <a14:compatExt spid="_x0000_s681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31</xdr:row>
          <xdr:rowOff>19050</xdr:rowOff>
        </xdr:from>
        <xdr:to>
          <xdr:col>36</xdr:col>
          <xdr:colOff>28575</xdr:colOff>
          <xdr:row>32</xdr:row>
          <xdr:rowOff>190500</xdr:rowOff>
        </xdr:to>
        <xdr:sp macro="" textlink="">
          <xdr:nvSpPr>
            <xdr:cNvPr id="68126" name="Check Box 13854" hidden="1">
              <a:extLst>
                <a:ext uri="{63B3BB69-23CF-44E3-9099-C40C66FF867C}">
                  <a14:compatExt spid="_x0000_s681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30</xdr:col>
      <xdr:colOff>24355</xdr:colOff>
      <xdr:row>31</xdr:row>
      <xdr:rowOff>7408</xdr:rowOff>
    </xdr:from>
    <xdr:to>
      <xdr:col>33</xdr:col>
      <xdr:colOff>102829</xdr:colOff>
      <xdr:row>34</xdr:row>
      <xdr:rowOff>635</xdr:rowOff>
    </xdr:to>
    <xdr:sp macro="" textlink="">
      <xdr:nvSpPr>
        <xdr:cNvPr id="42" name="TextBox 41"/>
        <xdr:cNvSpPr txBox="1"/>
      </xdr:nvSpPr>
      <xdr:spPr>
        <a:xfrm>
          <a:off x="5682840" y="3583093"/>
          <a:ext cx="636680" cy="3488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700" b="1" i="0">
              <a:latin typeface="Arial"/>
              <a:cs typeface="Arial"/>
            </a:rPr>
            <a:t>Top </a:t>
          </a:r>
        </a:p>
        <a:p>
          <a:pPr algn="l"/>
          <a:r>
            <a:rPr lang="en-US" sz="700" b="1" i="0">
              <a:latin typeface="Arial"/>
              <a:cs typeface="Arial"/>
            </a:rPr>
            <a:t>Tack Seal</a:t>
          </a:r>
        </a:p>
      </xdr:txBody>
    </xdr:sp>
    <xdr:clientData/>
  </xdr:twoCellAnchor>
  <xdr:twoCellAnchor>
    <xdr:from>
      <xdr:col>35</xdr:col>
      <xdr:colOff>55468</xdr:colOff>
      <xdr:row>31</xdr:row>
      <xdr:rowOff>23283</xdr:rowOff>
    </xdr:from>
    <xdr:to>
      <xdr:col>38</xdr:col>
      <xdr:colOff>23712</xdr:colOff>
      <xdr:row>34</xdr:row>
      <xdr:rowOff>738</xdr:rowOff>
    </xdr:to>
    <xdr:sp macro="" textlink="">
      <xdr:nvSpPr>
        <xdr:cNvPr id="43" name="TextBox 42"/>
        <xdr:cNvSpPr txBox="1"/>
      </xdr:nvSpPr>
      <xdr:spPr>
        <a:xfrm>
          <a:off x="6618828" y="3589443"/>
          <a:ext cx="516884" cy="342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rtlCol="0" anchor="t">
          <a:noAutofit/>
        </a:bodyPr>
        <a:lstStyle/>
        <a:p>
          <a:pPr algn="l"/>
          <a:r>
            <a:rPr lang="en-US" sz="700" b="1" i="0">
              <a:latin typeface="Arial"/>
              <a:cs typeface="Arial"/>
            </a:rPr>
            <a:t>Bottom</a:t>
          </a:r>
        </a:p>
        <a:p>
          <a:pPr algn="l"/>
          <a:r>
            <a:rPr lang="en-US" sz="700" b="1" i="0">
              <a:latin typeface="Arial"/>
              <a:cs typeface="Arial"/>
            </a:rPr>
            <a:t>Tack Seal</a:t>
          </a:r>
        </a:p>
      </xdr:txBody>
    </xdr:sp>
    <xdr:clientData/>
  </xdr:twoCellAnchor>
  <mc:AlternateContent xmlns:mc="http://schemas.openxmlformats.org/markup-compatibility/2006">
    <mc:Choice xmlns:a14="http://schemas.microsoft.com/office/drawing/2010/main" Requires="a14">
      <xdr:twoCellAnchor editAs="oneCell">
        <xdr:from>
          <xdr:col>24</xdr:col>
          <xdr:colOff>104775</xdr:colOff>
          <xdr:row>32</xdr:row>
          <xdr:rowOff>0</xdr:rowOff>
        </xdr:from>
        <xdr:to>
          <xdr:col>26</xdr:col>
          <xdr:colOff>66675</xdr:colOff>
          <xdr:row>32</xdr:row>
          <xdr:rowOff>190500</xdr:rowOff>
        </xdr:to>
        <xdr:sp macro="" textlink="">
          <xdr:nvSpPr>
            <xdr:cNvPr id="68127" name="Check Box 13855" hidden="1">
              <a:extLst>
                <a:ext uri="{63B3BB69-23CF-44E3-9099-C40C66FF867C}">
                  <a14:compatExt spid="_x0000_s681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88</xdr:row>
          <xdr:rowOff>123825</xdr:rowOff>
        </xdr:from>
        <xdr:to>
          <xdr:col>6</xdr:col>
          <xdr:colOff>85725</xdr:colOff>
          <xdr:row>90</xdr:row>
          <xdr:rowOff>123825</xdr:rowOff>
        </xdr:to>
        <xdr:sp macro="" textlink="">
          <xdr:nvSpPr>
            <xdr:cNvPr id="84817" name="Check Box 26449" hidden="1">
              <a:extLst>
                <a:ext uri="{63B3BB69-23CF-44E3-9099-C40C66FF867C}">
                  <a14:compatExt spid="_x0000_s848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25</xdr:col>
      <xdr:colOff>75155</xdr:colOff>
      <xdr:row>31</xdr:row>
      <xdr:rowOff>7408</xdr:rowOff>
    </xdr:from>
    <xdr:to>
      <xdr:col>29</xdr:col>
      <xdr:colOff>31115</xdr:colOff>
      <xdr:row>34</xdr:row>
      <xdr:rowOff>20154</xdr:rowOff>
    </xdr:to>
    <xdr:sp macro="" textlink="">
      <xdr:nvSpPr>
        <xdr:cNvPr id="45" name="TextBox 44"/>
        <xdr:cNvSpPr txBox="1"/>
      </xdr:nvSpPr>
      <xdr:spPr>
        <a:xfrm>
          <a:off x="4819240" y="3583093"/>
          <a:ext cx="687480" cy="3589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700" b="1" i="0">
              <a:latin typeface="Arial"/>
              <a:cs typeface="Arial"/>
            </a:rPr>
            <a:t>K Seal</a:t>
          </a:r>
          <a:r>
            <a:rPr lang="en-US" sz="700" b="1" i="0" baseline="0">
              <a:latin typeface="Arial"/>
              <a:cs typeface="Arial"/>
            </a:rPr>
            <a:t> - </a:t>
          </a:r>
          <a:r>
            <a:rPr lang="en-US" sz="700" b="1" i="0">
              <a:latin typeface="Arial"/>
              <a:cs typeface="Arial"/>
            </a:rPr>
            <a:t>See Comments</a:t>
          </a:r>
        </a:p>
        <a:p>
          <a:pPr algn="l"/>
          <a:endParaRPr lang="en-US" sz="700" b="1" i="0">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35</xdr:col>
          <xdr:colOff>19050</xdr:colOff>
          <xdr:row>28</xdr:row>
          <xdr:rowOff>9525</xdr:rowOff>
        </xdr:from>
        <xdr:to>
          <xdr:col>37</xdr:col>
          <xdr:colOff>66675</xdr:colOff>
          <xdr:row>30</xdr:row>
          <xdr:rowOff>9525</xdr:rowOff>
        </xdr:to>
        <xdr:sp macro="" textlink="">
          <xdr:nvSpPr>
            <xdr:cNvPr id="66561" name="Check Box 1" hidden="1">
              <a:extLst>
                <a:ext uri="{63B3BB69-23CF-44E3-9099-C40C66FF867C}">
                  <a14:compatExt spid="_x0000_s665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20955</xdr:colOff>
      <xdr:row>34</xdr:row>
      <xdr:rowOff>75142</xdr:rowOff>
    </xdr:from>
    <xdr:to>
      <xdr:col>37</xdr:col>
      <xdr:colOff>123197</xdr:colOff>
      <xdr:row>41</xdr:row>
      <xdr:rowOff>112395</xdr:rowOff>
    </xdr:to>
    <xdr:sp macro="" textlink="" fLocksText="0">
      <xdr:nvSpPr>
        <xdr:cNvPr id="3" name="TextBox 2"/>
        <xdr:cNvSpPr txBox="1"/>
      </xdr:nvSpPr>
      <xdr:spPr>
        <a:xfrm>
          <a:off x="30480" y="4095750"/>
          <a:ext cx="6768677" cy="1074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38100</xdr:colOff>
      <xdr:row>4</xdr:row>
      <xdr:rowOff>57150</xdr:rowOff>
    </xdr:from>
    <xdr:to>
      <xdr:col>8</xdr:col>
      <xdr:colOff>190500</xdr:colOff>
      <xdr:row>17</xdr:row>
      <xdr:rowOff>0</xdr:rowOff>
    </xdr:to>
    <xdr:pic>
      <xdr:nvPicPr>
        <xdr:cNvPr id="44910"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828675"/>
          <a:ext cx="4876800" cy="2047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3.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omments" Target="../comments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4.vml"/><Relationship Id="rId7" Type="http://schemas.openxmlformats.org/officeDocument/2006/relationships/ctrlProp" Target="../ctrlProps/ctrlProp2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66FF66"/>
  </sheetPr>
  <dimension ref="A1:M72"/>
  <sheetViews>
    <sheetView zoomScaleNormal="100" workbookViewId="0">
      <pane xSplit="12" topLeftCell="M1" activePane="topRight" state="frozen"/>
      <selection activeCell="E56" sqref="E56"/>
      <selection pane="topRight" activeCell="B1" sqref="B1"/>
    </sheetView>
  </sheetViews>
  <sheetFormatPr defaultColWidth="10.85546875" defaultRowHeight="11.25" x14ac:dyDescent="0.2"/>
  <cols>
    <col min="1" max="1" width="8.7109375" style="105" customWidth="1"/>
    <col min="2" max="2" width="16.42578125" style="105" customWidth="1"/>
    <col min="3" max="3" width="7.7109375" style="105" customWidth="1"/>
    <col min="4" max="4" width="14.85546875" style="105" customWidth="1"/>
    <col min="5" max="5" width="11.140625" style="105" customWidth="1"/>
    <col min="6" max="6" width="10.42578125" style="105" customWidth="1"/>
    <col min="7" max="8" width="8.140625" style="105" customWidth="1"/>
    <col min="9" max="9" width="8" style="105" customWidth="1"/>
    <col min="10" max="10" width="9.140625" style="105" customWidth="1"/>
    <col min="11" max="11" width="5.42578125" style="105" customWidth="1"/>
    <col min="12" max="12" width="6.7109375" style="105" customWidth="1"/>
    <col min="13" max="16384" width="10.85546875" style="105"/>
  </cols>
  <sheetData>
    <row r="1" spans="1:13" ht="12.95" customHeight="1" x14ac:dyDescent="0.2">
      <c r="A1" s="186" t="s">
        <v>441</v>
      </c>
      <c r="C1" s="166"/>
    </row>
    <row r="2" spans="1:13" ht="20.100000000000001" customHeight="1" x14ac:dyDescent="0.2">
      <c r="A2" s="201" t="s">
        <v>300</v>
      </c>
      <c r="B2" s="201"/>
      <c r="C2" s="174"/>
      <c r="D2" s="175"/>
      <c r="E2" s="175"/>
      <c r="F2" s="175"/>
      <c r="G2" s="175"/>
      <c r="H2" s="175"/>
      <c r="I2" s="175"/>
      <c r="J2" s="175"/>
      <c r="K2" s="175"/>
      <c r="L2" s="175"/>
      <c r="M2" s="175"/>
    </row>
    <row r="3" spans="1:13" ht="33.75" x14ac:dyDescent="0.2">
      <c r="A3" s="167" t="s">
        <v>303</v>
      </c>
      <c r="B3" s="167" t="s">
        <v>137</v>
      </c>
      <c r="C3" s="167" t="s">
        <v>109</v>
      </c>
      <c r="D3" s="167" t="s">
        <v>39</v>
      </c>
      <c r="E3" s="167" t="s">
        <v>304</v>
      </c>
      <c r="F3" s="167" t="s">
        <v>415</v>
      </c>
      <c r="G3" s="167" t="s">
        <v>306</v>
      </c>
      <c r="H3" s="167" t="s">
        <v>113</v>
      </c>
      <c r="I3" s="167" t="s">
        <v>111</v>
      </c>
      <c r="J3" s="167" t="s">
        <v>112</v>
      </c>
      <c r="K3" s="167" t="s">
        <v>44</v>
      </c>
      <c r="L3" s="167" t="s">
        <v>416</v>
      </c>
      <c r="M3" s="167" t="s">
        <v>436</v>
      </c>
    </row>
    <row r="4" spans="1:13" x14ac:dyDescent="0.2">
      <c r="A4" s="176" t="b">
        <f>IF('Gusset Pouch'!J18=1,A28,IF('Gusset Pouch'!J18=2,A28,IF('Gusset Pouch'!J18=3,A28,IF('Gusset Pouch'!J18=4,A52,IF('Gusset Pouch'!J18=5,A52,IF('Gusset Pouch'!J18=6,A52))))))</f>
        <v>0</v>
      </c>
      <c r="B4" s="176" t="b">
        <f>IF('Gusset Pouch'!J18=1,B28,IF('Gusset Pouch'!J18=2,B28,IF('Gusset Pouch'!J18=3,B28,IF('Gusset Pouch'!J18=4,B52,IF('Gusset Pouch'!J18=5,B52,IF('Gusset Pouch'!J18=6,B52))))))</f>
        <v>0</v>
      </c>
      <c r="C4" s="176" t="b">
        <f>IF('Gusset Pouch'!J18=1,C28,IF('Gusset Pouch'!J18=2,C28,IF('Gusset Pouch'!J18=3,C28,IF('Gusset Pouch'!J18=4,C52,IF('Gusset Pouch'!J18=5,C52,IF('Gusset Pouch'!J18=6,C52))))))</f>
        <v>0</v>
      </c>
      <c r="D4" s="176" t="b">
        <f>IF('Gusset Pouch'!J18=1,D28,IF('Gusset Pouch'!J18=2,D28,IF('Gusset Pouch'!J18=3,D28,IF('Gusset Pouch'!J18=4,D52,IF('Gusset Pouch'!J18=5,D52,IF('Gusset Pouch'!J18=6,D52))))))</f>
        <v>0</v>
      </c>
      <c r="E4" s="176" t="b">
        <f>IF('Gusset Pouch'!J18=1,E28,IF('Gusset Pouch'!J18=2,E28,IF('Gusset Pouch'!J18=3,E28,IF('Gusset Pouch'!J18=4,E52,IF('Gusset Pouch'!J18=5,E52,IF('Gusset Pouch'!J18=6,E52))))))</f>
        <v>0</v>
      </c>
      <c r="F4" s="176" t="b">
        <f>IF('Gusset Pouch'!J18=1,F28,IF('Gusset Pouch'!J18=2,F28,IF('Gusset Pouch'!J18=3,F28,IF('Gusset Pouch'!J18=4,F52,IF('Gusset Pouch'!J18=5,F52,IF('Gusset Pouch'!J18=6,F52))))))</f>
        <v>0</v>
      </c>
      <c r="G4" s="176" t="b">
        <f>IF('Gusset Pouch'!J18=1,G28,IF('Gusset Pouch'!J18=2,G28,IF('Gusset Pouch'!J18=3,G28,IF('Gusset Pouch'!J18=4,G52,IF('Gusset Pouch'!J18=5,G52,IF('Gusset Pouch'!J18=6,G52))))))</f>
        <v>0</v>
      </c>
      <c r="H4" s="176" t="b">
        <f>IF('Gusset Pouch'!J18=1,H28,IF('Gusset Pouch'!J18=2,H28,IF('Gusset Pouch'!J18=3,H28,IF('Gusset Pouch'!J18=4,H52,IF('Gusset Pouch'!J18=5,H52,IF('Gusset Pouch'!J18=6,H52))))))</f>
        <v>0</v>
      </c>
      <c r="I4" s="176" t="b">
        <f>IF('Gusset Pouch'!J18=1,I28,IF('Gusset Pouch'!J18=2,I28,IF('Gusset Pouch'!J18=3,I28,IF('Gusset Pouch'!J18=4,I52,IF('Gusset Pouch'!J18=5,I52,IF('Gusset Pouch'!J18=6,I52))))))</f>
        <v>0</v>
      </c>
      <c r="J4" s="176" t="b">
        <f>IF('Gusset Pouch'!J18=1,J28,IF('Gusset Pouch'!J18=2,J28,IF('Gusset Pouch'!J18=3,J28,IF('Gusset Pouch'!J18=4,J52,IF('Gusset Pouch'!J18=5,J52,IF('Gusset Pouch'!J18=6,J52))))))</f>
        <v>0</v>
      </c>
      <c r="K4" s="176" t="b">
        <f>IF('Gusset Pouch'!J18=1,K28,IF('Gusset Pouch'!J18=2,K28,IF('Gusset Pouch'!J18=3,K28,IF('Gusset Pouch'!J18=4,K52,IF('Gusset Pouch'!J18=5,K52,IF('Gusset Pouch'!J18=6,K52))))))</f>
        <v>0</v>
      </c>
      <c r="L4" s="176" t="b">
        <f>IF('Gusset Pouch'!J18=1,L28,IF('Gusset Pouch'!J18=2,L28,IF('Gusset Pouch'!J18=3,L28,IF('Gusset Pouch'!J18=4,L52,IF('Gusset Pouch'!J18=5,L52,IF('Gusset Pouch'!J18=6,L52))))))</f>
        <v>0</v>
      </c>
      <c r="M4" s="176" t="b">
        <f>IF('Gusset Pouch'!J18=1,M28,IF('Gusset Pouch'!J18=2,M28,IF('Gusset Pouch'!J18=3,M28,IF('Gusset Pouch'!J18=4,M52,IF('Gusset Pouch'!J18=5,M52,IF('Gusset Pouch'!J18=6,M52))))))</f>
        <v>0</v>
      </c>
    </row>
    <row r="5" spans="1:13" x14ac:dyDescent="0.2">
      <c r="A5" s="176" t="b">
        <f>IF('Gusset Pouch'!J18=1,A29,IF('Gusset Pouch'!J18=2,A29,IF('Gusset Pouch'!J18=3,A29,IF('Gusset Pouch'!J18=4,A53,IF('Gusset Pouch'!J18=5,A53,IF('Gusset Pouch'!J18=6,A53))))))</f>
        <v>0</v>
      </c>
      <c r="B5" s="176" t="b">
        <f>IF('Gusset Pouch'!J18=1,B29,IF('Gusset Pouch'!J18=2,B29,IF('Gusset Pouch'!J18=3,B29,IF('Gusset Pouch'!J18=4,B53,IF('Gusset Pouch'!J18=5,B53,IF('Gusset Pouch'!J18=6,B53))))))</f>
        <v>0</v>
      </c>
      <c r="C5" s="176" t="b">
        <f>IF('Gusset Pouch'!J18=1,C29,IF('Gusset Pouch'!J18=2,C29,IF('Gusset Pouch'!J18=3,C29,IF('Gusset Pouch'!J18=4,"",IF('Gusset Pouch'!J18=5,"",IF('Gusset Pouch'!J18=6,""))))))</f>
        <v>0</v>
      </c>
      <c r="D5" s="176" t="b">
        <f>IF('Gusset Pouch'!J18=1,D29,IF('Gusset Pouch'!J18=2,D29,IF('Gusset Pouch'!J18=3,D29,IF('Gusset Pouch'!J18=4,D53,IF('Gusset Pouch'!J18=5,D53,IF('Gusset Pouch'!J18=6,D53))))))</f>
        <v>0</v>
      </c>
      <c r="E5" s="176" t="b">
        <f>IF('Gusset Pouch'!J18=1,"",IF('Gusset Pouch'!J18=2,"",IF('Gusset Pouch'!J18=3,"",IF('Gusset Pouch'!J18=4,E53,IF('Gusset Pouch'!J18=5,E53,IF('Gusset Pouch'!J18=6,E53))))))</f>
        <v>0</v>
      </c>
      <c r="F5" s="176" t="b">
        <f>IF('Gusset Pouch'!J18=1,F29,IF('Gusset Pouch'!J18=2,F29,IF('Gusset Pouch'!J18=3,F29,IF('Gusset Pouch'!J18=4,F53,IF('Gusset Pouch'!J18=5,F53,IF('Gusset Pouch'!J18=6,F53))))))</f>
        <v>0</v>
      </c>
      <c r="G5" s="176" t="b">
        <f>IF('Gusset Pouch'!J18=1,G29,IF('Gusset Pouch'!J18=2,G29,IF('Gusset Pouch'!J18=3,G29,IF('Gusset Pouch'!J18=4,"",IF('Gusset Pouch'!J18=5,"",IF('Gusset Pouch'!J18=6,""))))))</f>
        <v>0</v>
      </c>
      <c r="H5" s="176" t="b">
        <f>IF('Gusset Pouch'!J18=1,"",IF('Gusset Pouch'!J18=2,"",IF('Gusset Pouch'!J18=3,"",IF('Gusset Pouch'!J18=4,H53,IF('Gusset Pouch'!J18=5,H53,IF('Gusset Pouch'!J18=6,H53))))))</f>
        <v>0</v>
      </c>
      <c r="I5" s="176" t="b">
        <f>IF('Gusset Pouch'!J18=1,I29,IF('Gusset Pouch'!J18=2,I29,IF('Gusset Pouch'!J18=3,I29,IF('Gusset Pouch'!J18=4,I53,IF('Gusset Pouch'!J18=5,I53,IF('Gusset Pouch'!J18=6,I53))))))</f>
        <v>0</v>
      </c>
      <c r="J5" s="176" t="b">
        <f>IF('Gusset Pouch'!J18=1,J29,IF('Gusset Pouch'!J18=2,J29,IF('Gusset Pouch'!J18=3,J29,IF('Gusset Pouch'!J18=4,"",IF('Gusset Pouch'!J18=5,"",IF('Gusset Pouch'!J18=6,""))))))</f>
        <v>0</v>
      </c>
      <c r="K5" s="176" t="b">
        <f>IF('Gusset Pouch'!J18=1,"",IF('Gusset Pouch'!J18=2,"",IF('Gusset Pouch'!J18=3,"",IF('Gusset Pouch'!J18=4,K53,IF('Gusset Pouch'!J18=5,K53,IF('Gusset Pouch'!J18=6,K53))))))</f>
        <v>0</v>
      </c>
      <c r="L5" s="176" t="b">
        <f>IF('Gusset Pouch'!J18=1,"",IF('Gusset Pouch'!J18=2,"",IF('Gusset Pouch'!J18=3,L29,IF('Gusset Pouch'!J18=4,"",IF('Gusset Pouch'!J18=5,"",IF('Gusset Pouch'!J18=6,""))))))</f>
        <v>0</v>
      </c>
      <c r="M5" s="176" t="b">
        <f>IF('Gusset Pouch'!J18=1,"",IF('Gusset Pouch'!J18=2,"",IF('Gusset Pouch'!J18=3,"",IF('Gusset Pouch'!J18=4,M53,IF('Gusset Pouch'!J18=5,M53,IF('Gusset Pouch'!J18=6,M53))))))</f>
        <v>0</v>
      </c>
    </row>
    <row r="6" spans="1:13" x14ac:dyDescent="0.2">
      <c r="A6" s="176" t="b">
        <f>IF('Gusset Pouch'!J18=1,A30,IF('Gusset Pouch'!J18=2,A30,IF('Gusset Pouch'!J18=3,A30,IF('Gusset Pouch'!J18=4,A54,IF('Gusset Pouch'!J18=5,A54,IF('Gusset Pouch'!J18=6,A54))))))</f>
        <v>0</v>
      </c>
      <c r="B6" s="176" t="b">
        <f>IF('Gusset Pouch'!J18=1,B30,IF('Gusset Pouch'!J18=2,B30,IF('Gusset Pouch'!J18=3,B30,IF('Gusset Pouch'!J18=4,B54,IF('Gusset Pouch'!J18=5,B54,IF('Gusset Pouch'!J18=6,B54))))))</f>
        <v>0</v>
      </c>
      <c r="C6" s="169"/>
      <c r="D6" s="176" t="b">
        <f>IF('Gusset Pouch'!J18=1,D30,IF('Gusset Pouch'!J18=2,D30,IF('Gusset Pouch'!J18=3,D30,IF('Gusset Pouch'!J18=4,D54,IF('Gusset Pouch'!J18=5,D54,IF('Gusset Pouch'!J18=6,D54))))))</f>
        <v>0</v>
      </c>
      <c r="E6" s="169"/>
      <c r="F6" s="176"/>
      <c r="G6" s="176" t="b">
        <f>IF('Gusset Pouch'!J18=1,G30,IF('Gusset Pouch'!J18=2,G30,IF('Gusset Pouch'!J18=3,G30,IF('Gusset Pouch'!J18=4,"",IF('Gusset Pouch'!J18=5,"",IF('Gusset Pouch'!J18=6,""))))))</f>
        <v>0</v>
      </c>
      <c r="H6" s="176" t="b">
        <f>IF('Gusset Pouch'!J18=1,"",IF('Gusset Pouch'!J18=2,"",IF('Gusset Pouch'!J18=3,"",IF('Gusset Pouch'!J18=4,H54,IF('Gusset Pouch'!J18=5,H54,IF('Gusset Pouch'!J18=6,H54))))))</f>
        <v>0</v>
      </c>
      <c r="I6" s="176" t="b">
        <f>IF('Gusset Pouch'!J18=1,I30,IF('Gusset Pouch'!J18=2,I30,IF('Gusset Pouch'!J18=3,I30,IF('Gusset Pouch'!J18=4,I54,IF('Gusset Pouch'!J18=5,I54,IF('Gusset Pouch'!J18=6,I54))))))</f>
        <v>0</v>
      </c>
      <c r="J6" s="176" t="b">
        <f>IF('Gusset Pouch'!J18=1,J30,IF('Gusset Pouch'!J18=2,J30,IF('Gusset Pouch'!J18=3,J30,IF('Gusset Pouch'!J18=4,"",IF('Gusset Pouch'!J18=5,"",IF('Gusset Pouch'!J18=6,""))))))</f>
        <v>0</v>
      </c>
      <c r="K6" s="176" t="b">
        <f>IF('Gusset Pouch'!J18=1,"",IF('Gusset Pouch'!J18=2,"",IF('Gusset Pouch'!J18=3,"",IF('Gusset Pouch'!J18=4,K54,IF('Gusset Pouch'!J18=5,K54,IF('Gusset Pouch'!J18=6,K54))))))</f>
        <v>0</v>
      </c>
      <c r="L6" s="176" t="b">
        <f>IF('Gusset Pouch'!J18=1,"",IF('Gusset Pouch'!J18=2,"",IF('Gusset Pouch'!J18=3,L30,IF('Gusset Pouch'!J18=4,"",IF('Gusset Pouch'!J18=5,"",IF('Gusset Pouch'!J18=6,""))))))</f>
        <v>0</v>
      </c>
      <c r="M6" s="176" t="b">
        <f>IF('Gusset Pouch'!J18=1,"",IF('Gusset Pouch'!J18=2,"",IF('Gusset Pouch'!J18=3,"",IF('Gusset Pouch'!J18=4,M54,IF('Gusset Pouch'!J18=5,M54,IF('Gusset Pouch'!J18=6,M54))))))</f>
        <v>0</v>
      </c>
    </row>
    <row r="7" spans="1:13" x14ac:dyDescent="0.2">
      <c r="A7" s="179"/>
      <c r="B7" s="176" t="b">
        <f>IF('Gusset Pouch'!J18=1,"",IF('Gusset Pouch'!J18=2,"",IF('Gusset Pouch'!J18=3,"",IF('Gusset Pouch'!J18=4,B55,IF('Gusset Pouch'!J18=5,B55,IF('Gusset Pouch'!J18=6,B55))))))</f>
        <v>0</v>
      </c>
      <c r="C7" s="169"/>
      <c r="D7" s="176" t="b">
        <f>IF('Gusset Pouch'!J18=1,D31,IF('Gusset Pouch'!J18=2,D31,IF('Gusset Pouch'!J18=3,D31,IF('Gusset Pouch'!J18=4,D55,IF('Gusset Pouch'!J18=5,D55,IF('Gusset Pouch'!J18=6,D55))))))</f>
        <v>0</v>
      </c>
      <c r="E7" s="169"/>
      <c r="F7" s="176"/>
      <c r="G7" s="176" t="b">
        <f>IF('Gusset Pouch'!J18=1,G31,IF('Gusset Pouch'!J18=2,G31,IF('Gusset Pouch'!J18=3,G31,IF('Gusset Pouch'!J18=4,"",IF('Gusset Pouch'!J18=5,"",IF('Gusset Pouch'!J18=6,""))))))</f>
        <v>0</v>
      </c>
      <c r="H7" s="176" t="b">
        <f>IF('Gusset Pouch'!J18=1,"",IF('Gusset Pouch'!J18=2,"",IF('Gusset Pouch'!J18=3,"",IF('Gusset Pouch'!J18=4,H55,IF('Gusset Pouch'!J18=5,H55,IF('Gusset Pouch'!J18=6,H55))))))</f>
        <v>0</v>
      </c>
      <c r="I7" s="176" t="b">
        <f>IF('Gusset Pouch'!J18=1,I31,IF('Gusset Pouch'!J18=2,I31,IF('Gusset Pouch'!J18=3,I31,IF('Gusset Pouch'!J18=4,I55,IF('Gusset Pouch'!J18=5,I55,IF('Gusset Pouch'!J18=6,I55))))))</f>
        <v>0</v>
      </c>
      <c r="J7" s="176" t="b">
        <f>IF('Gusset Pouch'!J18=1,J31,IF('Gusset Pouch'!J18=2,J31,IF('Gusset Pouch'!J18=3,J31,IF('Gusset Pouch'!J18=4,"",IF('Gusset Pouch'!J18=5,"",IF('Gusset Pouch'!J18=6,""))))))</f>
        <v>0</v>
      </c>
      <c r="K7" s="169"/>
      <c r="L7" s="170"/>
    </row>
    <row r="8" spans="1:13" x14ac:dyDescent="0.2">
      <c r="A8" s="179"/>
      <c r="B8" s="176" t="b">
        <f>IF('Gusset Pouch'!J18=1,"",IF('Gusset Pouch'!J18=2,"",IF('Gusset Pouch'!J18=3,"",IF('Gusset Pouch'!J18=4,B56,IF('Gusset Pouch'!J18=5,B56,IF('Gusset Pouch'!J18=6,B56))))))</f>
        <v>0</v>
      </c>
      <c r="C8" s="169"/>
      <c r="D8" s="176" t="b">
        <f>IF('Gusset Pouch'!J18=1,D32,IF('Gusset Pouch'!J18=2,D32,IF('Gusset Pouch'!J18=3,D32,IF('Gusset Pouch'!J18=4,D56,IF('Gusset Pouch'!J18=5,D56,IF('Gusset Pouch'!J18=6,D56))))))</f>
        <v>0</v>
      </c>
      <c r="E8" s="169"/>
      <c r="F8" s="169"/>
      <c r="G8" s="176" t="b">
        <f>IF('Gusset Pouch'!J18=1,G32,IF('Gusset Pouch'!J18=2,G32,IF('Gusset Pouch'!J18=3,G32,IF('Gusset Pouch'!J18=4,"",IF('Gusset Pouch'!J18=5,"",IF('Gusset Pouch'!J18=6,""))))))</f>
        <v>0</v>
      </c>
      <c r="H8" s="176" t="b">
        <f>IF('Gusset Pouch'!J18=1,"",IF('Gusset Pouch'!J18=2,"",IF('Gusset Pouch'!J18=3,"",IF('Gusset Pouch'!J18=4,H56,IF('Gusset Pouch'!J18=5,H56,IF('Gusset Pouch'!J18=6,H56))))))</f>
        <v>0</v>
      </c>
      <c r="I8" s="176" t="b">
        <f>IF('Gusset Pouch'!J18=1,I32,IF('Gusset Pouch'!J18=2,I32,IF('Gusset Pouch'!J18=3,I32,IF('Gusset Pouch'!J18=4,I56,IF('Gusset Pouch'!J18=5,I56,IF('Gusset Pouch'!J18=6,I56))))))</f>
        <v>0</v>
      </c>
      <c r="J8" s="176" t="b">
        <f>IF('Gusset Pouch'!J18=1,J32,IF('Gusset Pouch'!J18=2,J32,IF('Gusset Pouch'!J18=3,J32,IF('Gusset Pouch'!J18=4,"",IF('Gusset Pouch'!J18=5,"",IF('Gusset Pouch'!J18=6,""))))))</f>
        <v>0</v>
      </c>
      <c r="K8" s="169"/>
      <c r="L8" s="170"/>
    </row>
    <row r="9" spans="1:13" x14ac:dyDescent="0.2">
      <c r="A9" s="179"/>
      <c r="B9" s="176" t="b">
        <f>IF('Gusset Pouch'!J18=1,"",IF('Gusset Pouch'!J18=2,"",IF('Gusset Pouch'!J18=3,"",IF('Gusset Pouch'!J18=4,B57,IF('Gusset Pouch'!J18=5,B57,IF('Gusset Pouch'!J18=6,B57))))))</f>
        <v>0</v>
      </c>
      <c r="C9" s="169"/>
      <c r="D9" s="176" t="b">
        <f>IF('Gusset Pouch'!J18=1,D33,IF('Gusset Pouch'!J18=2,D33,IF('Gusset Pouch'!J18=3,D33,IF('Gusset Pouch'!J18=4,D57,IF('Gusset Pouch'!J18=5,D57,IF('Gusset Pouch'!J18=6,D57))))))</f>
        <v>0</v>
      </c>
      <c r="E9" s="169"/>
      <c r="F9" s="169"/>
      <c r="G9" s="176" t="b">
        <f>IF('Gusset Pouch'!J18=1,G33,IF('Gusset Pouch'!J18=2,G33,IF('Gusset Pouch'!J18=3,G33,IF('Gusset Pouch'!J18=4,"",IF('Gusset Pouch'!J18=5,"",IF('Gusset Pouch'!J18=6,""))))))</f>
        <v>0</v>
      </c>
      <c r="H9" s="176" t="b">
        <f>IF('Gusset Pouch'!J18=1,"",IF('Gusset Pouch'!J18=2,"",IF('Gusset Pouch'!J18=3,"",IF('Gusset Pouch'!J18=4,H57,IF('Gusset Pouch'!J18=5,H57,IF('Gusset Pouch'!J18=6,H57))))))</f>
        <v>0</v>
      </c>
      <c r="I9" s="176" t="b">
        <f>IF('Gusset Pouch'!J18=1,I33,IF('Gusset Pouch'!J18=2,I33,IF('Gusset Pouch'!J18=3,I33,IF('Gusset Pouch'!J18=4,I57,IF('Gusset Pouch'!J18=5,I57,IF('Gusset Pouch'!J18=6,I57))))))</f>
        <v>0</v>
      </c>
      <c r="J9" s="176" t="b">
        <f>IF('Gusset Pouch'!J18=1,J33,IF('Gusset Pouch'!J18=2,J33,IF('Gusset Pouch'!J18=3,J33,IF('Gusset Pouch'!J18=4,"",IF('Gusset Pouch'!J18=5,"",IF('Gusset Pouch'!J18=6,""))))))</f>
        <v>0</v>
      </c>
      <c r="K9" s="169"/>
      <c r="L9" s="170"/>
    </row>
    <row r="10" spans="1:13" x14ac:dyDescent="0.2">
      <c r="A10" s="179"/>
      <c r="B10" s="176" t="b">
        <f>IF('Gusset Pouch'!J18=1,"",IF('Gusset Pouch'!J18=2,"",IF('Gusset Pouch'!J18=3,"",IF('Gusset Pouch'!J18=4,B58,IF('Gusset Pouch'!J18=5,B58,IF('Gusset Pouch'!J18=6,B58))))))</f>
        <v>0</v>
      </c>
      <c r="C10" s="169"/>
      <c r="D10" s="176" t="b">
        <f>IF('Gusset Pouch'!J18=1,D34,IF('Gusset Pouch'!J18=2,D34,IF('Gusset Pouch'!J18=3,D34,IF('Gusset Pouch'!J18=4,D58,IF('Gusset Pouch'!J18=5,D58,IF('Gusset Pouch'!J18=6,D58))))))</f>
        <v>0</v>
      </c>
      <c r="E10" s="169"/>
      <c r="F10" s="169"/>
      <c r="G10" s="176" t="b">
        <f>IF('Gusset Pouch'!J18=1,G34,IF('Gusset Pouch'!J18=2,G34,IF('Gusset Pouch'!J18=3,G34,IF('Gusset Pouch'!J18=4,"",IF('Gusset Pouch'!J18=5,"",IF('Gusset Pouch'!J18=6,""))))))</f>
        <v>0</v>
      </c>
      <c r="H10" s="176" t="b">
        <f>IF('Gusset Pouch'!J18=1,"",IF('Gusset Pouch'!J18=2,"",IF('Gusset Pouch'!J18=3,"",IF('Gusset Pouch'!J18=4,H58,IF('Gusset Pouch'!J18=5,H58,IF('Gusset Pouch'!J18=6,H58))))))</f>
        <v>0</v>
      </c>
      <c r="I10" s="176" t="b">
        <f>IF('Gusset Pouch'!J18=1,I34,IF('Gusset Pouch'!J18=2,I34,IF('Gusset Pouch'!J18=3,I34,IF('Gusset Pouch'!J18=4,I58,IF('Gusset Pouch'!J18=5,I58,IF('Gusset Pouch'!J18=6,I58))))))</f>
        <v>0</v>
      </c>
      <c r="J10" s="176" t="b">
        <f>IF('Gusset Pouch'!J18=1,J34,IF('Gusset Pouch'!J18=2,J34,IF('Gusset Pouch'!J18=3,J34,IF('Gusset Pouch'!J18=4,"",IF('Gusset Pouch'!J18=5,"",IF('Gusset Pouch'!J18=6,""))))))</f>
        <v>0</v>
      </c>
      <c r="K10" s="169"/>
      <c r="L10" s="170"/>
    </row>
    <row r="11" spans="1:13" x14ac:dyDescent="0.2">
      <c r="A11" s="179"/>
      <c r="B11" s="176" t="b">
        <f>IF('Gusset Pouch'!J18=1,"",IF('Gusset Pouch'!J18=2,"",IF('Gusset Pouch'!J18=3,"",IF('Gusset Pouch'!J18=4,B59,IF('Gusset Pouch'!J18=5,B59,IF('Gusset Pouch'!J18=6,B59))))))</f>
        <v>0</v>
      </c>
      <c r="C11" s="169"/>
      <c r="D11" s="176" t="b">
        <f>IF('Gusset Pouch'!J18=1,D35,IF('Gusset Pouch'!J18=2,D35,IF('Gusset Pouch'!J18=3,D35,IF('Gusset Pouch'!J18=4,D59,IF('Gusset Pouch'!J18=5,D59,IF('Gusset Pouch'!J18=6,D59))))))</f>
        <v>0</v>
      </c>
      <c r="E11" s="169"/>
      <c r="F11" s="169"/>
      <c r="G11" s="176" t="b">
        <f>IF('Gusset Pouch'!J18=1,G35,IF('Gusset Pouch'!J18=2,G35,IF('Gusset Pouch'!J18=3,G35,IF('Gusset Pouch'!J18=4,"",IF('Gusset Pouch'!J18=5,"",IF('Gusset Pouch'!J18=6,""))))))</f>
        <v>0</v>
      </c>
      <c r="H11" s="169"/>
      <c r="I11" s="176" t="b">
        <f>IF('Gusset Pouch'!J18=1,I35,IF('Gusset Pouch'!J18=2,I35,IF('Gusset Pouch'!J18=3,I35,IF('Gusset Pouch'!J18=4,I59,IF('Gusset Pouch'!J18=5,I59,IF('Gusset Pouch'!J18=6,I59))))))</f>
        <v>0</v>
      </c>
      <c r="J11" s="176" t="b">
        <f>IF('Gusset Pouch'!J18=1,J35,IF('Gusset Pouch'!J18=2,J35,IF('Gusset Pouch'!J18=3,J35,IF('Gusset Pouch'!J18=4,"",IF('Gusset Pouch'!J18=5,"",IF('Gusset Pouch'!J18=6,""))))))</f>
        <v>0</v>
      </c>
      <c r="K11" s="169"/>
      <c r="L11" s="170"/>
    </row>
    <row r="12" spans="1:13" x14ac:dyDescent="0.2">
      <c r="A12" s="179"/>
      <c r="B12" s="176" t="b">
        <f>IF('Gusset Pouch'!J18=1,"",IF('Gusset Pouch'!J18=2,"",IF('Gusset Pouch'!J18=3,"",IF('Gusset Pouch'!J18=4,B60,IF('Gusset Pouch'!J18=5,B60,IF('Gusset Pouch'!J18=6,B60))))))</f>
        <v>0</v>
      </c>
      <c r="C12" s="169"/>
      <c r="D12" s="176" t="b">
        <f>IF('Gusset Pouch'!J18=1,D36,IF('Gusset Pouch'!J18=2,D36,IF('Gusset Pouch'!J18=3,D36,IF('Gusset Pouch'!J18=4,D60,IF('Gusset Pouch'!J18=5,D60,IF('Gusset Pouch'!J18=6,D60))))))</f>
        <v>0</v>
      </c>
      <c r="E12" s="169"/>
      <c r="F12" s="169"/>
      <c r="G12" s="176" t="b">
        <f>IF('Gusset Pouch'!J18=1,G36,IF('Gusset Pouch'!J18=2,G36,IF('Gusset Pouch'!J18=3,G36,IF('Gusset Pouch'!J18=4,"",IF('Gusset Pouch'!J18=5,"",IF('Gusset Pouch'!J18=6,""))))))</f>
        <v>0</v>
      </c>
      <c r="H12" s="169"/>
      <c r="I12" s="176" t="b">
        <f>IF('Gusset Pouch'!J18=1,I36,IF('Gusset Pouch'!J18=2,I36,IF('Gusset Pouch'!J18=3,I36,IF('Gusset Pouch'!J18=4,I60,IF('Gusset Pouch'!J18=5,I60,IF('Gusset Pouch'!J18=6,I60))))))</f>
        <v>0</v>
      </c>
      <c r="J12" s="176" t="b">
        <f>IF('Gusset Pouch'!J18=1,J36,IF('Gusset Pouch'!J18=2,J36,IF('Gusset Pouch'!J18=3,J36,IF('Gusset Pouch'!J18=4,"",IF('Gusset Pouch'!J18=5,"",IF('Gusset Pouch'!J18=6,""))))))</f>
        <v>0</v>
      </c>
      <c r="K12" s="169"/>
      <c r="L12" s="170"/>
    </row>
    <row r="13" spans="1:13" x14ac:dyDescent="0.2">
      <c r="A13" s="179"/>
      <c r="B13" s="176" t="b">
        <f>IF('Gusset Pouch'!J18=1,"",IF('Gusset Pouch'!J18=2,"",IF('Gusset Pouch'!J18=3,"",IF('Gusset Pouch'!J18=4,B61,IF('Gusset Pouch'!J18=5,B61,IF('Gusset Pouch'!J18=6,B61))))))</f>
        <v>0</v>
      </c>
      <c r="C13" s="169"/>
      <c r="D13" s="176" t="b">
        <f>IF('Gusset Pouch'!J18=1,D37,IF('Gusset Pouch'!J18=2,D37,IF('Gusset Pouch'!J18=3,D37,IF('Gusset Pouch'!J18=4,D61,IF('Gusset Pouch'!J18=5,D61,IF('Gusset Pouch'!J18=6,D61))))))</f>
        <v>0</v>
      </c>
      <c r="E13" s="169"/>
      <c r="F13" s="169"/>
      <c r="G13" s="176" t="b">
        <f>IF('Gusset Pouch'!J18=1,G37,IF('Gusset Pouch'!J18=2,G37,IF('Gusset Pouch'!J18=3,G37,IF('Gusset Pouch'!J18=4,"",IF('Gusset Pouch'!J18=5,"",IF('Gusset Pouch'!J18=6,""))))))</f>
        <v>0</v>
      </c>
      <c r="H13" s="169"/>
      <c r="I13" s="169"/>
      <c r="J13" s="169"/>
      <c r="K13" s="169"/>
      <c r="L13" s="170"/>
    </row>
    <row r="14" spans="1:13" x14ac:dyDescent="0.2">
      <c r="A14" s="179"/>
      <c r="B14" s="176"/>
      <c r="C14" s="169"/>
      <c r="D14" s="176" t="b">
        <f>IF('Gusset Pouch'!J18=1,D38,IF('Gusset Pouch'!J18=2,D38,IF('Gusset Pouch'!J18=3,D38,IF('Gusset Pouch'!J18=4,D62,IF('Gusset Pouch'!J18=5,D62,IF('Gusset Pouch'!J18=6,D62))))))</f>
        <v>0</v>
      </c>
      <c r="E14" s="169"/>
      <c r="F14" s="169"/>
      <c r="G14" s="176" t="b">
        <f>IF('Gusset Pouch'!J18=1,G38,IF('Gusset Pouch'!J18=2,G38,IF('Gusset Pouch'!J18=3,G38,IF('Gusset Pouch'!J18=4,"",IF('Gusset Pouch'!J18=5,"",IF('Gusset Pouch'!J18=6,""))))))</f>
        <v>0</v>
      </c>
      <c r="H14" s="169"/>
      <c r="I14" s="169"/>
      <c r="J14" s="169"/>
      <c r="K14" s="169"/>
      <c r="L14" s="170"/>
    </row>
    <row r="15" spans="1:13" x14ac:dyDescent="0.2">
      <c r="A15" s="179"/>
      <c r="B15" s="170"/>
      <c r="C15" s="169"/>
      <c r="D15" s="169"/>
      <c r="E15" s="169"/>
      <c r="F15" s="169"/>
      <c r="G15" s="176" t="b">
        <f>IF('Gusset Pouch'!J18=1,G39,IF('Gusset Pouch'!J18=2,G39,IF('Gusset Pouch'!J18=3,G39,IF('Gusset Pouch'!J18=4,"",IF('Gusset Pouch'!J18=5,"",IF('Gusset Pouch'!J18=6,""))))))</f>
        <v>0</v>
      </c>
      <c r="H15" s="169"/>
      <c r="I15" s="169"/>
      <c r="J15" s="169"/>
      <c r="K15" s="169"/>
      <c r="L15" s="170"/>
    </row>
    <row r="16" spans="1:13" x14ac:dyDescent="0.2">
      <c r="A16" s="179"/>
      <c r="B16" s="169"/>
      <c r="C16" s="169"/>
      <c r="D16" s="169"/>
      <c r="E16" s="169"/>
      <c r="F16" s="169"/>
      <c r="G16" s="176" t="b">
        <f>IF('Gusset Pouch'!J18=1,G40,IF('Gusset Pouch'!J18=2,G40,IF('Gusset Pouch'!J18=3,G40,IF('Gusset Pouch'!J18=4,"",IF('Gusset Pouch'!J18=5,"",IF('Gusset Pouch'!J18=6,""))))))</f>
        <v>0</v>
      </c>
      <c r="H16" s="169"/>
      <c r="I16" s="169"/>
      <c r="J16" s="169"/>
      <c r="K16" s="169"/>
      <c r="L16" s="170"/>
    </row>
    <row r="17" spans="1:13" x14ac:dyDescent="0.2">
      <c r="A17" s="179"/>
      <c r="B17" s="169"/>
      <c r="C17" s="169"/>
      <c r="D17" s="169"/>
      <c r="E17" s="169"/>
      <c r="F17" s="169"/>
      <c r="G17" s="176" t="b">
        <f>IF('Gusset Pouch'!J18=1,G41,IF('Gusset Pouch'!J18=2,G41,IF('Gusset Pouch'!J18=3,G41,IF('Gusset Pouch'!J18=4,"",IF('Gusset Pouch'!J18=5,"",IF('Gusset Pouch'!J18=6,""))))))</f>
        <v>0</v>
      </c>
      <c r="H17" s="169"/>
      <c r="I17" s="169"/>
      <c r="J17" s="169"/>
      <c r="K17" s="169"/>
      <c r="L17" s="170"/>
    </row>
    <row r="18" spans="1:13" x14ac:dyDescent="0.2">
      <c r="A18" s="179"/>
      <c r="B18" s="169"/>
      <c r="C18" s="169"/>
      <c r="D18" s="169"/>
      <c r="E18" s="169"/>
      <c r="F18" s="169"/>
      <c r="G18" s="176" t="b">
        <f>IF('Gusset Pouch'!J18=1,G42,IF('Gusset Pouch'!J18=2,G42,IF('Gusset Pouch'!J18=3,G42,IF('Gusset Pouch'!J18=4,"",IF('Gusset Pouch'!J18=5,"",IF('Gusset Pouch'!J18=6,""))))))</f>
        <v>0</v>
      </c>
      <c r="H18" s="169"/>
      <c r="I18" s="169"/>
      <c r="J18" s="169"/>
      <c r="K18" s="169"/>
      <c r="L18" s="170"/>
    </row>
    <row r="19" spans="1:13" x14ac:dyDescent="0.2">
      <c r="A19" s="179"/>
      <c r="B19" s="169"/>
      <c r="C19" s="169"/>
      <c r="D19" s="169"/>
      <c r="E19" s="169"/>
      <c r="F19" s="169"/>
      <c r="G19" s="176" t="b">
        <f>IF('Gusset Pouch'!J18=1,G43,IF('Gusset Pouch'!J18=2,G43,IF('Gusset Pouch'!J18=3,G43,IF('Gusset Pouch'!J18=4,"",IF('Gusset Pouch'!J18=5,"",IF('Gusset Pouch'!J18=6,""))))))</f>
        <v>0</v>
      </c>
      <c r="H19" s="169"/>
      <c r="I19" s="169"/>
      <c r="J19" s="169"/>
      <c r="K19" s="169"/>
      <c r="L19" s="170"/>
    </row>
    <row r="20" spans="1:13" x14ac:dyDescent="0.2">
      <c r="A20" s="179"/>
      <c r="B20" s="169"/>
      <c r="C20" s="169"/>
      <c r="D20" s="169"/>
      <c r="E20" s="169"/>
      <c r="F20" s="169"/>
      <c r="G20" s="176" t="b">
        <f>IF('Gusset Pouch'!J18=1,G44,IF('Gusset Pouch'!J18=2,G44,IF('Gusset Pouch'!J18=3,G44,IF('Gusset Pouch'!J18=4,"",IF('Gusset Pouch'!J18=5,"",IF('Gusset Pouch'!J18=6,""))))))</f>
        <v>0</v>
      </c>
      <c r="H20" s="169"/>
      <c r="I20" s="169"/>
      <c r="J20" s="169"/>
      <c r="K20" s="169"/>
      <c r="L20" s="170"/>
    </row>
    <row r="21" spans="1:13" x14ac:dyDescent="0.2">
      <c r="A21" s="179"/>
      <c r="B21" s="169"/>
      <c r="C21" s="169"/>
      <c r="D21" s="169"/>
      <c r="E21" s="169"/>
      <c r="F21" s="169"/>
      <c r="G21" s="169"/>
      <c r="H21" s="169"/>
      <c r="I21" s="169"/>
      <c r="J21" s="169"/>
      <c r="K21" s="169"/>
      <c r="L21" s="170"/>
    </row>
    <row r="22" spans="1:13" x14ac:dyDescent="0.2">
      <c r="A22" s="179"/>
      <c r="B22" s="169"/>
      <c r="C22" s="169"/>
      <c r="D22" s="169"/>
      <c r="E22" s="169"/>
      <c r="F22" s="169"/>
      <c r="G22" s="169"/>
      <c r="H22" s="169"/>
      <c r="I22" s="169"/>
      <c r="J22" s="169"/>
      <c r="K22" s="169"/>
      <c r="L22" s="170"/>
    </row>
    <row r="23" spans="1:13" x14ac:dyDescent="0.2">
      <c r="A23" s="179"/>
      <c r="B23" s="169"/>
      <c r="C23" s="169"/>
      <c r="D23" s="169"/>
      <c r="E23" s="169"/>
      <c r="F23" s="169"/>
      <c r="G23" s="169"/>
      <c r="H23" s="169"/>
      <c r="I23" s="169"/>
      <c r="J23" s="169"/>
      <c r="K23" s="169"/>
      <c r="L23" s="170"/>
    </row>
    <row r="24" spans="1:13" x14ac:dyDescent="0.2">
      <c r="A24" s="168"/>
      <c r="B24" s="168"/>
      <c r="C24" s="168"/>
      <c r="D24" s="168"/>
      <c r="E24" s="168"/>
      <c r="F24" s="168"/>
      <c r="G24" s="168"/>
      <c r="H24" s="168"/>
      <c r="I24" s="168"/>
      <c r="J24" s="168"/>
      <c r="K24" s="168"/>
      <c r="L24" s="168"/>
      <c r="M24" s="168"/>
    </row>
    <row r="26" spans="1:13" ht="20.100000000000001" customHeight="1" x14ac:dyDescent="0.2">
      <c r="A26" s="201" t="s">
        <v>302</v>
      </c>
      <c r="B26" s="201"/>
      <c r="C26" s="175"/>
      <c r="D26" s="175"/>
      <c r="E26" s="175"/>
      <c r="F26" s="175"/>
      <c r="G26" s="175"/>
      <c r="H26" s="175"/>
      <c r="I26" s="175"/>
      <c r="J26" s="175"/>
      <c r="K26" s="175"/>
      <c r="L26" s="175"/>
      <c r="M26" s="175"/>
    </row>
    <row r="27" spans="1:13" ht="33.75" x14ac:dyDescent="0.2">
      <c r="A27" s="167" t="s">
        <v>303</v>
      </c>
      <c r="B27" s="167" t="s">
        <v>137</v>
      </c>
      <c r="C27" s="167" t="s">
        <v>109</v>
      </c>
      <c r="D27" s="167" t="s">
        <v>39</v>
      </c>
      <c r="E27" s="167" t="s">
        <v>304</v>
      </c>
      <c r="F27" s="167" t="s">
        <v>305</v>
      </c>
      <c r="G27" s="167" t="s">
        <v>306</v>
      </c>
      <c r="H27" s="167" t="s">
        <v>113</v>
      </c>
      <c r="I27" s="167" t="s">
        <v>111</v>
      </c>
      <c r="J27" s="167" t="s">
        <v>112</v>
      </c>
      <c r="K27" s="167" t="s">
        <v>44</v>
      </c>
      <c r="L27" s="167" t="s">
        <v>416</v>
      </c>
      <c r="M27" s="167" t="s">
        <v>436</v>
      </c>
    </row>
    <row r="28" spans="1:13" x14ac:dyDescent="0.2">
      <c r="A28" s="178" t="s">
        <v>307</v>
      </c>
      <c r="B28" s="178" t="s">
        <v>199</v>
      </c>
      <c r="C28" s="178" t="s">
        <v>310</v>
      </c>
      <c r="D28" s="180" t="s">
        <v>199</v>
      </c>
      <c r="E28" s="178" t="s">
        <v>311</v>
      </c>
      <c r="F28" s="178" t="s">
        <v>312</v>
      </c>
      <c r="G28" s="178" t="s">
        <v>199</v>
      </c>
      <c r="H28" s="178" t="s">
        <v>199</v>
      </c>
      <c r="I28" s="178" t="s">
        <v>199</v>
      </c>
      <c r="J28" s="178" t="s">
        <v>199</v>
      </c>
      <c r="K28" s="178" t="s">
        <v>199</v>
      </c>
      <c r="L28" s="178" t="s">
        <v>199</v>
      </c>
      <c r="M28" s="178" t="s">
        <v>199</v>
      </c>
    </row>
    <row r="29" spans="1:13" ht="24.95" customHeight="1" x14ac:dyDescent="0.2">
      <c r="A29" s="178" t="s">
        <v>317</v>
      </c>
      <c r="B29" s="178" t="s">
        <v>402</v>
      </c>
      <c r="C29" s="178" t="s">
        <v>318</v>
      </c>
      <c r="D29" s="180" t="s">
        <v>319</v>
      </c>
      <c r="E29" s="178"/>
      <c r="F29" s="178" t="s">
        <v>320</v>
      </c>
      <c r="G29" s="178" t="s">
        <v>321</v>
      </c>
      <c r="H29" s="178"/>
      <c r="I29" s="178" t="s">
        <v>315</v>
      </c>
      <c r="J29" s="178" t="s">
        <v>315</v>
      </c>
      <c r="K29" s="178"/>
      <c r="L29" s="176" t="s">
        <v>315</v>
      </c>
      <c r="M29" s="176"/>
    </row>
    <row r="30" spans="1:13" ht="24.95" customHeight="1" x14ac:dyDescent="0.2">
      <c r="A30" s="178" t="s">
        <v>325</v>
      </c>
      <c r="B30" s="178" t="s">
        <v>360</v>
      </c>
      <c r="C30" s="170"/>
      <c r="D30" s="180" t="s">
        <v>322</v>
      </c>
      <c r="E30" s="170"/>
      <c r="F30" s="177"/>
      <c r="G30" s="178" t="s">
        <v>326</v>
      </c>
      <c r="H30" s="178"/>
      <c r="I30" s="178" t="s">
        <v>323</v>
      </c>
      <c r="J30" s="178" t="s">
        <v>323</v>
      </c>
      <c r="K30" s="178"/>
      <c r="L30" s="176" t="s">
        <v>323</v>
      </c>
      <c r="M30" s="176"/>
    </row>
    <row r="31" spans="1:13" ht="22.5" x14ac:dyDescent="0.2">
      <c r="A31" s="177"/>
      <c r="B31" s="178"/>
      <c r="C31" s="170"/>
      <c r="D31" s="180" t="s">
        <v>359</v>
      </c>
      <c r="E31" s="170"/>
      <c r="F31" s="177"/>
      <c r="G31" s="178" t="s">
        <v>309</v>
      </c>
      <c r="H31" s="178"/>
      <c r="I31" s="178" t="s">
        <v>329</v>
      </c>
      <c r="J31" s="178" t="s">
        <v>331</v>
      </c>
      <c r="K31" s="173"/>
      <c r="L31" s="170"/>
    </row>
    <row r="32" spans="1:13" x14ac:dyDescent="0.2">
      <c r="A32" s="177"/>
      <c r="B32" s="178"/>
      <c r="C32" s="170"/>
      <c r="D32" s="180" t="s">
        <v>330</v>
      </c>
      <c r="E32" s="170"/>
      <c r="F32" s="170"/>
      <c r="G32" s="178" t="s">
        <v>328</v>
      </c>
      <c r="H32" s="178"/>
      <c r="I32" s="178" t="s">
        <v>332</v>
      </c>
      <c r="J32" s="178" t="s">
        <v>332</v>
      </c>
      <c r="K32" s="170"/>
      <c r="L32" s="170"/>
    </row>
    <row r="33" spans="1:13" x14ac:dyDescent="0.2">
      <c r="A33" s="177"/>
      <c r="B33" s="178"/>
      <c r="C33" s="170"/>
      <c r="D33" s="180" t="s">
        <v>333</v>
      </c>
      <c r="E33" s="170"/>
      <c r="F33" s="170"/>
      <c r="G33" s="178" t="s">
        <v>335</v>
      </c>
      <c r="H33" s="178"/>
      <c r="I33" s="178" t="s">
        <v>336</v>
      </c>
      <c r="J33" s="178" t="s">
        <v>336</v>
      </c>
      <c r="K33" s="170"/>
      <c r="L33" s="170"/>
    </row>
    <row r="34" spans="1:13" x14ac:dyDescent="0.2">
      <c r="A34" s="177"/>
      <c r="B34" s="178"/>
      <c r="C34" s="170"/>
      <c r="D34" s="180" t="s">
        <v>337</v>
      </c>
      <c r="E34" s="170"/>
      <c r="F34" s="170"/>
      <c r="G34" s="178" t="s">
        <v>315</v>
      </c>
      <c r="H34" s="178"/>
      <c r="I34" s="178" t="s">
        <v>334</v>
      </c>
      <c r="J34" s="178" t="s">
        <v>334</v>
      </c>
      <c r="K34" s="170"/>
      <c r="L34" s="170"/>
    </row>
    <row r="35" spans="1:13" x14ac:dyDescent="0.2">
      <c r="A35" s="177"/>
      <c r="B35" s="178"/>
      <c r="C35" s="170"/>
      <c r="D35" s="180" t="s">
        <v>339</v>
      </c>
      <c r="E35" s="170"/>
      <c r="F35" s="170"/>
      <c r="G35" s="178" t="s">
        <v>340</v>
      </c>
      <c r="H35" s="170"/>
      <c r="I35" s="178" t="s">
        <v>338</v>
      </c>
      <c r="J35" s="178" t="s">
        <v>338</v>
      </c>
      <c r="K35" s="170"/>
      <c r="L35" s="170"/>
    </row>
    <row r="36" spans="1:13" s="197" customFormat="1" ht="45" x14ac:dyDescent="0.2">
      <c r="A36" s="194"/>
      <c r="B36" s="195"/>
      <c r="C36" s="196"/>
      <c r="D36" s="176" t="s">
        <v>341</v>
      </c>
      <c r="E36" s="196"/>
      <c r="F36" s="196"/>
      <c r="G36" s="195" t="s">
        <v>323</v>
      </c>
      <c r="H36" s="196"/>
      <c r="I36" s="195" t="s">
        <v>536</v>
      </c>
      <c r="J36" s="195" t="s">
        <v>536</v>
      </c>
      <c r="K36" s="196"/>
      <c r="L36" s="196"/>
    </row>
    <row r="37" spans="1:13" x14ac:dyDescent="0.2">
      <c r="A37" s="177"/>
      <c r="B37" s="178"/>
      <c r="C37" s="170"/>
      <c r="D37" s="180" t="s">
        <v>343</v>
      </c>
      <c r="E37" s="170"/>
      <c r="F37" s="170"/>
      <c r="G37" s="178" t="s">
        <v>344</v>
      </c>
      <c r="H37" s="170"/>
      <c r="I37" s="170"/>
      <c r="J37" s="170"/>
      <c r="K37" s="170"/>
      <c r="L37" s="170"/>
    </row>
    <row r="38" spans="1:13" x14ac:dyDescent="0.2">
      <c r="A38" s="177"/>
      <c r="B38" s="178"/>
      <c r="C38" s="170"/>
      <c r="D38" s="180" t="s">
        <v>294</v>
      </c>
      <c r="E38" s="170"/>
      <c r="F38" s="170"/>
      <c r="G38" s="178" t="s">
        <v>346</v>
      </c>
      <c r="H38" s="170"/>
      <c r="I38" s="170"/>
      <c r="J38" s="170"/>
      <c r="K38" s="170"/>
      <c r="L38" s="170"/>
    </row>
    <row r="39" spans="1:13" x14ac:dyDescent="0.2">
      <c r="A39" s="177"/>
      <c r="B39" s="177"/>
      <c r="C39" s="170"/>
      <c r="D39" s="173"/>
      <c r="E39" s="170"/>
      <c r="F39" s="170"/>
      <c r="G39" s="178" t="s">
        <v>327</v>
      </c>
      <c r="H39" s="170"/>
      <c r="I39" s="170"/>
      <c r="J39" s="170"/>
      <c r="K39" s="170"/>
      <c r="L39" s="170"/>
    </row>
    <row r="40" spans="1:13" x14ac:dyDescent="0.2">
      <c r="A40" s="177"/>
      <c r="B40" s="170"/>
      <c r="C40" s="170"/>
      <c r="D40" s="173"/>
      <c r="E40" s="170"/>
      <c r="F40" s="170"/>
      <c r="G40" s="178" t="s">
        <v>347</v>
      </c>
      <c r="H40" s="170"/>
      <c r="I40" s="170"/>
      <c r="J40" s="170"/>
      <c r="K40" s="170"/>
      <c r="L40" s="170"/>
    </row>
    <row r="41" spans="1:13" x14ac:dyDescent="0.2">
      <c r="A41" s="177"/>
      <c r="B41" s="170"/>
      <c r="C41" s="170"/>
      <c r="D41" s="173"/>
      <c r="E41" s="170"/>
      <c r="F41" s="170"/>
      <c r="G41" s="178" t="s">
        <v>348</v>
      </c>
      <c r="H41" s="170"/>
      <c r="I41" s="170"/>
      <c r="J41" s="170"/>
      <c r="K41" s="170"/>
      <c r="L41" s="170"/>
    </row>
    <row r="42" spans="1:13" x14ac:dyDescent="0.2">
      <c r="A42" s="177"/>
      <c r="B42" s="170"/>
      <c r="C42" s="170"/>
      <c r="D42" s="173"/>
      <c r="E42" s="170"/>
      <c r="F42" s="170"/>
      <c r="G42" s="178" t="s">
        <v>331</v>
      </c>
      <c r="H42" s="170"/>
      <c r="I42" s="170"/>
      <c r="J42" s="170"/>
      <c r="K42" s="170"/>
      <c r="L42" s="170"/>
    </row>
    <row r="43" spans="1:13" x14ac:dyDescent="0.2">
      <c r="A43" s="177"/>
      <c r="B43" s="170"/>
      <c r="C43" s="170"/>
      <c r="D43" s="173"/>
      <c r="E43" s="170"/>
      <c r="F43" s="170"/>
      <c r="G43" s="178" t="s">
        <v>349</v>
      </c>
      <c r="H43" s="170"/>
      <c r="I43" s="170"/>
      <c r="J43" s="170"/>
      <c r="K43" s="170"/>
      <c r="L43" s="170"/>
    </row>
    <row r="44" spans="1:13" x14ac:dyDescent="0.2">
      <c r="A44" s="177"/>
      <c r="B44" s="170"/>
      <c r="C44" s="170"/>
      <c r="D44" s="173"/>
      <c r="E44" s="170"/>
      <c r="F44" s="170"/>
      <c r="G44" s="178" t="s">
        <v>350</v>
      </c>
      <c r="H44" s="170"/>
      <c r="I44" s="170"/>
      <c r="J44" s="170"/>
      <c r="K44" s="170"/>
      <c r="L44" s="170"/>
    </row>
    <row r="45" spans="1:13" x14ac:dyDescent="0.2">
      <c r="A45" s="177"/>
      <c r="B45" s="170"/>
      <c r="C45" s="170"/>
      <c r="D45" s="173"/>
      <c r="E45" s="170"/>
      <c r="F45" s="170"/>
      <c r="G45" s="170"/>
      <c r="H45" s="170"/>
      <c r="I45" s="170"/>
      <c r="J45" s="170"/>
      <c r="K45" s="170"/>
      <c r="L45" s="170"/>
    </row>
    <row r="46" spans="1:13" x14ac:dyDescent="0.2">
      <c r="A46" s="177"/>
      <c r="B46" s="170"/>
      <c r="C46" s="170"/>
      <c r="D46" s="173"/>
      <c r="E46" s="170"/>
      <c r="F46" s="170"/>
      <c r="G46" s="170"/>
      <c r="H46" s="170"/>
      <c r="I46" s="170"/>
      <c r="J46" s="170"/>
      <c r="K46" s="170"/>
      <c r="L46" s="170"/>
    </row>
    <row r="47" spans="1:13" x14ac:dyDescent="0.2">
      <c r="A47" s="177"/>
      <c r="B47" s="170"/>
      <c r="C47" s="170"/>
      <c r="D47" s="170"/>
      <c r="E47" s="170"/>
      <c r="F47" s="170"/>
      <c r="G47" s="170"/>
      <c r="H47" s="170"/>
      <c r="I47" s="170"/>
      <c r="J47" s="170"/>
      <c r="K47" s="170"/>
      <c r="L47" s="170"/>
    </row>
    <row r="48" spans="1:13" x14ac:dyDescent="0.2">
      <c r="A48" s="168"/>
      <c r="B48" s="168"/>
      <c r="C48" s="168"/>
      <c r="D48" s="168"/>
      <c r="E48" s="168"/>
      <c r="F48" s="168"/>
      <c r="G48" s="168"/>
      <c r="H48" s="168"/>
      <c r="I48" s="168"/>
      <c r="J48" s="168"/>
      <c r="K48" s="168"/>
      <c r="L48" s="168"/>
      <c r="M48" s="168"/>
    </row>
    <row r="50" spans="1:13" ht="20.100000000000001" customHeight="1" x14ac:dyDescent="0.2">
      <c r="A50" s="201" t="s">
        <v>301</v>
      </c>
      <c r="B50" s="201"/>
      <c r="C50" s="175"/>
      <c r="D50" s="175"/>
      <c r="E50" s="175"/>
      <c r="F50" s="175"/>
      <c r="G50" s="175"/>
      <c r="H50" s="175"/>
      <c r="I50" s="175"/>
      <c r="J50" s="175"/>
      <c r="K50" s="175"/>
      <c r="L50" s="175"/>
      <c r="M50" s="175"/>
    </row>
    <row r="51" spans="1:13" ht="33.75" x14ac:dyDescent="0.2">
      <c r="A51" s="167" t="s">
        <v>303</v>
      </c>
      <c r="B51" s="167" t="s">
        <v>137</v>
      </c>
      <c r="C51" s="167" t="s">
        <v>109</v>
      </c>
      <c r="D51" s="167" t="s">
        <v>39</v>
      </c>
      <c r="E51" s="167" t="s">
        <v>304</v>
      </c>
      <c r="F51" s="167" t="s">
        <v>305</v>
      </c>
      <c r="G51" s="167" t="s">
        <v>306</v>
      </c>
      <c r="H51" s="167" t="s">
        <v>113</v>
      </c>
      <c r="I51" s="167" t="s">
        <v>111</v>
      </c>
      <c r="J51" s="167" t="s">
        <v>112</v>
      </c>
      <c r="K51" s="167" t="s">
        <v>44</v>
      </c>
      <c r="L51" s="167" t="s">
        <v>416</v>
      </c>
      <c r="M51" s="167" t="s">
        <v>436</v>
      </c>
    </row>
    <row r="52" spans="1:13" x14ac:dyDescent="0.2">
      <c r="A52" s="171" t="s">
        <v>307</v>
      </c>
      <c r="B52" s="180" t="s">
        <v>199</v>
      </c>
      <c r="C52" s="180" t="s">
        <v>310</v>
      </c>
      <c r="D52" s="180" t="s">
        <v>199</v>
      </c>
      <c r="E52" s="178" t="s">
        <v>308</v>
      </c>
      <c r="F52" s="178" t="s">
        <v>199</v>
      </c>
      <c r="G52" s="180" t="s">
        <v>199</v>
      </c>
      <c r="H52" s="180" t="s">
        <v>309</v>
      </c>
      <c r="I52" s="178" t="s">
        <v>199</v>
      </c>
      <c r="J52" s="180" t="s">
        <v>199</v>
      </c>
      <c r="K52" s="180" t="s">
        <v>199</v>
      </c>
      <c r="L52" s="176" t="s">
        <v>199</v>
      </c>
      <c r="M52" s="176" t="s">
        <v>199</v>
      </c>
    </row>
    <row r="53" spans="1:13" ht="22.5" x14ac:dyDescent="0.2">
      <c r="A53" s="171" t="s">
        <v>317</v>
      </c>
      <c r="B53" s="180" t="s">
        <v>397</v>
      </c>
      <c r="C53" s="178"/>
      <c r="D53" s="180" t="s">
        <v>313</v>
      </c>
      <c r="E53" s="178" t="s">
        <v>314</v>
      </c>
      <c r="F53" s="178"/>
      <c r="G53" s="180"/>
      <c r="H53" s="180" t="s">
        <v>315</v>
      </c>
      <c r="I53" s="178"/>
      <c r="J53" s="180"/>
      <c r="K53" s="180" t="s">
        <v>316</v>
      </c>
      <c r="L53" s="176"/>
      <c r="M53" s="180" t="s">
        <v>309</v>
      </c>
    </row>
    <row r="54" spans="1:13" ht="22.5" x14ac:dyDescent="0.2">
      <c r="A54" s="171" t="s">
        <v>325</v>
      </c>
      <c r="B54" s="180" t="s">
        <v>398</v>
      </c>
      <c r="C54" s="170"/>
      <c r="D54" s="180" t="s">
        <v>322</v>
      </c>
      <c r="E54" s="170"/>
      <c r="F54" s="172"/>
      <c r="G54" s="180"/>
      <c r="H54" s="180" t="s">
        <v>323</v>
      </c>
      <c r="I54" s="178"/>
      <c r="J54" s="180"/>
      <c r="K54" s="180" t="s">
        <v>324</v>
      </c>
      <c r="L54" s="178"/>
      <c r="M54" s="180" t="s">
        <v>315</v>
      </c>
    </row>
    <row r="55" spans="1:13" ht="22.5" x14ac:dyDescent="0.2">
      <c r="A55" s="171"/>
      <c r="B55" s="180" t="s">
        <v>399</v>
      </c>
      <c r="C55" s="170"/>
      <c r="D55" s="180" t="s">
        <v>359</v>
      </c>
      <c r="E55" s="170"/>
      <c r="F55" s="170"/>
      <c r="G55" s="180"/>
      <c r="H55" s="180" t="s">
        <v>327</v>
      </c>
      <c r="I55" s="178"/>
      <c r="J55" s="180"/>
      <c r="K55" s="173"/>
      <c r="L55" s="170"/>
    </row>
    <row r="56" spans="1:13" x14ac:dyDescent="0.2">
      <c r="A56" s="171"/>
      <c r="B56" s="180" t="s">
        <v>400</v>
      </c>
      <c r="C56" s="170"/>
      <c r="D56" s="180" t="s">
        <v>330</v>
      </c>
      <c r="E56" s="170"/>
      <c r="F56" s="170"/>
      <c r="G56" s="180"/>
      <c r="H56" s="180" t="s">
        <v>331</v>
      </c>
      <c r="I56" s="178"/>
      <c r="J56" s="180"/>
      <c r="K56" s="170"/>
      <c r="L56" s="170"/>
    </row>
    <row r="57" spans="1:13" ht="22.5" x14ac:dyDescent="0.2">
      <c r="A57" s="171"/>
      <c r="B57" s="180" t="s">
        <v>401</v>
      </c>
      <c r="C57" s="170"/>
      <c r="D57" s="180" t="s">
        <v>333</v>
      </c>
      <c r="E57" s="170"/>
      <c r="F57" s="170"/>
      <c r="G57" s="180"/>
      <c r="H57" s="180" t="s">
        <v>334</v>
      </c>
      <c r="I57" s="178"/>
      <c r="J57" s="178"/>
      <c r="K57" s="170"/>
      <c r="L57" s="170"/>
    </row>
    <row r="58" spans="1:13" ht="22.5" x14ac:dyDescent="0.2">
      <c r="A58" s="171"/>
      <c r="B58" s="180" t="s">
        <v>345</v>
      </c>
      <c r="C58" s="170"/>
      <c r="D58" s="180" t="s">
        <v>337</v>
      </c>
      <c r="E58" s="170"/>
      <c r="F58" s="170"/>
      <c r="G58" s="180"/>
      <c r="H58" s="180" t="s">
        <v>338</v>
      </c>
      <c r="I58" s="178"/>
      <c r="J58" s="178"/>
      <c r="K58" s="170"/>
      <c r="L58" s="170"/>
    </row>
    <row r="59" spans="1:13" x14ac:dyDescent="0.2">
      <c r="A59" s="171"/>
      <c r="B59" s="180" t="s">
        <v>402</v>
      </c>
      <c r="C59" s="170"/>
      <c r="D59" s="180" t="s">
        <v>339</v>
      </c>
      <c r="E59" s="170"/>
      <c r="F59" s="170"/>
      <c r="G59" s="180"/>
      <c r="H59" s="173"/>
      <c r="I59" s="178"/>
      <c r="J59" s="178"/>
      <c r="K59" s="170"/>
      <c r="L59" s="170"/>
    </row>
    <row r="60" spans="1:13" ht="22.5" x14ac:dyDescent="0.2">
      <c r="A60" s="171"/>
      <c r="B60" s="180" t="s">
        <v>342</v>
      </c>
      <c r="C60" s="170"/>
      <c r="D60" s="180" t="s">
        <v>341</v>
      </c>
      <c r="E60" s="170"/>
      <c r="F60" s="170"/>
      <c r="G60" s="180"/>
      <c r="H60" s="173"/>
      <c r="I60" s="178"/>
      <c r="J60" s="170"/>
      <c r="K60" s="170"/>
      <c r="L60" s="170"/>
    </row>
    <row r="61" spans="1:13" ht="22.5" x14ac:dyDescent="0.2">
      <c r="A61" s="171"/>
      <c r="B61" s="180" t="s">
        <v>360</v>
      </c>
      <c r="C61" s="170"/>
      <c r="D61" s="180" t="s">
        <v>343</v>
      </c>
      <c r="E61" s="170"/>
      <c r="F61" s="170"/>
      <c r="G61" s="180"/>
      <c r="H61" s="173"/>
      <c r="I61" s="170"/>
      <c r="J61" s="170"/>
      <c r="K61" s="170"/>
      <c r="L61" s="170"/>
    </row>
    <row r="62" spans="1:13" x14ac:dyDescent="0.2">
      <c r="A62" s="171"/>
      <c r="B62" s="180"/>
      <c r="C62" s="170"/>
      <c r="D62" s="180" t="s">
        <v>294</v>
      </c>
      <c r="E62" s="170"/>
      <c r="F62" s="170"/>
      <c r="G62" s="180"/>
      <c r="H62" s="173"/>
      <c r="I62" s="170"/>
      <c r="J62" s="170"/>
      <c r="K62" s="170"/>
      <c r="L62" s="170"/>
    </row>
    <row r="63" spans="1:13" x14ac:dyDescent="0.2">
      <c r="A63" s="171"/>
      <c r="B63" s="170"/>
      <c r="C63" s="170"/>
      <c r="D63" s="173"/>
      <c r="E63" s="170"/>
      <c r="F63" s="170"/>
      <c r="G63" s="180"/>
      <c r="H63" s="173"/>
      <c r="I63" s="170"/>
      <c r="J63" s="170"/>
      <c r="K63" s="170"/>
      <c r="L63" s="170"/>
    </row>
    <row r="64" spans="1:13" x14ac:dyDescent="0.2">
      <c r="A64" s="171"/>
      <c r="B64" s="173"/>
      <c r="C64" s="170"/>
      <c r="D64" s="173"/>
      <c r="E64" s="170"/>
      <c r="F64" s="170"/>
      <c r="G64" s="180"/>
      <c r="H64" s="173"/>
      <c r="I64" s="170"/>
      <c r="J64" s="170"/>
      <c r="K64" s="170"/>
      <c r="L64" s="170"/>
    </row>
    <row r="65" spans="1:12" x14ac:dyDescent="0.2">
      <c r="A65" s="171"/>
      <c r="B65" s="173"/>
      <c r="C65" s="170"/>
      <c r="D65" s="173"/>
      <c r="E65" s="170"/>
      <c r="F65" s="170"/>
      <c r="G65" s="180"/>
      <c r="H65" s="173"/>
      <c r="I65" s="170"/>
      <c r="J65" s="170"/>
      <c r="K65" s="170"/>
      <c r="L65" s="170"/>
    </row>
    <row r="66" spans="1:12" x14ac:dyDescent="0.2">
      <c r="A66" s="171"/>
      <c r="B66" s="173"/>
      <c r="C66" s="170"/>
      <c r="D66" s="173"/>
      <c r="E66" s="170"/>
      <c r="F66" s="170"/>
      <c r="G66" s="180"/>
      <c r="H66" s="173"/>
      <c r="I66" s="170"/>
      <c r="J66" s="170"/>
      <c r="K66" s="170"/>
      <c r="L66" s="170"/>
    </row>
    <row r="67" spans="1:12" x14ac:dyDescent="0.2">
      <c r="A67" s="171"/>
      <c r="B67" s="173"/>
      <c r="C67" s="170"/>
      <c r="D67" s="173"/>
      <c r="E67" s="170"/>
      <c r="F67" s="170"/>
      <c r="G67" s="180"/>
      <c r="H67" s="173"/>
      <c r="I67" s="170"/>
      <c r="J67" s="170"/>
      <c r="K67" s="170"/>
      <c r="L67" s="170"/>
    </row>
    <row r="68" spans="1:12" x14ac:dyDescent="0.2">
      <c r="A68" s="171"/>
      <c r="B68" s="173"/>
      <c r="C68" s="170"/>
      <c r="D68" s="173"/>
      <c r="E68" s="170"/>
      <c r="F68" s="170"/>
      <c r="G68" s="180"/>
      <c r="H68" s="173"/>
      <c r="I68" s="170"/>
      <c r="J68" s="170"/>
      <c r="K68" s="170"/>
      <c r="L68" s="170"/>
    </row>
    <row r="69" spans="1:12" x14ac:dyDescent="0.2">
      <c r="A69" s="171"/>
      <c r="B69" s="173"/>
      <c r="C69" s="170"/>
      <c r="D69" s="173"/>
      <c r="E69" s="170"/>
      <c r="F69" s="170"/>
      <c r="G69" s="173"/>
      <c r="H69" s="173"/>
      <c r="I69" s="170"/>
      <c r="J69" s="170"/>
      <c r="K69" s="170"/>
      <c r="L69" s="170"/>
    </row>
    <row r="70" spans="1:12" x14ac:dyDescent="0.2">
      <c r="A70" s="171"/>
      <c r="B70" s="173"/>
      <c r="C70" s="170"/>
      <c r="D70" s="173"/>
      <c r="E70" s="170"/>
      <c r="F70" s="170"/>
      <c r="G70" s="173"/>
      <c r="H70" s="173"/>
      <c r="I70" s="170"/>
      <c r="J70" s="170"/>
      <c r="K70" s="170"/>
      <c r="L70" s="170"/>
    </row>
    <row r="71" spans="1:12" x14ac:dyDescent="0.2">
      <c r="A71" s="171"/>
      <c r="B71" s="170"/>
      <c r="C71" s="170"/>
      <c r="D71" s="173"/>
      <c r="E71" s="170"/>
      <c r="F71" s="170"/>
      <c r="G71" s="173"/>
      <c r="H71" s="173"/>
      <c r="I71" s="170"/>
      <c r="J71" s="170"/>
      <c r="K71" s="170"/>
      <c r="L71" s="170"/>
    </row>
    <row r="72" spans="1:12" x14ac:dyDescent="0.2">
      <c r="A72" s="168"/>
      <c r="B72" s="168"/>
      <c r="C72" s="168"/>
      <c r="D72" s="168"/>
      <c r="E72" s="168"/>
      <c r="F72" s="168"/>
      <c r="G72" s="168"/>
      <c r="H72" s="168"/>
      <c r="I72" s="168"/>
      <c r="J72" s="168"/>
      <c r="K72" s="168"/>
      <c r="L72" s="168"/>
    </row>
  </sheetData>
  <mergeCells count="3">
    <mergeCell ref="A2:B2"/>
    <mergeCell ref="A26:B26"/>
    <mergeCell ref="A50:B50"/>
  </mergeCells>
  <phoneticPr fontId="4" type="noConversion"/>
  <printOptions horizontalCentered="1" verticalCentered="1"/>
  <pageMargins left="0.1" right="0.1" top="0.2" bottom="0.2" header="0.1" footer="0.1"/>
  <pageSetup orientation="landscape" horizontalDpi="4294967292" verticalDpi="4294967292"/>
  <headerFooter alignWithMargins="0">
    <oddFooter>&amp;L&amp;K000000&amp;F&amp;R&amp;K000000Draft 3</oddFooter>
  </headerFooter>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tint="0.59999389629810485"/>
  </sheetPr>
  <dimension ref="A1:I77"/>
  <sheetViews>
    <sheetView workbookViewId="0">
      <selection activeCell="A4" sqref="A4"/>
    </sheetView>
  </sheetViews>
  <sheetFormatPr defaultColWidth="10.85546875" defaultRowHeight="12.75" x14ac:dyDescent="0.2"/>
  <cols>
    <col min="1" max="1" width="38.42578125" style="116" customWidth="1"/>
    <col min="2" max="2" width="2.42578125" style="116" customWidth="1"/>
    <col min="3" max="3" width="22.42578125" style="116" customWidth="1"/>
    <col min="4" max="4" width="2.42578125" style="116" customWidth="1"/>
    <col min="5" max="5" width="39.42578125" style="116" customWidth="1"/>
    <col min="6" max="6" width="2.42578125" style="116" customWidth="1"/>
    <col min="7" max="7" width="39.42578125" style="116" customWidth="1"/>
    <col min="8" max="8" width="2.42578125" style="116" customWidth="1"/>
    <col min="9" max="9" width="39.42578125" style="116" customWidth="1"/>
    <col min="10" max="16384" width="10.85546875" style="116"/>
  </cols>
  <sheetData>
    <row r="1" spans="1:5" x14ac:dyDescent="0.2">
      <c r="A1" s="114" t="s">
        <v>263</v>
      </c>
      <c r="B1" s="115"/>
      <c r="C1" s="114" t="s">
        <v>264</v>
      </c>
      <c r="E1" s="114" t="s">
        <v>275</v>
      </c>
    </row>
    <row r="2" spans="1:5" x14ac:dyDescent="0.2">
      <c r="A2" s="115"/>
      <c r="B2" s="115"/>
      <c r="C2" s="117"/>
      <c r="E2" s="115"/>
    </row>
    <row r="3" spans="1:5" x14ac:dyDescent="0.2">
      <c r="A3" s="118" t="s">
        <v>208</v>
      </c>
      <c r="B3" s="115"/>
      <c r="C3" s="118" t="s">
        <v>163</v>
      </c>
      <c r="E3" s="119" t="s">
        <v>276</v>
      </c>
    </row>
    <row r="4" spans="1:5" x14ac:dyDescent="0.2">
      <c r="A4" s="115" t="s">
        <v>566</v>
      </c>
      <c r="B4" s="115"/>
      <c r="C4" s="152">
        <v>0</v>
      </c>
      <c r="E4" s="115" t="s">
        <v>199</v>
      </c>
    </row>
    <row r="5" spans="1:5" x14ac:dyDescent="0.2">
      <c r="A5" s="115" t="s">
        <v>565</v>
      </c>
      <c r="B5" s="115"/>
      <c r="C5" s="117"/>
      <c r="E5" s="115" t="s">
        <v>281</v>
      </c>
    </row>
    <row r="6" spans="1:5" x14ac:dyDescent="0.2">
      <c r="A6" s="115" t="s">
        <v>560</v>
      </c>
      <c r="B6" s="115"/>
      <c r="C6" s="117"/>
      <c r="E6" s="115" t="s">
        <v>277</v>
      </c>
    </row>
    <row r="7" spans="1:5" x14ac:dyDescent="0.2">
      <c r="A7" s="115" t="s">
        <v>561</v>
      </c>
      <c r="B7" s="115"/>
      <c r="C7" s="115"/>
      <c r="E7" s="115" t="s">
        <v>282</v>
      </c>
    </row>
    <row r="8" spans="1:5" x14ac:dyDescent="0.2">
      <c r="A8" s="115" t="s">
        <v>562</v>
      </c>
      <c r="B8" s="115"/>
      <c r="C8" s="118" t="s">
        <v>206</v>
      </c>
      <c r="E8" s="115" t="s">
        <v>278</v>
      </c>
    </row>
    <row r="9" spans="1:5" x14ac:dyDescent="0.2">
      <c r="A9" s="115" t="s">
        <v>567</v>
      </c>
      <c r="B9" s="115"/>
      <c r="C9" s="115" t="s">
        <v>199</v>
      </c>
      <c r="E9" s="115" t="s">
        <v>279</v>
      </c>
    </row>
    <row r="10" spans="1:5" x14ac:dyDescent="0.2">
      <c r="A10" s="115" t="s">
        <v>563</v>
      </c>
      <c r="B10" s="115"/>
      <c r="C10" s="115" t="s">
        <v>244</v>
      </c>
      <c r="E10" s="115" t="s">
        <v>280</v>
      </c>
    </row>
    <row r="11" spans="1:5" x14ac:dyDescent="0.2">
      <c r="A11" s="115" t="s">
        <v>564</v>
      </c>
      <c r="B11" s="115"/>
      <c r="C11" s="115" t="s">
        <v>189</v>
      </c>
    </row>
    <row r="12" spans="1:5" x14ac:dyDescent="0.2">
      <c r="A12" s="115" t="s">
        <v>568</v>
      </c>
      <c r="B12" s="115"/>
      <c r="C12" s="115" t="s">
        <v>246</v>
      </c>
    </row>
    <row r="13" spans="1:5" x14ac:dyDescent="0.2">
      <c r="A13" s="115"/>
      <c r="B13" s="115"/>
      <c r="C13" s="115" t="s">
        <v>245</v>
      </c>
      <c r="E13" s="162"/>
    </row>
    <row r="14" spans="1:5" x14ac:dyDescent="0.2">
      <c r="A14" s="115"/>
      <c r="B14" s="115"/>
      <c r="C14" s="115" t="s">
        <v>247</v>
      </c>
    </row>
    <row r="15" spans="1:5" x14ac:dyDescent="0.2">
      <c r="A15" s="115"/>
      <c r="B15" s="115"/>
      <c r="C15" s="115" t="s">
        <v>248</v>
      </c>
      <c r="E15"/>
    </row>
    <row r="16" spans="1:5" x14ac:dyDescent="0.2">
      <c r="A16" s="115"/>
      <c r="B16" s="115"/>
      <c r="C16" s="115" t="s">
        <v>249</v>
      </c>
      <c r="E16"/>
    </row>
    <row r="17" spans="1:9" x14ac:dyDescent="0.2">
      <c r="A17"/>
      <c r="B17" s="115"/>
      <c r="C17" s="115"/>
      <c r="E17"/>
    </row>
    <row r="18" spans="1:9" x14ac:dyDescent="0.2">
      <c r="A18"/>
      <c r="B18" s="115"/>
      <c r="C18" s="115"/>
      <c r="E18"/>
    </row>
    <row r="19" spans="1:9" x14ac:dyDescent="0.2">
      <c r="A19"/>
      <c r="B19" s="115"/>
      <c r="C19" s="115"/>
      <c r="E19"/>
    </row>
    <row r="20" spans="1:9" x14ac:dyDescent="0.2">
      <c r="A20"/>
      <c r="B20" s="115"/>
      <c r="C20" s="112" t="s">
        <v>354</v>
      </c>
      <c r="E20"/>
      <c r="F20"/>
      <c r="G20"/>
      <c r="H20"/>
      <c r="I20"/>
    </row>
    <row r="21" spans="1:9" x14ac:dyDescent="0.2">
      <c r="A21"/>
      <c r="B21" s="115"/>
      <c r="C21" s="115" t="s">
        <v>358</v>
      </c>
      <c r="E21"/>
      <c r="F21"/>
      <c r="G21"/>
      <c r="H21"/>
      <c r="I21"/>
    </row>
    <row r="22" spans="1:9" x14ac:dyDescent="0.2">
      <c r="A22"/>
      <c r="C22" s="110" t="s">
        <v>199</v>
      </c>
      <c r="E22"/>
      <c r="F22"/>
      <c r="G22"/>
      <c r="H22"/>
      <c r="I22"/>
    </row>
    <row r="23" spans="1:9" x14ac:dyDescent="0.2">
      <c r="A23"/>
      <c r="C23" s="111" t="s">
        <v>315</v>
      </c>
      <c r="E23"/>
      <c r="F23"/>
      <c r="G23"/>
      <c r="H23"/>
      <c r="I23"/>
    </row>
    <row r="24" spans="1:9" x14ac:dyDescent="0.2">
      <c r="A24"/>
      <c r="B24" s="104"/>
      <c r="C24" s="111" t="s">
        <v>323</v>
      </c>
      <c r="E24"/>
      <c r="F24"/>
      <c r="G24"/>
      <c r="H24"/>
      <c r="I24"/>
    </row>
    <row r="25" spans="1:9" x14ac:dyDescent="0.2">
      <c r="A25"/>
      <c r="B25" s="104"/>
      <c r="C25" s="110" t="s">
        <v>329</v>
      </c>
      <c r="E25" s="115"/>
      <c r="G25" s="115"/>
      <c r="I25" s="115"/>
    </row>
    <row r="26" spans="1:9" x14ac:dyDescent="0.2">
      <c r="A26"/>
      <c r="B26" s="104"/>
      <c r="C26" s="110" t="s">
        <v>332</v>
      </c>
      <c r="E26" s="115"/>
      <c r="G26" s="115"/>
      <c r="I26" s="115"/>
    </row>
    <row r="27" spans="1:9" x14ac:dyDescent="0.2">
      <c r="A27" s="163" t="s">
        <v>409</v>
      </c>
      <c r="B27" s="104"/>
      <c r="C27" s="110" t="s">
        <v>336</v>
      </c>
      <c r="E27" s="115"/>
      <c r="G27" s="115"/>
      <c r="I27" s="115"/>
    </row>
    <row r="28" spans="1:9" x14ac:dyDescent="0.2">
      <c r="A28" s="164" t="b">
        <v>0</v>
      </c>
      <c r="B28" s="104"/>
      <c r="C28" s="110" t="s">
        <v>334</v>
      </c>
    </row>
    <row r="29" spans="1:9" x14ac:dyDescent="0.2">
      <c r="A29"/>
      <c r="B29" s="104"/>
      <c r="C29" s="110" t="s">
        <v>338</v>
      </c>
    </row>
    <row r="30" spans="1:9" x14ac:dyDescent="0.2">
      <c r="A30" s="163" t="s">
        <v>411</v>
      </c>
      <c r="B30" s="104"/>
      <c r="C30" s="123"/>
    </row>
    <row r="31" spans="1:9" x14ac:dyDescent="0.2">
      <c r="A31" s="163"/>
      <c r="B31" s="104"/>
      <c r="C31" s="115" t="s">
        <v>357</v>
      </c>
    </row>
    <row r="32" spans="1:9" x14ac:dyDescent="0.2">
      <c r="A32" s="164" t="b">
        <v>0</v>
      </c>
      <c r="B32" s="104"/>
      <c r="C32" s="115" t="s">
        <v>199</v>
      </c>
    </row>
    <row r="33" spans="1:3" x14ac:dyDescent="0.2">
      <c r="A33" s="104"/>
      <c r="B33" s="104"/>
      <c r="C33" s="115" t="s">
        <v>323</v>
      </c>
    </row>
    <row r="34" spans="1:3" x14ac:dyDescent="0.2">
      <c r="A34" s="163" t="s">
        <v>410</v>
      </c>
      <c r="B34" s="104"/>
      <c r="C34" s="115" t="s">
        <v>331</v>
      </c>
    </row>
    <row r="35" spans="1:3" x14ac:dyDescent="0.2">
      <c r="A35" s="164" t="b">
        <v>0</v>
      </c>
      <c r="B35" s="104"/>
      <c r="C35" s="115" t="s">
        <v>332</v>
      </c>
    </row>
    <row r="36" spans="1:3" x14ac:dyDescent="0.2">
      <c r="A36" s="104"/>
      <c r="B36" s="104"/>
      <c r="C36" s="115"/>
    </row>
    <row r="37" spans="1:3" x14ac:dyDescent="0.2">
      <c r="A37" s="104"/>
      <c r="B37" s="104"/>
      <c r="C37"/>
    </row>
    <row r="38" spans="1:3" x14ac:dyDescent="0.2">
      <c r="A38" s="104"/>
      <c r="B38" s="104"/>
      <c r="C38"/>
    </row>
    <row r="39" spans="1:3" x14ac:dyDescent="0.2">
      <c r="A39" s="104"/>
      <c r="B39" s="104"/>
      <c r="C39"/>
    </row>
    <row r="40" spans="1:3" x14ac:dyDescent="0.2">
      <c r="A40" s="104"/>
      <c r="B40" s="104"/>
      <c r="C40"/>
    </row>
    <row r="41" spans="1:3" x14ac:dyDescent="0.2">
      <c r="A41" s="104"/>
      <c r="B41" s="104"/>
      <c r="C41" s="115"/>
    </row>
    <row r="42" spans="1:3" x14ac:dyDescent="0.2">
      <c r="B42" s="104"/>
      <c r="C42" s="118" t="s">
        <v>265</v>
      </c>
    </row>
    <row r="43" spans="1:3" x14ac:dyDescent="0.2">
      <c r="A43"/>
      <c r="B43" s="104"/>
      <c r="C43" s="152">
        <v>0</v>
      </c>
    </row>
    <row r="44" spans="1:3" x14ac:dyDescent="0.2">
      <c r="A44"/>
      <c r="B44" s="104"/>
      <c r="C44" s="115"/>
    </row>
    <row r="45" spans="1:3" x14ac:dyDescent="0.2">
      <c r="B45" s="104"/>
      <c r="C45" s="115"/>
    </row>
    <row r="46" spans="1:3" x14ac:dyDescent="0.2">
      <c r="B46" s="104"/>
      <c r="C46" s="115"/>
    </row>
    <row r="47" spans="1:3" x14ac:dyDescent="0.2">
      <c r="A47" s="104"/>
      <c r="B47" s="115"/>
      <c r="C47" s="118" t="s">
        <v>86</v>
      </c>
    </row>
    <row r="48" spans="1:3" x14ac:dyDescent="0.2">
      <c r="A48" s="115"/>
      <c r="B48" s="115"/>
      <c r="C48" s="115" t="s">
        <v>199</v>
      </c>
    </row>
    <row r="49" spans="1:3" x14ac:dyDescent="0.2">
      <c r="A49" s="115"/>
      <c r="B49" s="115"/>
      <c r="C49" s="115" t="s">
        <v>200</v>
      </c>
    </row>
    <row r="50" spans="1:3" x14ac:dyDescent="0.2">
      <c r="A50" s="115"/>
      <c r="B50" s="115"/>
      <c r="C50" s="115" t="s">
        <v>42</v>
      </c>
    </row>
    <row r="51" spans="1:3" x14ac:dyDescent="0.2">
      <c r="A51" s="115"/>
      <c r="B51" s="115"/>
      <c r="C51" s="115" t="s">
        <v>201</v>
      </c>
    </row>
    <row r="52" spans="1:3" x14ac:dyDescent="0.2">
      <c r="A52" s="115"/>
      <c r="B52" s="115"/>
      <c r="C52" s="115" t="s">
        <v>287</v>
      </c>
    </row>
    <row r="53" spans="1:3" x14ac:dyDescent="0.2">
      <c r="A53" s="115"/>
      <c r="B53" s="115"/>
      <c r="C53" s="115" t="s">
        <v>288</v>
      </c>
    </row>
    <row r="54" spans="1:3" x14ac:dyDescent="0.2">
      <c r="A54" s="115"/>
      <c r="B54" s="115"/>
      <c r="C54" s="115" t="s">
        <v>286</v>
      </c>
    </row>
    <row r="55" spans="1:3" x14ac:dyDescent="0.2">
      <c r="A55" s="115"/>
      <c r="B55" s="115"/>
      <c r="C55" s="115" t="s">
        <v>289</v>
      </c>
    </row>
    <row r="56" spans="1:3" x14ac:dyDescent="0.2">
      <c r="A56" s="115"/>
      <c r="B56" s="115"/>
      <c r="C56" s="115" t="s">
        <v>127</v>
      </c>
    </row>
    <row r="57" spans="1:3" x14ac:dyDescent="0.2">
      <c r="A57" s="115"/>
      <c r="B57" s="115"/>
      <c r="C57" s="115" t="s">
        <v>294</v>
      </c>
    </row>
    <row r="58" spans="1:3" x14ac:dyDescent="0.2">
      <c r="A58" s="115"/>
      <c r="B58" s="115"/>
      <c r="C58" s="115"/>
    </row>
    <row r="59" spans="1:3" x14ac:dyDescent="0.2">
      <c r="A59" s="115"/>
      <c r="B59" s="115"/>
      <c r="C59" s="115"/>
    </row>
    <row r="60" spans="1:3" x14ac:dyDescent="0.2">
      <c r="A60" s="120"/>
      <c r="B60" s="115"/>
      <c r="C60" s="115"/>
    </row>
    <row r="61" spans="1:3" x14ac:dyDescent="0.2">
      <c r="A61" s="120"/>
      <c r="B61" s="115"/>
      <c r="C61" s="118" t="s">
        <v>268</v>
      </c>
    </row>
    <row r="62" spans="1:3" x14ac:dyDescent="0.2">
      <c r="A62" s="120"/>
      <c r="B62" s="115"/>
      <c r="C62" s="115" t="s">
        <v>199</v>
      </c>
    </row>
    <row r="63" spans="1:3" x14ac:dyDescent="0.2">
      <c r="A63" s="120"/>
      <c r="B63" s="115"/>
      <c r="C63" s="115" t="s">
        <v>200</v>
      </c>
    </row>
    <row r="64" spans="1:3" x14ac:dyDescent="0.2">
      <c r="A64" s="120"/>
      <c r="B64" s="115"/>
      <c r="C64" s="115" t="s">
        <v>78</v>
      </c>
    </row>
    <row r="65" spans="1:3" x14ac:dyDescent="0.2">
      <c r="A65" s="120"/>
      <c r="B65" s="115"/>
      <c r="C65" s="115" t="s">
        <v>283</v>
      </c>
    </row>
    <row r="66" spans="1:3" x14ac:dyDescent="0.2">
      <c r="A66" s="120"/>
      <c r="B66" s="115"/>
      <c r="C66" s="115" t="s">
        <v>284</v>
      </c>
    </row>
    <row r="67" spans="1:3" x14ac:dyDescent="0.2">
      <c r="A67" s="120"/>
      <c r="B67" s="115"/>
      <c r="C67" s="115" t="s">
        <v>42</v>
      </c>
    </row>
    <row r="68" spans="1:3" x14ac:dyDescent="0.2">
      <c r="A68" s="120"/>
      <c r="B68" s="115"/>
      <c r="C68" s="115" t="s">
        <v>285</v>
      </c>
    </row>
    <row r="69" spans="1:3" x14ac:dyDescent="0.2">
      <c r="A69" s="120"/>
      <c r="B69" s="115"/>
      <c r="C69" s="115" t="s">
        <v>295</v>
      </c>
    </row>
    <row r="70" spans="1:3" x14ac:dyDescent="0.2">
      <c r="A70" s="120"/>
      <c r="B70" s="115"/>
      <c r="C70" s="115" t="s">
        <v>296</v>
      </c>
    </row>
    <row r="71" spans="1:3" x14ac:dyDescent="0.2">
      <c r="A71" s="120"/>
      <c r="B71" s="115"/>
      <c r="C71" s="115" t="s">
        <v>201</v>
      </c>
    </row>
    <row r="72" spans="1:3" x14ac:dyDescent="0.2">
      <c r="A72" s="120"/>
      <c r="B72" s="115"/>
      <c r="C72" s="115" t="s">
        <v>287</v>
      </c>
    </row>
    <row r="73" spans="1:3" x14ac:dyDescent="0.2">
      <c r="A73" s="120"/>
      <c r="C73" s="115" t="s">
        <v>288</v>
      </c>
    </row>
    <row r="74" spans="1:3" x14ac:dyDescent="0.2">
      <c r="C74" s="115" t="s">
        <v>286</v>
      </c>
    </row>
    <row r="75" spans="1:3" x14ac:dyDescent="0.2">
      <c r="C75" s="115" t="s">
        <v>127</v>
      </c>
    </row>
    <row r="76" spans="1:3" x14ac:dyDescent="0.2">
      <c r="C76" s="115" t="s">
        <v>126</v>
      </c>
    </row>
    <row r="77" spans="1:3" x14ac:dyDescent="0.2">
      <c r="C77" s="115" t="s">
        <v>294</v>
      </c>
    </row>
  </sheetData>
  <pageMargins left="0.75" right="0.75" top="1" bottom="1" header="0.5" footer="0.5"/>
  <pageSetup orientation="portrait" horizontalDpi="4294967292" verticalDpi="4294967292"/>
  <headerFooter alignWithMargins="0"/>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A1:N147"/>
  <sheetViews>
    <sheetView showGridLines="0" tabSelected="1" zoomScale="120" zoomScaleNormal="120" workbookViewId="0">
      <selection activeCell="C3" sqref="C3:F3"/>
    </sheetView>
  </sheetViews>
  <sheetFormatPr defaultColWidth="8.85546875" defaultRowHeight="12.75" x14ac:dyDescent="0.2"/>
  <cols>
    <col min="1" max="1" width="11.140625" style="2" customWidth="1"/>
    <col min="2" max="2" width="4.42578125" style="2" customWidth="1"/>
    <col min="3" max="3" width="15.28515625" style="2" customWidth="1"/>
    <col min="4" max="4" width="1" style="2" customWidth="1"/>
    <col min="5" max="5" width="14.28515625" style="2" customWidth="1"/>
    <col min="6" max="6" width="15.42578125" style="2" customWidth="1"/>
    <col min="7" max="7" width="1" style="2" customWidth="1"/>
    <col min="8" max="8" width="14.42578125" style="2" customWidth="1"/>
    <col min="9" max="9" width="15.42578125" style="2" customWidth="1"/>
    <col min="10" max="10" width="8.85546875" style="2" hidden="1" customWidth="1"/>
    <col min="11" max="16384" width="8.85546875" style="2"/>
  </cols>
  <sheetData>
    <row r="1" spans="1:9" ht="21" customHeight="1" x14ac:dyDescent="0.2">
      <c r="A1" s="221" t="s">
        <v>299</v>
      </c>
      <c r="B1" s="221"/>
      <c r="C1" s="221"/>
      <c r="D1" s="221"/>
      <c r="E1" s="221"/>
      <c r="F1" s="221"/>
      <c r="G1" s="221"/>
      <c r="H1" s="221"/>
      <c r="I1" s="221"/>
    </row>
    <row r="2" spans="1:9" ht="3.95" customHeight="1" x14ac:dyDescent="0.2">
      <c r="B2" s="7"/>
      <c r="C2" s="7"/>
      <c r="D2" s="7"/>
      <c r="E2" s="7"/>
      <c r="F2" s="7"/>
      <c r="G2" s="7"/>
      <c r="H2" s="7"/>
      <c r="I2" s="7"/>
    </row>
    <row r="3" spans="1:9" ht="23.1" customHeight="1" x14ac:dyDescent="0.2">
      <c r="A3" s="202" t="s">
        <v>2</v>
      </c>
      <c r="B3" s="203"/>
      <c r="C3" s="211"/>
      <c r="D3" s="211"/>
      <c r="E3" s="211"/>
      <c r="F3" s="212"/>
      <c r="G3" s="8"/>
      <c r="H3" s="17" t="s">
        <v>169</v>
      </c>
      <c r="I3" s="49"/>
    </row>
    <row r="4" spans="1:9" ht="3.95" customHeight="1" x14ac:dyDescent="0.2">
      <c r="A4" s="20"/>
      <c r="B4" s="20"/>
      <c r="C4" s="31"/>
      <c r="D4" s="31"/>
      <c r="E4" s="31"/>
      <c r="F4" s="31"/>
      <c r="G4" s="8"/>
      <c r="H4" s="20"/>
      <c r="I4" s="31"/>
    </row>
    <row r="5" spans="1:9" ht="23.1" customHeight="1" x14ac:dyDescent="0.2">
      <c r="A5" s="202" t="s">
        <v>5</v>
      </c>
      <c r="B5" s="203"/>
      <c r="C5" s="218"/>
      <c r="D5" s="218"/>
      <c r="E5" s="218"/>
      <c r="F5" s="219"/>
      <c r="G5" s="8"/>
      <c r="H5" s="17" t="s">
        <v>420</v>
      </c>
      <c r="I5" s="50"/>
    </row>
    <row r="6" spans="1:9" ht="3.95" customHeight="1" x14ac:dyDescent="0.2">
      <c r="A6" s="20"/>
      <c r="B6" s="20"/>
      <c r="C6" s="31"/>
      <c r="D6" s="31"/>
      <c r="E6" s="31"/>
      <c r="F6" s="31"/>
      <c r="G6" s="8"/>
      <c r="H6" s="20"/>
      <c r="I6" s="31"/>
    </row>
    <row r="7" spans="1:9" ht="23.1" customHeight="1" x14ac:dyDescent="0.2">
      <c r="A7" s="202" t="s">
        <v>156</v>
      </c>
      <c r="B7" s="203"/>
      <c r="C7" s="218"/>
      <c r="D7" s="218"/>
      <c r="E7" s="218"/>
      <c r="F7" s="219"/>
      <c r="G7" s="8"/>
      <c r="H7" s="17" t="s">
        <v>32</v>
      </c>
      <c r="I7" s="50"/>
    </row>
    <row r="8" spans="1:9" ht="3.95" customHeight="1" x14ac:dyDescent="0.2">
      <c r="A8" s="20"/>
      <c r="B8" s="20"/>
      <c r="C8" s="31"/>
      <c r="D8" s="31"/>
      <c r="E8" s="31"/>
      <c r="F8" s="31"/>
      <c r="G8" s="8"/>
      <c r="H8" s="20"/>
      <c r="I8" s="31"/>
    </row>
    <row r="9" spans="1:9" ht="23.1" customHeight="1" x14ac:dyDescent="0.2">
      <c r="A9" s="202" t="s">
        <v>108</v>
      </c>
      <c r="B9" s="203"/>
      <c r="C9" s="218"/>
      <c r="D9" s="218"/>
      <c r="E9" s="218"/>
      <c r="F9" s="219"/>
      <c r="G9" s="8"/>
      <c r="H9" s="17" t="s">
        <v>72</v>
      </c>
      <c r="I9" s="49"/>
    </row>
    <row r="10" spans="1:9" ht="3.95" customHeight="1" x14ac:dyDescent="0.2">
      <c r="B10" s="20"/>
      <c r="C10" s="31"/>
      <c r="D10" s="31"/>
      <c r="E10" s="31"/>
      <c r="F10" s="31"/>
      <c r="G10" s="8"/>
      <c r="H10" s="20"/>
      <c r="I10" s="31"/>
    </row>
    <row r="11" spans="1:9" ht="23.1" customHeight="1" x14ac:dyDescent="0.2">
      <c r="A11" s="16" t="s">
        <v>186</v>
      </c>
      <c r="B11" s="62">
        <f>ICM!G11</f>
        <v>0</v>
      </c>
      <c r="C11" s="218"/>
      <c r="D11" s="218"/>
      <c r="E11" s="218"/>
      <c r="F11" s="219"/>
      <c r="G11" s="8"/>
      <c r="H11" s="17" t="s">
        <v>211</v>
      </c>
      <c r="I11" s="200"/>
    </row>
    <row r="12" spans="1:9" ht="3.95" customHeight="1" x14ac:dyDescent="0.2">
      <c r="B12" s="19"/>
      <c r="C12" s="39"/>
      <c r="D12" s="39"/>
      <c r="E12" s="39"/>
      <c r="F12" s="39"/>
      <c r="G12" s="11"/>
      <c r="H12" s="19"/>
      <c r="I12" s="40"/>
    </row>
    <row r="13" spans="1:9" ht="23.1" customHeight="1" x14ac:dyDescent="0.2">
      <c r="A13" s="202" t="s">
        <v>48</v>
      </c>
      <c r="B13" s="203"/>
      <c r="C13" s="218" t="s">
        <v>143</v>
      </c>
      <c r="D13" s="218"/>
      <c r="E13" s="218"/>
      <c r="F13" s="219"/>
      <c r="G13" s="11"/>
      <c r="H13" s="29" t="s">
        <v>198</v>
      </c>
      <c r="I13" s="51"/>
    </row>
    <row r="14" spans="1:9" ht="3.95" customHeight="1" x14ac:dyDescent="0.2">
      <c r="B14" s="20"/>
      <c r="C14" s="8"/>
      <c r="D14" s="8"/>
      <c r="E14" s="8"/>
      <c r="F14" s="8"/>
      <c r="G14" s="8"/>
      <c r="H14" s="20"/>
      <c r="I14" s="31"/>
    </row>
    <row r="15" spans="1:9" ht="18" customHeight="1" x14ac:dyDescent="0.2">
      <c r="A15" s="221" t="s">
        <v>51</v>
      </c>
      <c r="B15" s="221"/>
      <c r="C15" s="221"/>
      <c r="D15" s="4"/>
      <c r="E15" s="4"/>
      <c r="F15" s="4"/>
      <c r="G15" s="4"/>
      <c r="H15" s="4"/>
      <c r="I15" s="146"/>
    </row>
    <row r="16" spans="1:9" ht="5.0999999999999996" customHeight="1" x14ac:dyDescent="0.2">
      <c r="B16" s="20"/>
      <c r="C16" s="8"/>
      <c r="D16" s="8"/>
      <c r="E16" s="8"/>
      <c r="F16" s="8"/>
      <c r="G16" s="8"/>
      <c r="H16" s="8"/>
      <c r="I16" s="8"/>
    </row>
    <row r="17" spans="1:12" ht="21" customHeight="1" x14ac:dyDescent="0.2">
      <c r="A17" s="19"/>
      <c r="B17" s="19"/>
      <c r="C17" s="253"/>
      <c r="D17" s="254"/>
      <c r="E17" s="254"/>
      <c r="F17" s="254"/>
      <c r="G17" s="254"/>
      <c r="H17" s="254"/>
      <c r="I17" s="255"/>
      <c r="J17" s="147" t="s">
        <v>396</v>
      </c>
    </row>
    <row r="18" spans="1:12" ht="21" customHeight="1" x14ac:dyDescent="0.2">
      <c r="A18" s="19"/>
      <c r="B18" s="19"/>
      <c r="C18" s="256"/>
      <c r="D18" s="257"/>
      <c r="E18" s="257"/>
      <c r="F18" s="257"/>
      <c r="G18" s="257"/>
      <c r="H18" s="257"/>
      <c r="I18" s="258"/>
      <c r="J18" s="148">
        <v>0</v>
      </c>
      <c r="L18"/>
    </row>
    <row r="19" spans="1:12" ht="21" customHeight="1" x14ac:dyDescent="0.2">
      <c r="A19" s="19"/>
      <c r="B19" s="19"/>
      <c r="C19" s="259"/>
      <c r="D19" s="260"/>
      <c r="E19" s="260"/>
      <c r="F19" s="260"/>
      <c r="G19" s="260"/>
      <c r="H19" s="260"/>
      <c r="I19" s="261"/>
    </row>
    <row r="20" spans="1:12" ht="3.95" customHeight="1" x14ac:dyDescent="0.2">
      <c r="B20" s="47"/>
      <c r="C20" s="47"/>
      <c r="D20" s="47"/>
      <c r="E20" s="47"/>
      <c r="F20" s="47"/>
      <c r="G20" s="41"/>
      <c r="H20" s="41"/>
      <c r="I20" s="41"/>
    </row>
    <row r="21" spans="1:12" ht="23.1" customHeight="1" x14ac:dyDescent="0.2">
      <c r="A21" s="251" t="s">
        <v>429</v>
      </c>
      <c r="B21" s="252"/>
      <c r="C21" s="124"/>
      <c r="D21" s="47"/>
      <c r="E21" s="34" t="s">
        <v>428</v>
      </c>
      <c r="F21" s="124"/>
      <c r="G21" s="41"/>
      <c r="H21" s="15" t="s">
        <v>430</v>
      </c>
      <c r="I21" s="182"/>
    </row>
    <row r="22" spans="1:12" ht="3.95" customHeight="1" x14ac:dyDescent="0.2">
      <c r="A22" s="47"/>
      <c r="B22" s="47"/>
      <c r="C22" s="47"/>
      <c r="D22" s="47"/>
      <c r="E22" s="47"/>
      <c r="F22" s="47"/>
      <c r="G22" s="41"/>
      <c r="H22" s="41"/>
      <c r="I22" s="41"/>
    </row>
    <row r="23" spans="1:12" ht="23.1" customHeight="1" x14ac:dyDescent="0.2">
      <c r="A23" s="205" t="s">
        <v>382</v>
      </c>
      <c r="B23" s="206"/>
      <c r="C23" s="144" t="b">
        <f>IF(J18=3,"N/A",IF(J18=6,"N/A",IF(J18=1,"TD Zipper",IF(J18=2,"TD Zipper"))))</f>
        <v>0</v>
      </c>
      <c r="D23" s="41"/>
      <c r="E23" s="29" t="s">
        <v>381</v>
      </c>
      <c r="F23" s="145" t="b">
        <f>IF(J18=4,"Top Fill",IF(J18=5,"Top Fill",IF(J18=6,"Top Fill")))</f>
        <v>0</v>
      </c>
      <c r="H23" s="108" t="s">
        <v>380</v>
      </c>
      <c r="I23" s="144" t="b">
        <f>IF(J18=3,"N/A",IF(J18=6,"N/A",IF(C23="N/A","N/A")))</f>
        <v>0</v>
      </c>
    </row>
    <row r="24" spans="1:12" ht="3.95" customHeight="1" x14ac:dyDescent="0.2">
      <c r="A24" s="20"/>
      <c r="B24" s="20"/>
      <c r="C24" s="31"/>
      <c r="D24" s="8"/>
      <c r="E24" s="44"/>
      <c r="F24" s="44"/>
      <c r="G24" s="44"/>
      <c r="H24" s="44"/>
      <c r="I24" s="44"/>
    </row>
    <row r="25" spans="1:12" ht="23.1" customHeight="1" x14ac:dyDescent="0.2">
      <c r="A25" s="205" t="s">
        <v>383</v>
      </c>
      <c r="B25" s="206"/>
      <c r="C25" s="144" t="b">
        <f>IF(J18=1,"Folded",IF(J18=2,"Folded",IF(J18=3,"Folded")))</f>
        <v>0</v>
      </c>
      <c r="D25" s="45"/>
      <c r="E25" s="106" t="s">
        <v>535</v>
      </c>
      <c r="F25" s="144"/>
      <c r="H25" s="109" t="s">
        <v>437</v>
      </c>
      <c r="I25" s="184" t="b">
        <f>IF(J18=1,"N/A",IF(J18=2,"N/A",IF(J18=3,"N/A")))</f>
        <v>0</v>
      </c>
    </row>
    <row r="26" spans="1:12" ht="3.95" customHeight="1" x14ac:dyDescent="0.2">
      <c r="A26" s="20"/>
      <c r="B26" s="20"/>
      <c r="C26" s="31"/>
      <c r="D26" s="8"/>
      <c r="E26" s="44"/>
      <c r="F26" s="44"/>
      <c r="G26" s="44"/>
      <c r="H26" s="44"/>
      <c r="I26" s="44"/>
    </row>
    <row r="27" spans="1:12" ht="23.1" customHeight="1" x14ac:dyDescent="0.2">
      <c r="A27" s="216" t="s">
        <v>423</v>
      </c>
      <c r="B27" s="217"/>
      <c r="C27" s="144" t="b">
        <f>IF(J18=4,"N/A",IF(J18=5,"N/A",IF(J18=6,"N/A")))</f>
        <v>0</v>
      </c>
      <c r="D27" s="45"/>
      <c r="E27" s="107" t="s">
        <v>384</v>
      </c>
      <c r="F27" s="144" t="b">
        <f>IF(J18=4,"N/A",IF(J18=5,"N/A",IF(J18=6,"N/A")))</f>
        <v>0</v>
      </c>
      <c r="H27" s="107" t="s">
        <v>427</v>
      </c>
      <c r="I27" s="165" t="b">
        <f>IF(J18=1,"N/A",IF(J18=2,"N/A",IF(J18=4,"N/A",IF(J18=5,"N/A",IF(J18=6,"N/A")))))</f>
        <v>0</v>
      </c>
    </row>
    <row r="28" spans="1:12" ht="3.95" customHeight="1" x14ac:dyDescent="0.2">
      <c r="A28" s="20"/>
      <c r="B28" s="20"/>
      <c r="C28" s="31"/>
      <c r="D28" s="8"/>
      <c r="E28" s="44"/>
      <c r="F28" s="44"/>
      <c r="G28" s="44"/>
      <c r="H28" s="44"/>
      <c r="I28" s="44"/>
    </row>
    <row r="29" spans="1:12" ht="23.1" customHeight="1" x14ac:dyDescent="0.2">
      <c r="A29" s="275" t="s">
        <v>386</v>
      </c>
      <c r="B29" s="206"/>
      <c r="C29" s="144" t="b">
        <f>IF(F23="Top Fill","N/A",IF(J18=4,"N/A", IF(J18=5,"N/A",IF(J18=6,"N/A"))))</f>
        <v>0</v>
      </c>
      <c r="D29" s="45"/>
      <c r="E29" s="109" t="s">
        <v>417</v>
      </c>
      <c r="F29" s="144" t="b">
        <f>IF(F23="Bottom Fill","N/A",IF(J18=4,"N/A", IF(J18=5,"N/A",IF(J18=6,"N/A"))))</f>
        <v>0</v>
      </c>
      <c r="H29" s="107" t="s">
        <v>385</v>
      </c>
      <c r="I29" s="144" t="b">
        <f>IF(J18=1,"N/A",IF(J18=2,"N/A",IF(J18=3,"N/A")))</f>
        <v>0</v>
      </c>
    </row>
    <row r="30" spans="1:12" ht="3.95" customHeight="1" x14ac:dyDescent="0.2">
      <c r="A30" s="20"/>
      <c r="B30" s="20"/>
      <c r="C30" s="31"/>
      <c r="D30" s="8"/>
      <c r="E30" s="44"/>
      <c r="F30" s="44"/>
      <c r="G30" s="44"/>
      <c r="H30" s="44"/>
      <c r="I30" s="44"/>
    </row>
    <row r="31" spans="1:12" ht="23.1" customHeight="1" x14ac:dyDescent="0.2">
      <c r="A31" s="207" t="s">
        <v>351</v>
      </c>
      <c r="B31" s="208"/>
      <c r="C31" s="209"/>
      <c r="D31" s="209"/>
      <c r="E31" s="209"/>
      <c r="F31" s="210"/>
      <c r="G31"/>
      <c r="H31" s="263"/>
      <c r="I31" s="263"/>
    </row>
    <row r="32" spans="1:12" ht="3.95" customHeight="1" x14ac:dyDescent="0.2">
      <c r="A32" s="20"/>
      <c r="B32" s="20"/>
      <c r="C32" s="8"/>
      <c r="D32" s="41"/>
      <c r="E32" s="41"/>
      <c r="F32" s="41"/>
      <c r="G32" s="41"/>
      <c r="H32" s="41"/>
      <c r="I32" s="41"/>
    </row>
    <row r="33" spans="1:9" ht="23.1" customHeight="1" x14ac:dyDescent="0.2">
      <c r="A33" s="216" t="s">
        <v>387</v>
      </c>
      <c r="B33" s="208"/>
      <c r="C33" s="249" t="b">
        <f>IF(J18=1,"N/A",IF(J18=2,"N/A",IF(J18=3,"N/A")))</f>
        <v>0</v>
      </c>
      <c r="D33" s="264"/>
      <c r="E33" s="264"/>
      <c r="F33" s="265"/>
      <c r="G33" s="45"/>
      <c r="H33" s="15" t="s">
        <v>388</v>
      </c>
      <c r="I33" s="144" t="b">
        <f>IF(C33="N/A","N/A")</f>
        <v>0</v>
      </c>
    </row>
    <row r="34" spans="1:9" ht="3.95" customHeight="1" x14ac:dyDescent="0.2">
      <c r="A34" s="20"/>
      <c r="B34" s="20"/>
      <c r="C34" s="8"/>
      <c r="D34" s="8"/>
      <c r="E34" s="8"/>
      <c r="F34" s="8"/>
      <c r="G34" s="8"/>
      <c r="H34" s="8"/>
      <c r="I34" s="8"/>
    </row>
    <row r="35" spans="1:9" ht="26.1" customHeight="1" x14ac:dyDescent="0.2">
      <c r="A35" s="215" t="s">
        <v>352</v>
      </c>
      <c r="B35" s="208"/>
      <c r="C35" s="144"/>
      <c r="D35" s="8"/>
      <c r="E35" s="25" t="s">
        <v>389</v>
      </c>
      <c r="F35" s="249" t="b">
        <f>IF(C35="N/A","N/A")</f>
        <v>0</v>
      </c>
      <c r="G35" s="250"/>
      <c r="H35" s="250"/>
      <c r="I35" s="126" t="b">
        <f>IF(F35="mm from outside seal","Enter distance",IF(F35="mm from top of hole punch to open end of pouch","Enter distance",IF(F35="N/A","N/A")))</f>
        <v>0</v>
      </c>
    </row>
    <row r="36" spans="1:9" ht="3.95" customHeight="1" x14ac:dyDescent="0.2">
      <c r="A36" s="20"/>
      <c r="B36" s="20"/>
      <c r="C36" s="31"/>
      <c r="D36" s="8"/>
      <c r="E36" s="8"/>
      <c r="F36" s="8"/>
      <c r="G36" s="8"/>
      <c r="H36" s="8"/>
      <c r="I36" s="8"/>
    </row>
    <row r="37" spans="1:9" ht="23.1" customHeight="1" x14ac:dyDescent="0.2">
      <c r="A37" s="213" t="s">
        <v>390</v>
      </c>
      <c r="B37" s="214"/>
      <c r="C37" s="145" t="b">
        <f>IF(J18=1,"N/A",IF(J18=2,"N/A",IF(J18=3,"N/A")))</f>
        <v>0</v>
      </c>
      <c r="D37" s="8"/>
      <c r="E37" s="25" t="s">
        <v>389</v>
      </c>
      <c r="F37" s="249" t="b">
        <f>IF(C37="N/A","N/A")</f>
        <v>0</v>
      </c>
      <c r="G37" s="250"/>
      <c r="H37" s="262"/>
      <c r="I37" s="126" t="b">
        <f>IF(F37="N/A","N/A",IF(F37="mm from open end of pouch","Enter distance"))</f>
        <v>0</v>
      </c>
    </row>
    <row r="38" spans="1:9" ht="3.95" customHeight="1" x14ac:dyDescent="0.2">
      <c r="A38" s="20"/>
      <c r="B38" s="20"/>
      <c r="C38" s="35"/>
      <c r="D38" s="8"/>
      <c r="E38" s="26"/>
      <c r="F38" s="8"/>
      <c r="G38" s="8"/>
      <c r="H38" s="8"/>
      <c r="I38" s="8"/>
    </row>
    <row r="39" spans="1:9" ht="23.1" customHeight="1" x14ac:dyDescent="0.2">
      <c r="A39" s="215" t="s">
        <v>138</v>
      </c>
      <c r="B39" s="208"/>
      <c r="C39" s="181"/>
      <c r="D39" s="8"/>
      <c r="E39" s="25" t="s">
        <v>389</v>
      </c>
      <c r="F39" s="271" t="b">
        <f>IF(C39="N/A","N/A",IF(C39="Perf Line","Enter position and distance",IF(C39="Laser Score","Enter position and distance")))</f>
        <v>0</v>
      </c>
      <c r="G39" s="271"/>
      <c r="H39" s="271"/>
      <c r="I39" s="272"/>
    </row>
    <row r="40" spans="1:9" ht="3.95" customHeight="1" x14ac:dyDescent="0.2">
      <c r="A40" s="20"/>
      <c r="B40" s="20"/>
      <c r="C40" s="35"/>
      <c r="D40" s="8"/>
      <c r="E40" s="26"/>
      <c r="F40" s="30"/>
      <c r="G40" s="30"/>
      <c r="H40" s="30"/>
      <c r="I40" s="30"/>
    </row>
    <row r="41" spans="1:9" ht="23.1" customHeight="1" x14ac:dyDescent="0.2">
      <c r="A41" s="220" t="s">
        <v>391</v>
      </c>
      <c r="B41" s="203"/>
      <c r="C41" s="124" t="b">
        <f>IF(J18=1,"No",IF(J18=2,"No",IF(J18=3,"No")))</f>
        <v>0</v>
      </c>
      <c r="D41" s="8"/>
      <c r="E41" s="17" t="s">
        <v>392</v>
      </c>
      <c r="F41" s="145" t="b">
        <f>IF(C41="No","N/A")</f>
        <v>0</v>
      </c>
      <c r="G41"/>
      <c r="H41" s="143" t="s">
        <v>379</v>
      </c>
      <c r="I41" s="145" t="b">
        <f>IF(C41="No","N/A")</f>
        <v>0</v>
      </c>
    </row>
    <row r="42" spans="1:9" ht="3.95" customHeight="1" x14ac:dyDescent="0.2">
      <c r="A42" s="20"/>
      <c r="B42" s="20"/>
      <c r="C42" s="35"/>
      <c r="D42" s="8"/>
      <c r="E42" s="20"/>
      <c r="F42" s="35"/>
      <c r="G42" s="35"/>
      <c r="H42" s="35"/>
      <c r="I42" s="35"/>
    </row>
    <row r="43" spans="1:9" ht="23.1" customHeight="1" x14ac:dyDescent="0.2">
      <c r="A43" s="220" t="s">
        <v>393</v>
      </c>
      <c r="B43" s="203"/>
      <c r="C43" s="125" t="b">
        <f>IF(C41="No","N/A")</f>
        <v>0</v>
      </c>
      <c r="D43" s="8"/>
      <c r="E43" s="17" t="s">
        <v>394</v>
      </c>
      <c r="F43" s="125" t="b">
        <f>IF(C41="No","N/A")</f>
        <v>0</v>
      </c>
      <c r="G43"/>
      <c r="H43" s="17" t="s">
        <v>421</v>
      </c>
      <c r="I43" s="127" t="b">
        <f>IF(C41="No","N/A")</f>
        <v>0</v>
      </c>
    </row>
    <row r="44" spans="1:9" ht="3.95" customHeight="1" x14ac:dyDescent="0.2">
      <c r="A44" s="21"/>
      <c r="B44" s="21"/>
      <c r="C44" s="13"/>
      <c r="D44" s="8"/>
      <c r="E44" s="20"/>
      <c r="F44" s="35"/>
      <c r="G44" s="35"/>
      <c r="H44" s="35"/>
      <c r="I44" s="35"/>
    </row>
    <row r="45" spans="1:9" ht="23.1" customHeight="1" x14ac:dyDescent="0.2">
      <c r="A45" s="220" t="s">
        <v>438</v>
      </c>
      <c r="B45" s="203"/>
      <c r="C45" s="144" t="b">
        <f>IF(J18=1,"N/A",IF(J18=2,"N/A",IF(J18=3,"N/A")))</f>
        <v>0</v>
      </c>
      <c r="E45"/>
      <c r="F45"/>
      <c r="G45" s="8"/>
      <c r="H45"/>
      <c r="I45"/>
    </row>
    <row r="46" spans="1:9" ht="3.95" customHeight="1" x14ac:dyDescent="0.2">
      <c r="A46"/>
      <c r="B46"/>
      <c r="C46"/>
      <c r="D46"/>
      <c r="E46"/>
      <c r="F46"/>
      <c r="G46"/>
      <c r="H46"/>
      <c r="I46"/>
    </row>
    <row r="47" spans="1:9" ht="23.1" customHeight="1" x14ac:dyDescent="0.2">
      <c r="A47" s="220" t="s">
        <v>155</v>
      </c>
      <c r="B47" s="203"/>
      <c r="C47" s="144"/>
      <c r="D47"/>
      <c r="E47" s="15" t="s">
        <v>395</v>
      </c>
      <c r="F47" s="249" t="b">
        <f>IF(C47="None","N/A",IF(C47=1,"Enter position and distance",IF(C47=2,"Enter position and distance",IF(C47=3,"Enter position and distance",IF(C47=4,"Enter position and distance",IF(C47=5,"Enter position and distance"))))))</f>
        <v>0</v>
      </c>
      <c r="G47" s="273"/>
      <c r="H47" s="273"/>
      <c r="I47" s="274"/>
    </row>
    <row r="48" spans="1:9" ht="3.95" customHeight="1" x14ac:dyDescent="0.2">
      <c r="A48"/>
      <c r="B48"/>
      <c r="C48"/>
      <c r="D48"/>
      <c r="E48"/>
      <c r="F48"/>
      <c r="G48"/>
      <c r="H48"/>
      <c r="I48"/>
    </row>
    <row r="49" spans="1:14" ht="23.1" customHeight="1" x14ac:dyDescent="0.2">
      <c r="A49" s="220" t="s">
        <v>152</v>
      </c>
      <c r="B49" s="203"/>
      <c r="C49" s="144"/>
      <c r="D49"/>
      <c r="E49" s="15" t="s">
        <v>395</v>
      </c>
      <c r="F49" s="249" t="b">
        <f>IF(C49="No","N/A",IF(C49="Yes","Enter position and distance"))</f>
        <v>0</v>
      </c>
      <c r="G49" s="273"/>
      <c r="H49" s="273"/>
      <c r="I49" s="274"/>
    </row>
    <row r="50" spans="1:14" ht="6.95" customHeight="1" x14ac:dyDescent="0.2">
      <c r="A50"/>
      <c r="B50"/>
      <c r="C50"/>
      <c r="D50"/>
      <c r="E50"/>
      <c r="F50"/>
      <c r="G50"/>
      <c r="H50"/>
      <c r="I50"/>
      <c r="M50"/>
      <c r="N50"/>
    </row>
    <row r="51" spans="1:14" ht="21" customHeight="1" x14ac:dyDescent="0.2">
      <c r="A51" s="221" t="s">
        <v>81</v>
      </c>
      <c r="B51" s="221"/>
      <c r="C51" s="221"/>
      <c r="D51" s="221"/>
      <c r="E51" s="221"/>
      <c r="F51" s="4"/>
      <c r="G51" s="4"/>
      <c r="H51" s="4"/>
      <c r="I51" s="4"/>
      <c r="N51" s="12"/>
    </row>
    <row r="52" spans="1:14" ht="6.95" customHeight="1" x14ac:dyDescent="0.2"/>
    <row r="53" spans="1:14" ht="26.1" customHeight="1" x14ac:dyDescent="0.2">
      <c r="A53" s="238"/>
      <c r="B53" s="239"/>
      <c r="C53" s="240"/>
      <c r="E53" s="15" t="s">
        <v>232</v>
      </c>
      <c r="F53" s="267"/>
      <c r="G53" s="267"/>
      <c r="H53" s="267"/>
      <c r="I53" s="268"/>
    </row>
    <row r="54" spans="1:14" ht="6.95" customHeight="1" x14ac:dyDescent="0.2">
      <c r="A54" s="241"/>
      <c r="B54" s="242"/>
      <c r="C54" s="243"/>
      <c r="E54" s="18"/>
      <c r="F54" s="46"/>
      <c r="G54" s="46"/>
      <c r="H54" s="46"/>
      <c r="I54" s="46"/>
    </row>
    <row r="55" spans="1:14" ht="26.1" customHeight="1" x14ac:dyDescent="0.2">
      <c r="A55" s="244"/>
      <c r="B55" s="245"/>
      <c r="C55" s="246"/>
      <c r="D55" s="3"/>
      <c r="E55" s="16" t="s">
        <v>57</v>
      </c>
      <c r="F55" s="228"/>
      <c r="G55" s="228"/>
      <c r="H55" s="228"/>
      <c r="I55" s="229"/>
    </row>
    <row r="56" spans="1:14" ht="6.95" customHeight="1" x14ac:dyDescent="0.2">
      <c r="F56" s="46"/>
      <c r="G56" s="46"/>
      <c r="H56" s="46"/>
      <c r="I56" s="46"/>
    </row>
    <row r="57" spans="1:14" ht="26.1" customHeight="1" x14ac:dyDescent="0.2">
      <c r="A57" s="235" t="s">
        <v>375</v>
      </c>
      <c r="B57" s="236"/>
      <c r="C57" s="151"/>
      <c r="E57" s="16" t="s">
        <v>208</v>
      </c>
      <c r="F57" s="228"/>
      <c r="G57" s="228"/>
      <c r="H57" s="228"/>
      <c r="I57" s="229"/>
    </row>
    <row r="58" spans="1:14" ht="15" customHeight="1" x14ac:dyDescent="0.2">
      <c r="A58" s="237" t="b">
        <f>IF(F53="N/A","NOTE: Winpak Graphics requires an exisiting printed sample if item is NEW to Winpak")</f>
        <v>0</v>
      </c>
      <c r="B58" s="237"/>
      <c r="C58" s="237"/>
      <c r="D58" s="237"/>
      <c r="E58" s="237"/>
      <c r="F58" s="237"/>
      <c r="G58" s="237"/>
      <c r="H58" s="237"/>
      <c r="I58" s="237"/>
    </row>
    <row r="59" spans="1:14" ht="21" customHeight="1" x14ac:dyDescent="0.2">
      <c r="A59" s="221" t="s">
        <v>23</v>
      </c>
      <c r="B59" s="221"/>
      <c r="C59" s="221"/>
      <c r="D59" s="221"/>
      <c r="E59" s="221"/>
      <c r="F59" s="4"/>
      <c r="G59" s="4"/>
      <c r="H59" s="4"/>
      <c r="I59" s="4"/>
    </row>
    <row r="60" spans="1:14" ht="6.95" customHeight="1" x14ac:dyDescent="0.2"/>
    <row r="61" spans="1:14" ht="26.1" customHeight="1" x14ac:dyDescent="0.2">
      <c r="A61" s="247" t="s">
        <v>164</v>
      </c>
      <c r="B61" s="248"/>
      <c r="C61" s="128"/>
      <c r="E61" s="230"/>
      <c r="F61" s="231"/>
      <c r="G61" s="231"/>
      <c r="H61" s="231"/>
      <c r="I61" s="232"/>
    </row>
    <row r="62" spans="1:14" ht="6.95" customHeight="1" x14ac:dyDescent="0.2">
      <c r="B62" s="19"/>
      <c r="C62" s="13"/>
      <c r="D62" s="12"/>
      <c r="E62" s="19"/>
      <c r="F62" s="33"/>
      <c r="G62" s="12"/>
      <c r="H62" s="14"/>
      <c r="I62" s="32"/>
    </row>
    <row r="63" spans="1:14" ht="26.1" customHeight="1" x14ac:dyDescent="0.2">
      <c r="A63" s="247" t="s">
        <v>36</v>
      </c>
      <c r="B63" s="248"/>
      <c r="C63" s="113"/>
      <c r="E63" s="29" t="s">
        <v>96</v>
      </c>
      <c r="F63" s="125"/>
      <c r="G63" s="12"/>
      <c r="H63" s="14"/>
      <c r="I63" s="32"/>
    </row>
    <row r="64" spans="1:14" ht="15" customHeight="1" x14ac:dyDescent="0.2">
      <c r="B64" s="18"/>
      <c r="C64" s="23"/>
      <c r="D64" s="10"/>
      <c r="E64" s="18"/>
      <c r="F64" s="10"/>
      <c r="G64" s="10"/>
      <c r="H64" s="10"/>
      <c r="I64" s="10"/>
    </row>
    <row r="65" spans="1:9" ht="21" customHeight="1" x14ac:dyDescent="0.2">
      <c r="A65" s="63" t="s">
        <v>190</v>
      </c>
      <c r="B65" s="63"/>
      <c r="C65" s="269"/>
      <c r="D65" s="270"/>
      <c r="E65" s="270"/>
      <c r="F65" s="270"/>
      <c r="G65" s="63"/>
      <c r="H65" s="63"/>
      <c r="I65" s="63"/>
    </row>
    <row r="66" spans="1:9" ht="6.95" customHeight="1" x14ac:dyDescent="0.2">
      <c r="B66" s="18"/>
      <c r="C66" s="23"/>
      <c r="D66" s="10"/>
      <c r="E66" s="19"/>
      <c r="F66" s="9"/>
      <c r="G66" s="9"/>
      <c r="H66" s="9"/>
      <c r="I66" s="9"/>
    </row>
    <row r="67" spans="1:9" ht="26.1" customHeight="1" x14ac:dyDescent="0.2">
      <c r="A67" s="226"/>
      <c r="B67" s="227"/>
      <c r="C67" s="233"/>
      <c r="D67" s="234"/>
      <c r="E67" s="129"/>
      <c r="F67" s="129"/>
      <c r="G67" s="233"/>
      <c r="H67" s="234"/>
      <c r="I67" s="198"/>
    </row>
    <row r="68" spans="1:9" ht="6" customHeight="1" x14ac:dyDescent="0.2">
      <c r="B68" s="60"/>
      <c r="C68" s="42"/>
      <c r="D68" s="42"/>
      <c r="E68" s="43"/>
      <c r="F68" s="43"/>
      <c r="G68" s="42"/>
      <c r="H68" s="42"/>
      <c r="I68" s="9"/>
    </row>
    <row r="69" spans="1:9" ht="26.1" customHeight="1" x14ac:dyDescent="0.2">
      <c r="A69" s="226"/>
      <c r="B69" s="227"/>
      <c r="C69" s="233"/>
      <c r="D69" s="234"/>
      <c r="E69" s="129"/>
      <c r="F69" s="129"/>
      <c r="G69" s="233"/>
      <c r="H69" s="234"/>
      <c r="I69" s="198"/>
    </row>
    <row r="70" spans="1:9" ht="6.95" customHeight="1" x14ac:dyDescent="0.2">
      <c r="B70" s="18"/>
      <c r="C70" s="23"/>
      <c r="D70" s="10"/>
      <c r="E70" s="18"/>
      <c r="F70" s="10"/>
      <c r="G70" s="10"/>
      <c r="H70" s="10"/>
      <c r="I70" s="10"/>
    </row>
    <row r="71" spans="1:9" ht="27" customHeight="1" x14ac:dyDescent="0.2">
      <c r="A71" s="224" t="s">
        <v>293</v>
      </c>
      <c r="B71" s="225"/>
      <c r="C71" s="113"/>
      <c r="D71" s="10"/>
      <c r="E71" s="37"/>
      <c r="F71" s="52" t="s">
        <v>107</v>
      </c>
      <c r="G71" s="24"/>
      <c r="I71" s="32"/>
    </row>
    <row r="72" spans="1:9" ht="6.95" customHeight="1" x14ac:dyDescent="0.2">
      <c r="A72" s="28"/>
      <c r="B72" s="28"/>
      <c r="C72" s="36"/>
      <c r="D72" s="10"/>
      <c r="E72" s="28"/>
      <c r="F72" s="10"/>
      <c r="G72" s="10"/>
      <c r="H72" s="10"/>
      <c r="I72" s="10"/>
    </row>
    <row r="73" spans="1:9" ht="26.1" customHeight="1" x14ac:dyDescent="0.2">
      <c r="A73" s="224" t="s">
        <v>171</v>
      </c>
      <c r="B73" s="225"/>
      <c r="C73" s="125"/>
      <c r="D73" s="11"/>
      <c r="E73" s="15" t="s">
        <v>172</v>
      </c>
      <c r="F73" s="125" t="b">
        <f>IF(C73="Yes","N/A", IF(C73="N/A","N/A", IF(C73="Continuous","N/A")))</f>
        <v>0</v>
      </c>
      <c r="G73" s="222" t="b">
        <f>IF(C73="No","mm from outside right hand seal")</f>
        <v>0</v>
      </c>
      <c r="H73" s="222"/>
      <c r="I73" s="223"/>
    </row>
    <row r="74" spans="1:9" ht="6.95" customHeight="1" x14ac:dyDescent="0.2">
      <c r="A74" s="27"/>
      <c r="B74" s="27"/>
      <c r="C74" s="33"/>
      <c r="D74" s="11"/>
      <c r="E74" s="27"/>
      <c r="F74" s="32"/>
      <c r="G74" s="32">
        <f>G60</f>
        <v>0</v>
      </c>
      <c r="H74" s="32"/>
      <c r="I74" s="32"/>
    </row>
    <row r="75" spans="1:9" ht="26.1" customHeight="1" x14ac:dyDescent="0.2">
      <c r="A75" s="224" t="s">
        <v>175</v>
      </c>
      <c r="B75" s="225"/>
      <c r="C75" s="125"/>
      <c r="D75" s="11"/>
      <c r="E75" s="15" t="s">
        <v>176</v>
      </c>
      <c r="F75" s="113" t="b">
        <f>IF(C75="Yes","N/A", IF(C75="N/A","N/A"))</f>
        <v>0</v>
      </c>
      <c r="G75" s="222" t="b">
        <f>IF(C75="No","mm to outside seal",IF(C75="Continuous","mm to outside seal"))</f>
        <v>0</v>
      </c>
      <c r="H75" s="222"/>
      <c r="I75" s="223"/>
    </row>
    <row r="76" spans="1:9" ht="15" customHeight="1" x14ac:dyDescent="0.2">
      <c r="B76" s="5"/>
      <c r="C76" s="5"/>
      <c r="G76" s="2">
        <f>G62</f>
        <v>0</v>
      </c>
    </row>
    <row r="77" spans="1:9" ht="21" customHeight="1" x14ac:dyDescent="0.2">
      <c r="A77" s="221" t="s">
        <v>84</v>
      </c>
      <c r="B77" s="221"/>
      <c r="C77" s="266"/>
      <c r="D77" s="266"/>
      <c r="E77" s="266"/>
      <c r="F77" s="266"/>
      <c r="G77" s="61"/>
      <c r="H77" s="61"/>
      <c r="I77" s="61"/>
    </row>
    <row r="78" spans="1:9" ht="6.95" customHeight="1" x14ac:dyDescent="0.2">
      <c r="A78" s="204"/>
      <c r="B78" s="204"/>
      <c r="C78" s="204"/>
      <c r="D78" s="204"/>
      <c r="E78" s="204"/>
      <c r="F78" s="204"/>
      <c r="G78" s="204"/>
      <c r="H78" s="204"/>
      <c r="I78" s="204"/>
    </row>
    <row r="79" spans="1:9" ht="17.100000000000001" customHeight="1" x14ac:dyDescent="0.2">
      <c r="A79" s="204"/>
      <c r="B79" s="204"/>
      <c r="C79" s="204"/>
      <c r="D79" s="204"/>
      <c r="E79" s="204"/>
      <c r="F79" s="204"/>
      <c r="G79" s="204"/>
      <c r="H79" s="204"/>
      <c r="I79" s="204"/>
    </row>
    <row r="80" spans="1:9" ht="6.95" customHeight="1" x14ac:dyDescent="0.2">
      <c r="A80" s="204"/>
      <c r="B80" s="204"/>
      <c r="C80" s="204"/>
      <c r="D80" s="204"/>
      <c r="E80" s="204"/>
      <c r="F80" s="204"/>
      <c r="G80" s="204"/>
      <c r="H80" s="204"/>
      <c r="I80" s="204"/>
    </row>
    <row r="81" spans="1:9" ht="26.1" customHeight="1" x14ac:dyDescent="0.2">
      <c r="A81" s="226"/>
      <c r="B81" s="227"/>
      <c r="C81" s="226"/>
      <c r="D81" s="227"/>
      <c r="E81" s="129"/>
      <c r="F81" s="129"/>
      <c r="G81" s="226"/>
      <c r="H81" s="227"/>
      <c r="I81" s="198"/>
    </row>
    <row r="82" spans="1:9" ht="6.95" customHeight="1" x14ac:dyDescent="0.2">
      <c r="B82" s="60"/>
      <c r="C82" s="42"/>
      <c r="D82" s="42"/>
      <c r="E82" s="43"/>
      <c r="F82" s="43"/>
      <c r="G82" s="42"/>
      <c r="H82" s="42"/>
      <c r="I82" s="9"/>
    </row>
    <row r="83" spans="1:9" ht="26.1" customHeight="1" x14ac:dyDescent="0.2">
      <c r="A83" s="226"/>
      <c r="B83" s="227"/>
      <c r="C83" s="226"/>
      <c r="D83" s="227"/>
      <c r="E83" s="129"/>
      <c r="F83" s="129"/>
      <c r="G83" s="226"/>
      <c r="H83" s="227"/>
      <c r="I83" s="198"/>
    </row>
    <row r="84" spans="1:9" ht="6.95" customHeight="1" x14ac:dyDescent="0.2">
      <c r="B84" s="18"/>
      <c r="C84" s="23"/>
      <c r="D84" s="10"/>
      <c r="E84" s="18"/>
      <c r="F84" s="10"/>
      <c r="G84" s="10"/>
      <c r="H84" s="10"/>
      <c r="I84" s="10"/>
    </row>
    <row r="85" spans="1:9" ht="26.1" customHeight="1" x14ac:dyDescent="0.2">
      <c r="A85" s="224" t="s">
        <v>231</v>
      </c>
      <c r="B85" s="225"/>
      <c r="C85" s="113"/>
      <c r="D85" s="10"/>
      <c r="E85" s="38"/>
      <c r="F85" s="52" t="s">
        <v>107</v>
      </c>
      <c r="G85" s="24"/>
      <c r="I85" s="32"/>
    </row>
    <row r="86" spans="1:9" ht="6.95" customHeight="1" x14ac:dyDescent="0.2">
      <c r="A86" s="28"/>
      <c r="B86" s="28"/>
      <c r="C86" s="36"/>
      <c r="D86" s="10"/>
      <c r="E86" s="28"/>
      <c r="F86" s="10"/>
      <c r="G86" s="10"/>
      <c r="H86" s="10"/>
      <c r="I86" s="10"/>
    </row>
    <row r="87" spans="1:9" ht="26.1" customHeight="1" x14ac:dyDescent="0.2">
      <c r="A87" s="224" t="s">
        <v>171</v>
      </c>
      <c r="B87" s="225"/>
      <c r="C87" s="125"/>
      <c r="D87" s="11"/>
      <c r="E87" s="15" t="s">
        <v>172</v>
      </c>
      <c r="F87" s="125" t="b">
        <f>IF(C87="Yes","N/A", IF(C87="N/A","N/A", IF(C87="Continuous","N/A")))</f>
        <v>0</v>
      </c>
      <c r="G87" s="222" t="b">
        <f>IF(C87="No","mm from outside right hand seal")</f>
        <v>0</v>
      </c>
      <c r="H87" s="222"/>
      <c r="I87" s="223"/>
    </row>
    <row r="88" spans="1:9" ht="6.95" customHeight="1" x14ac:dyDescent="0.2">
      <c r="A88" s="27"/>
      <c r="B88" s="27"/>
      <c r="C88" s="33"/>
      <c r="D88" s="11"/>
      <c r="E88" s="27"/>
      <c r="F88" s="32"/>
      <c r="G88" s="32"/>
      <c r="H88" s="32"/>
      <c r="I88" s="32"/>
    </row>
    <row r="89" spans="1:9" ht="26.1" customHeight="1" x14ac:dyDescent="0.2">
      <c r="A89" s="224" t="s">
        <v>175</v>
      </c>
      <c r="B89" s="225"/>
      <c r="C89" s="125"/>
      <c r="D89" s="11"/>
      <c r="E89" s="15" t="s">
        <v>176</v>
      </c>
      <c r="F89" s="113" t="b">
        <f>IF(C89="Yes","N/A", IF(C89="N/A","N/A"))</f>
        <v>0</v>
      </c>
      <c r="G89" s="222" t="b">
        <f>IF(C89="No","mm to outside seal",IF(C89="Continuous","mm to outside seal"))</f>
        <v>0</v>
      </c>
      <c r="H89" s="222"/>
      <c r="I89" s="223"/>
    </row>
    <row r="90" spans="1:9" ht="6" customHeight="1" x14ac:dyDescent="0.2">
      <c r="B90" s="22"/>
      <c r="C90" s="32"/>
      <c r="D90" s="33"/>
      <c r="E90" s="33"/>
      <c r="F90" s="33"/>
      <c r="G90" s="33"/>
      <c r="H90" s="14"/>
      <c r="I90" s="14"/>
    </row>
    <row r="91" spans="1:9" ht="21" customHeight="1" x14ac:dyDescent="0.2">
      <c r="A91" s="221" t="s">
        <v>88</v>
      </c>
      <c r="B91" s="221"/>
      <c r="C91" s="221"/>
      <c r="D91" s="221"/>
      <c r="E91" s="221"/>
      <c r="F91" s="221"/>
      <c r="G91" s="221"/>
      <c r="H91" s="221"/>
      <c r="I91" s="4"/>
    </row>
    <row r="92" spans="1:9" ht="6.95" customHeight="1" x14ac:dyDescent="0.2"/>
    <row r="93" spans="1:9" x14ac:dyDescent="0.2">
      <c r="A93" s="131"/>
      <c r="B93" s="131"/>
      <c r="C93" s="131"/>
      <c r="D93" s="131"/>
      <c r="E93" s="131"/>
      <c r="F93" s="131"/>
      <c r="G93" s="131"/>
      <c r="H93" s="131"/>
      <c r="I93" s="131"/>
    </row>
    <row r="94" spans="1:9" x14ac:dyDescent="0.2">
      <c r="A94" s="131"/>
      <c r="B94" s="131"/>
      <c r="C94" s="131"/>
      <c r="D94" s="131"/>
      <c r="E94" s="131"/>
      <c r="F94" s="131"/>
      <c r="G94" s="131"/>
      <c r="H94" s="131"/>
      <c r="I94" s="131"/>
    </row>
    <row r="95" spans="1:9" x14ac:dyDescent="0.2">
      <c r="A95" s="131"/>
      <c r="B95" s="131"/>
      <c r="C95" s="131"/>
      <c r="D95" s="131"/>
      <c r="E95" s="131"/>
      <c r="F95" s="131"/>
      <c r="G95" s="131"/>
      <c r="H95" s="131"/>
      <c r="I95" s="131"/>
    </row>
    <row r="96" spans="1:9" x14ac:dyDescent="0.2">
      <c r="A96" s="131"/>
      <c r="B96" s="131"/>
      <c r="C96" s="131"/>
      <c r="D96" s="131"/>
      <c r="E96" s="131"/>
      <c r="F96" s="131"/>
      <c r="G96" s="131"/>
      <c r="H96" s="131"/>
      <c r="I96" s="131"/>
    </row>
    <row r="97" spans="1:9" x14ac:dyDescent="0.2">
      <c r="A97" s="131"/>
      <c r="B97" s="131"/>
      <c r="C97" s="131"/>
      <c r="D97" s="131"/>
      <c r="E97" s="131"/>
      <c r="F97" s="131"/>
      <c r="G97" s="131"/>
      <c r="H97" s="131"/>
      <c r="I97" s="131"/>
    </row>
    <row r="98" spans="1:9" x14ac:dyDescent="0.2">
      <c r="A98" s="131"/>
      <c r="B98" s="131"/>
      <c r="C98" s="131"/>
      <c r="D98" s="131"/>
      <c r="E98" s="131"/>
      <c r="F98" s="131"/>
      <c r="G98" s="131"/>
      <c r="H98" s="131"/>
      <c r="I98" s="131"/>
    </row>
    <row r="99" spans="1:9" x14ac:dyDescent="0.2">
      <c r="A99" s="131"/>
      <c r="B99" s="131"/>
      <c r="C99" s="131"/>
      <c r="D99" s="131"/>
      <c r="E99" s="131"/>
      <c r="F99" s="131"/>
      <c r="G99" s="131"/>
      <c r="H99" s="131"/>
      <c r="I99" s="131"/>
    </row>
    <row r="100" spans="1:9" x14ac:dyDescent="0.2">
      <c r="A100" s="131"/>
      <c r="B100" s="131"/>
      <c r="C100" s="131"/>
      <c r="D100" s="131"/>
      <c r="E100" s="131"/>
      <c r="F100" s="131"/>
      <c r="G100" s="131"/>
      <c r="H100" s="131"/>
      <c r="I100" s="131"/>
    </row>
    <row r="101" spans="1:9" x14ac:dyDescent="0.2">
      <c r="A101" s="131"/>
      <c r="B101" s="131"/>
      <c r="C101" s="131"/>
      <c r="D101" s="131"/>
      <c r="E101" s="131"/>
      <c r="F101" s="131"/>
      <c r="G101" s="131"/>
      <c r="H101" s="131"/>
      <c r="I101" s="131"/>
    </row>
    <row r="102" spans="1:9" x14ac:dyDescent="0.2">
      <c r="A102" s="131"/>
      <c r="B102" s="131"/>
      <c r="C102" s="131"/>
      <c r="D102" s="131"/>
      <c r="E102" s="131"/>
      <c r="F102" s="131"/>
      <c r="G102" s="131"/>
      <c r="H102" s="131"/>
      <c r="I102" s="131"/>
    </row>
    <row r="103" spans="1:9" x14ac:dyDescent="0.2">
      <c r="A103" s="131"/>
      <c r="B103" s="131"/>
      <c r="C103" s="131"/>
      <c r="D103" s="131"/>
      <c r="E103" s="131"/>
      <c r="F103" s="131"/>
      <c r="G103" s="131"/>
      <c r="H103" s="131"/>
      <c r="I103" s="131"/>
    </row>
    <row r="104" spans="1:9" x14ac:dyDescent="0.2">
      <c r="A104" s="131"/>
      <c r="B104" s="131"/>
      <c r="C104" s="131"/>
      <c r="D104" s="131"/>
      <c r="E104" s="131"/>
      <c r="F104" s="131"/>
      <c r="G104" s="131"/>
      <c r="H104" s="131"/>
      <c r="I104" s="131"/>
    </row>
    <row r="105" spans="1:9" x14ac:dyDescent="0.2">
      <c r="A105" s="131"/>
      <c r="B105" s="131"/>
      <c r="C105" s="131"/>
      <c r="D105" s="131"/>
      <c r="E105" s="131"/>
      <c r="F105" s="131"/>
      <c r="G105" s="131"/>
      <c r="H105" s="131"/>
      <c r="I105" s="131"/>
    </row>
    <row r="106" spans="1:9" x14ac:dyDescent="0.2">
      <c r="A106" s="131"/>
      <c r="B106" s="131"/>
      <c r="C106" s="131"/>
      <c r="D106" s="131"/>
      <c r="E106" s="131"/>
      <c r="F106" s="131"/>
      <c r="G106" s="131"/>
      <c r="H106" s="131"/>
      <c r="I106" s="131"/>
    </row>
    <row r="107" spans="1:9" x14ac:dyDescent="0.2">
      <c r="A107" s="131"/>
      <c r="B107" s="131"/>
      <c r="C107" s="131"/>
      <c r="D107" s="131"/>
      <c r="E107" s="131"/>
      <c r="F107" s="131"/>
      <c r="G107" s="131"/>
      <c r="H107" s="131"/>
      <c r="I107" s="131"/>
    </row>
    <row r="108" spans="1:9" x14ac:dyDescent="0.2">
      <c r="A108" s="131"/>
      <c r="B108" s="131"/>
      <c r="C108" s="131"/>
      <c r="D108" s="131"/>
      <c r="E108" s="131"/>
      <c r="F108" s="131"/>
      <c r="G108" s="131"/>
      <c r="H108" s="131"/>
      <c r="I108" s="131"/>
    </row>
    <row r="109" spans="1:9" x14ac:dyDescent="0.2">
      <c r="A109" s="131"/>
      <c r="B109" s="131"/>
      <c r="C109" s="131"/>
      <c r="D109" s="131"/>
      <c r="E109" s="131"/>
      <c r="F109" s="131"/>
      <c r="G109" s="131"/>
      <c r="H109" s="131"/>
      <c r="I109" s="131"/>
    </row>
    <row r="110" spans="1:9" x14ac:dyDescent="0.2">
      <c r="A110" s="131"/>
      <c r="B110" s="131"/>
      <c r="C110" s="131"/>
      <c r="D110" s="131"/>
      <c r="E110" s="131"/>
      <c r="F110" s="131"/>
      <c r="G110" s="131"/>
      <c r="H110" s="131"/>
      <c r="I110" s="131"/>
    </row>
    <row r="111" spans="1:9" x14ac:dyDescent="0.2">
      <c r="A111" s="131"/>
      <c r="B111" s="131"/>
      <c r="C111" s="131"/>
      <c r="D111" s="131"/>
      <c r="E111" s="131"/>
      <c r="F111" s="131"/>
      <c r="G111" s="131"/>
      <c r="H111" s="131"/>
      <c r="I111" s="131"/>
    </row>
    <row r="112" spans="1:9" x14ac:dyDescent="0.2">
      <c r="A112" s="131"/>
      <c r="B112" s="131"/>
      <c r="C112" s="131"/>
      <c r="D112" s="131"/>
      <c r="E112" s="131"/>
      <c r="F112" s="131"/>
      <c r="G112" s="131"/>
      <c r="H112" s="131"/>
      <c r="I112" s="131"/>
    </row>
    <row r="113" spans="1:9" x14ac:dyDescent="0.2">
      <c r="A113" s="131"/>
      <c r="B113" s="131"/>
      <c r="C113" s="131"/>
      <c r="D113" s="131"/>
      <c r="E113" s="131"/>
      <c r="F113" s="131"/>
      <c r="G113" s="131"/>
      <c r="H113" s="131"/>
      <c r="I113" s="131"/>
    </row>
    <row r="114" spans="1:9" x14ac:dyDescent="0.2">
      <c r="A114" s="131"/>
      <c r="B114" s="131"/>
      <c r="C114" s="131"/>
      <c r="D114" s="131"/>
      <c r="E114" s="131"/>
      <c r="F114" s="131"/>
      <c r="G114" s="131"/>
      <c r="H114" s="131"/>
      <c r="I114" s="131"/>
    </row>
    <row r="115" spans="1:9" x14ac:dyDescent="0.2">
      <c r="A115" s="131"/>
      <c r="B115" s="131"/>
      <c r="C115" s="131"/>
      <c r="D115" s="131"/>
      <c r="E115" s="131"/>
      <c r="F115" s="131"/>
      <c r="G115" s="131"/>
      <c r="H115" s="131"/>
      <c r="I115" s="131"/>
    </row>
    <row r="116" spans="1:9" x14ac:dyDescent="0.2">
      <c r="A116" s="131"/>
      <c r="B116" s="131"/>
      <c r="C116" s="131"/>
      <c r="D116" s="131"/>
      <c r="E116" s="131"/>
      <c r="F116" s="131"/>
      <c r="G116" s="131"/>
      <c r="H116" s="131"/>
      <c r="I116" s="131"/>
    </row>
    <row r="117" spans="1:9" x14ac:dyDescent="0.2">
      <c r="A117" s="131"/>
      <c r="B117" s="131"/>
      <c r="C117" s="131"/>
      <c r="D117" s="131"/>
      <c r="E117" s="131"/>
      <c r="F117" s="131"/>
      <c r="G117" s="131"/>
      <c r="H117" s="131"/>
      <c r="I117" s="131"/>
    </row>
    <row r="118" spans="1:9" x14ac:dyDescent="0.2">
      <c r="A118" s="131"/>
      <c r="B118" s="131"/>
      <c r="C118" s="131"/>
      <c r="D118" s="131"/>
      <c r="E118" s="131"/>
      <c r="F118" s="131"/>
      <c r="G118" s="131"/>
      <c r="H118" s="131"/>
      <c r="I118" s="131"/>
    </row>
    <row r="119" spans="1:9" x14ac:dyDescent="0.2">
      <c r="A119" s="131"/>
      <c r="B119" s="131"/>
      <c r="C119" s="131"/>
      <c r="D119" s="131"/>
      <c r="E119" s="131"/>
      <c r="F119" s="131"/>
      <c r="G119" s="131"/>
      <c r="H119" s="131"/>
      <c r="I119" s="131"/>
    </row>
    <row r="120" spans="1:9" x14ac:dyDescent="0.2">
      <c r="A120" s="131"/>
      <c r="B120" s="131"/>
      <c r="C120" s="131"/>
      <c r="D120" s="131"/>
      <c r="E120" s="131"/>
      <c r="F120" s="131"/>
      <c r="G120" s="131"/>
      <c r="H120" s="131"/>
      <c r="I120" s="131"/>
    </row>
    <row r="121" spans="1:9" x14ac:dyDescent="0.2">
      <c r="A121" s="131"/>
      <c r="B121" s="131"/>
      <c r="C121" s="131"/>
      <c r="D121" s="131"/>
      <c r="E121" s="131"/>
      <c r="F121" s="131"/>
      <c r="G121" s="131"/>
      <c r="H121" s="131"/>
      <c r="I121" s="131"/>
    </row>
    <row r="122" spans="1:9" x14ac:dyDescent="0.2">
      <c r="A122" s="131"/>
      <c r="B122" s="131"/>
      <c r="C122" s="131"/>
      <c r="D122" s="131"/>
      <c r="E122" s="131"/>
      <c r="F122" s="131"/>
      <c r="G122" s="131"/>
      <c r="H122" s="131"/>
      <c r="I122" s="131"/>
    </row>
    <row r="123" spans="1:9" x14ac:dyDescent="0.2">
      <c r="A123" s="131"/>
      <c r="B123" s="131"/>
      <c r="C123" s="131"/>
      <c r="D123" s="131"/>
      <c r="E123" s="131"/>
      <c r="F123" s="131"/>
      <c r="G123" s="131"/>
      <c r="H123" s="131"/>
      <c r="I123" s="131"/>
    </row>
    <row r="124" spans="1:9" x14ac:dyDescent="0.2">
      <c r="A124" s="131"/>
      <c r="B124" s="131"/>
      <c r="C124" s="131"/>
      <c r="D124" s="131"/>
      <c r="E124" s="131"/>
      <c r="F124" s="131"/>
      <c r="G124" s="131"/>
      <c r="H124" s="131"/>
      <c r="I124" s="131"/>
    </row>
    <row r="125" spans="1:9" x14ac:dyDescent="0.2">
      <c r="A125" s="131"/>
      <c r="B125" s="131"/>
      <c r="C125" s="131"/>
      <c r="D125" s="131"/>
      <c r="E125" s="131"/>
      <c r="F125" s="131"/>
      <c r="G125" s="131"/>
      <c r="H125" s="131"/>
      <c r="I125" s="131"/>
    </row>
    <row r="126" spans="1:9" x14ac:dyDescent="0.2">
      <c r="A126" s="131"/>
      <c r="B126" s="131"/>
      <c r="C126" s="131"/>
      <c r="D126" s="131"/>
      <c r="E126" s="131"/>
      <c r="F126" s="131"/>
      <c r="G126" s="131"/>
      <c r="H126" s="131"/>
      <c r="I126" s="131"/>
    </row>
    <row r="127" spans="1:9" x14ac:dyDescent="0.2">
      <c r="A127" s="131"/>
      <c r="B127" s="131"/>
      <c r="C127" s="131"/>
      <c r="D127" s="131"/>
      <c r="E127" s="131"/>
      <c r="F127" s="131"/>
      <c r="G127" s="131"/>
      <c r="H127" s="131"/>
      <c r="I127" s="131"/>
    </row>
    <row r="128" spans="1:9" x14ac:dyDescent="0.2">
      <c r="A128" s="131"/>
      <c r="B128" s="131"/>
      <c r="C128" s="131"/>
      <c r="D128" s="131"/>
      <c r="E128" s="131"/>
      <c r="F128" s="131"/>
      <c r="G128" s="131"/>
      <c r="H128" s="131"/>
      <c r="I128" s="131"/>
    </row>
    <row r="129" spans="1:9" x14ac:dyDescent="0.2">
      <c r="A129" s="131"/>
      <c r="B129" s="131"/>
      <c r="C129" s="131"/>
      <c r="D129" s="131"/>
      <c r="E129" s="131"/>
      <c r="F129" s="131"/>
      <c r="G129" s="131"/>
      <c r="H129" s="131"/>
      <c r="I129" s="131"/>
    </row>
    <row r="130" spans="1:9" x14ac:dyDescent="0.2">
      <c r="A130" s="131"/>
      <c r="B130" s="131"/>
      <c r="C130" s="131"/>
      <c r="D130" s="131"/>
      <c r="E130" s="131"/>
      <c r="F130" s="131"/>
      <c r="G130" s="131"/>
      <c r="H130" s="131"/>
      <c r="I130" s="131"/>
    </row>
    <row r="131" spans="1:9" x14ac:dyDescent="0.2">
      <c r="A131" s="131"/>
      <c r="B131" s="131"/>
      <c r="C131" s="131"/>
      <c r="D131" s="131"/>
      <c r="E131" s="131"/>
      <c r="F131" s="131"/>
      <c r="G131" s="131"/>
      <c r="H131" s="131"/>
      <c r="I131" s="131"/>
    </row>
    <row r="132" spans="1:9" x14ac:dyDescent="0.2">
      <c r="A132" s="131"/>
      <c r="B132" s="131"/>
      <c r="C132" s="131"/>
      <c r="D132" s="131"/>
      <c r="E132" s="131"/>
      <c r="F132" s="131"/>
      <c r="G132" s="131"/>
      <c r="H132" s="131"/>
      <c r="I132" s="131"/>
    </row>
    <row r="133" spans="1:9" x14ac:dyDescent="0.2">
      <c r="A133" s="131"/>
      <c r="B133" s="131"/>
      <c r="C133" s="131"/>
      <c r="D133" s="131"/>
      <c r="E133" s="131"/>
      <c r="F133" s="131"/>
      <c r="G133" s="131"/>
      <c r="H133" s="131"/>
      <c r="I133" s="131"/>
    </row>
    <row r="134" spans="1:9" x14ac:dyDescent="0.2">
      <c r="A134" s="131"/>
      <c r="B134" s="131"/>
      <c r="C134" s="131"/>
      <c r="D134" s="131"/>
      <c r="E134" s="131"/>
      <c r="F134" s="131"/>
      <c r="G134" s="131"/>
      <c r="H134" s="131"/>
      <c r="I134" s="131"/>
    </row>
    <row r="135" spans="1:9" x14ac:dyDescent="0.2">
      <c r="A135" s="131"/>
      <c r="B135" s="131"/>
      <c r="C135" s="131"/>
      <c r="D135" s="131"/>
      <c r="E135" s="131"/>
      <c r="F135" s="131"/>
      <c r="G135" s="131"/>
      <c r="H135" s="131"/>
      <c r="I135" s="131"/>
    </row>
    <row r="136" spans="1:9" x14ac:dyDescent="0.2">
      <c r="A136" s="131"/>
      <c r="B136" s="131"/>
      <c r="C136" s="131"/>
      <c r="D136" s="131"/>
      <c r="E136" s="131"/>
      <c r="F136" s="131"/>
      <c r="G136" s="131"/>
      <c r="H136" s="131"/>
      <c r="I136" s="131"/>
    </row>
    <row r="137" spans="1:9" x14ac:dyDescent="0.2">
      <c r="A137" s="131"/>
      <c r="B137" s="131"/>
      <c r="C137" s="131"/>
      <c r="D137" s="131"/>
      <c r="E137" s="131"/>
      <c r="F137" s="131"/>
      <c r="G137" s="131"/>
      <c r="H137" s="131"/>
      <c r="I137" s="131"/>
    </row>
    <row r="138" spans="1:9" x14ac:dyDescent="0.2">
      <c r="A138" s="131"/>
      <c r="B138" s="131"/>
      <c r="C138" s="131"/>
      <c r="D138" s="131"/>
      <c r="E138" s="131"/>
      <c r="F138" s="131"/>
      <c r="G138" s="131"/>
      <c r="H138" s="131"/>
      <c r="I138" s="131"/>
    </row>
    <row r="139" spans="1:9" x14ac:dyDescent="0.2">
      <c r="A139" s="131"/>
      <c r="B139" s="131"/>
      <c r="C139" s="131"/>
      <c r="D139" s="131"/>
      <c r="E139" s="131"/>
      <c r="F139" s="131"/>
      <c r="G139" s="131"/>
      <c r="H139" s="131"/>
      <c r="I139" s="131"/>
    </row>
    <row r="140" spans="1:9" x14ac:dyDescent="0.2">
      <c r="A140" s="131"/>
      <c r="B140" s="131"/>
      <c r="C140" s="131"/>
      <c r="D140" s="131"/>
      <c r="E140" s="131"/>
      <c r="F140" s="131"/>
      <c r="G140" s="131"/>
      <c r="H140" s="131"/>
      <c r="I140" s="131"/>
    </row>
    <row r="141" spans="1:9" x14ac:dyDescent="0.2">
      <c r="A141" s="131"/>
      <c r="B141" s="131"/>
      <c r="C141" s="131"/>
      <c r="D141" s="131"/>
      <c r="E141" s="131"/>
      <c r="F141" s="131"/>
      <c r="G141" s="131"/>
      <c r="H141" s="131"/>
      <c r="I141" s="131"/>
    </row>
    <row r="142" spans="1:9" x14ac:dyDescent="0.2">
      <c r="A142" s="131"/>
      <c r="B142" s="131"/>
      <c r="C142" s="131"/>
      <c r="D142" s="131"/>
      <c r="E142" s="131"/>
      <c r="F142" s="131"/>
      <c r="G142" s="131"/>
      <c r="H142" s="131"/>
      <c r="I142" s="131"/>
    </row>
    <row r="143" spans="1:9" x14ac:dyDescent="0.2">
      <c r="A143" s="130"/>
      <c r="B143" s="130"/>
      <c r="C143" s="130"/>
      <c r="D143" s="130"/>
      <c r="E143" s="130"/>
      <c r="F143" s="130"/>
      <c r="G143" s="130"/>
      <c r="H143" s="130"/>
      <c r="I143" s="130"/>
    </row>
    <row r="144" spans="1:9" x14ac:dyDescent="0.2">
      <c r="A144" s="130"/>
      <c r="B144" s="130"/>
      <c r="C144" s="130"/>
      <c r="D144" s="130"/>
      <c r="E144" s="130"/>
      <c r="F144" s="130"/>
      <c r="G144" s="130"/>
      <c r="H144" s="130"/>
      <c r="I144" s="130"/>
    </row>
    <row r="145" spans="2:9" x14ac:dyDescent="0.2">
      <c r="B145" s="48"/>
      <c r="C145" s="48"/>
      <c r="D145" s="48"/>
      <c r="E145" s="48"/>
      <c r="F145" s="48"/>
      <c r="G145" s="48"/>
      <c r="H145" s="48"/>
      <c r="I145" s="48"/>
    </row>
    <row r="146" spans="2:9" x14ac:dyDescent="0.2">
      <c r="B146" s="48"/>
      <c r="C146" s="48"/>
      <c r="D146" s="48"/>
      <c r="E146" s="48"/>
      <c r="F146" s="48"/>
      <c r="G146" s="48"/>
      <c r="H146" s="48"/>
      <c r="I146" s="48"/>
    </row>
    <row r="147" spans="2:9" x14ac:dyDescent="0.2">
      <c r="B147" s="48"/>
      <c r="C147" s="48"/>
      <c r="D147" s="48"/>
      <c r="E147" s="48"/>
      <c r="F147" s="48"/>
      <c r="G147" s="48"/>
      <c r="H147" s="48"/>
      <c r="I147" s="48"/>
    </row>
  </sheetData>
  <sheetProtection sheet="1" objects="1" scenarios="1" insertHyperlinks="0"/>
  <mergeCells count="75">
    <mergeCell ref="G89:I89"/>
    <mergeCell ref="A83:B83"/>
    <mergeCell ref="A85:B85"/>
    <mergeCell ref="A89:B89"/>
    <mergeCell ref="C83:D83"/>
    <mergeCell ref="A87:B87"/>
    <mergeCell ref="G83:H83"/>
    <mergeCell ref="A47:B47"/>
    <mergeCell ref="A51:E51"/>
    <mergeCell ref="C81:D81"/>
    <mergeCell ref="A1:I1"/>
    <mergeCell ref="A15:C15"/>
    <mergeCell ref="G69:H69"/>
    <mergeCell ref="A63:B63"/>
    <mergeCell ref="C9:F9"/>
    <mergeCell ref="C11:F11"/>
    <mergeCell ref="C13:F13"/>
    <mergeCell ref="F39:I39"/>
    <mergeCell ref="F47:I47"/>
    <mergeCell ref="F49:I49"/>
    <mergeCell ref="A29:B29"/>
    <mergeCell ref="G81:H81"/>
    <mergeCell ref="A77:B77"/>
    <mergeCell ref="C77:F77"/>
    <mergeCell ref="F53:I53"/>
    <mergeCell ref="G75:I75"/>
    <mergeCell ref="C67:D67"/>
    <mergeCell ref="A71:B71"/>
    <mergeCell ref="A67:B67"/>
    <mergeCell ref="C65:F65"/>
    <mergeCell ref="A75:B75"/>
    <mergeCell ref="A59:E59"/>
    <mergeCell ref="A69:B69"/>
    <mergeCell ref="C69:D69"/>
    <mergeCell ref="F35:H35"/>
    <mergeCell ref="A7:B7"/>
    <mergeCell ref="A21:B21"/>
    <mergeCell ref="C17:I19"/>
    <mergeCell ref="F37:H37"/>
    <mergeCell ref="H31:I31"/>
    <mergeCell ref="A33:B33"/>
    <mergeCell ref="A35:B35"/>
    <mergeCell ref="C33:F33"/>
    <mergeCell ref="A91:H91"/>
    <mergeCell ref="G73:I73"/>
    <mergeCell ref="A43:B43"/>
    <mergeCell ref="A45:B45"/>
    <mergeCell ref="A73:B73"/>
    <mergeCell ref="G87:I87"/>
    <mergeCell ref="A81:B81"/>
    <mergeCell ref="F57:I57"/>
    <mergeCell ref="E61:I61"/>
    <mergeCell ref="A49:B49"/>
    <mergeCell ref="F55:I55"/>
    <mergeCell ref="G67:H67"/>
    <mergeCell ref="A57:B57"/>
    <mergeCell ref="A58:I58"/>
    <mergeCell ref="A53:C55"/>
    <mergeCell ref="A61:B61"/>
    <mergeCell ref="A3:B3"/>
    <mergeCell ref="A78:I80"/>
    <mergeCell ref="A25:B25"/>
    <mergeCell ref="A31:B31"/>
    <mergeCell ref="C31:F31"/>
    <mergeCell ref="C3:F3"/>
    <mergeCell ref="A37:B37"/>
    <mergeCell ref="A39:B39"/>
    <mergeCell ref="A27:B27"/>
    <mergeCell ref="C5:F5"/>
    <mergeCell ref="C7:F7"/>
    <mergeCell ref="A5:B5"/>
    <mergeCell ref="A13:B13"/>
    <mergeCell ref="A23:B23"/>
    <mergeCell ref="A9:B9"/>
    <mergeCell ref="A41:B41"/>
  </mergeCells>
  <phoneticPr fontId="4" type="noConversion"/>
  <conditionalFormatting sqref="I71 I85">
    <cfRule type="cellIs" dxfId="60" priority="84" stopIfTrue="1" operator="equal">
      <formula>"yes"</formula>
    </cfRule>
  </conditionalFormatting>
  <conditionalFormatting sqref="I23 C43 F43 F41 I33 F35">
    <cfRule type="cellIs" dxfId="59" priority="91" stopIfTrue="1" operator="equal">
      <formula>FALSE</formula>
    </cfRule>
  </conditionalFormatting>
  <conditionalFormatting sqref="F29 C29 F89 F87 F73 F75">
    <cfRule type="cellIs" dxfId="58" priority="92" stopIfTrue="1" operator="equal">
      <formula>FALSE</formula>
    </cfRule>
  </conditionalFormatting>
  <conditionalFormatting sqref="G73:I73 G87:I87 G75:I75 G89:I89">
    <cfRule type="cellIs" dxfId="57" priority="93" stopIfTrue="1" operator="equal">
      <formula>FALSE</formula>
    </cfRule>
  </conditionalFormatting>
  <conditionalFormatting sqref="C23">
    <cfRule type="cellIs" dxfId="56" priority="96" stopIfTrue="1" operator="equal">
      <formula>FALSE</formula>
    </cfRule>
  </conditionalFormatting>
  <conditionalFormatting sqref="C77:I77 C65:F65">
    <cfRule type="cellIs" dxfId="55" priority="98" stopIfTrue="1" operator="equal">
      <formula>"* * * N O T   A P P L I C A B L E * * *"</formula>
    </cfRule>
  </conditionalFormatting>
  <conditionalFormatting sqref="I43">
    <cfRule type="cellIs" dxfId="54" priority="101" stopIfTrue="1" operator="equal">
      <formula>FALSE</formula>
    </cfRule>
  </conditionalFormatting>
  <conditionalFormatting sqref="B11">
    <cfRule type="cellIs" dxfId="53" priority="77" operator="notEqual">
      <formula>0</formula>
    </cfRule>
    <cfRule type="cellIs" dxfId="52" priority="78" operator="equal">
      <formula>0</formula>
    </cfRule>
  </conditionalFormatting>
  <conditionalFormatting sqref="C65:F65 C77:F77">
    <cfRule type="cellIs" dxfId="51" priority="97" stopIfTrue="1" operator="equal">
      <formula>FALSE</formula>
    </cfRule>
  </conditionalFormatting>
  <conditionalFormatting sqref="F39:I39">
    <cfRule type="containsText" dxfId="50" priority="52" operator="containsText" text="Enter position and distance">
      <formula>NOT(ISERROR(SEARCH("Enter position and distance",F39)))</formula>
    </cfRule>
    <cfRule type="notContainsText" dxfId="49" priority="61" operator="notContains" text="FALSE">
      <formula>ISERROR(SEARCH("FALSE",F39))</formula>
    </cfRule>
  </conditionalFormatting>
  <conditionalFormatting sqref="I35">
    <cfRule type="containsText" dxfId="48" priority="55" operator="containsText" text="Enter distance">
      <formula>NOT(ISERROR(SEARCH("Enter distance",I35)))</formula>
    </cfRule>
    <cfRule type="containsText" dxfId="47" priority="56" operator="containsText" text="FALSE">
      <formula>NOT(ISERROR(SEARCH("FALSE",I35)))</formula>
    </cfRule>
  </conditionalFormatting>
  <conditionalFormatting sqref="I37">
    <cfRule type="containsText" dxfId="46" priority="53" operator="containsText" text="Enter distance">
      <formula>NOT(ISERROR(SEARCH("Enter distance",I37)))</formula>
    </cfRule>
    <cfRule type="containsText" dxfId="45" priority="54" operator="containsText" text="FALSE">
      <formula>NOT(ISERROR(SEARCH("FALSE",I37)))</formula>
    </cfRule>
  </conditionalFormatting>
  <conditionalFormatting sqref="F53:I53">
    <cfRule type="containsText" dxfId="44" priority="49" operator="containsText" text="FALSE">
      <formula>NOT(ISERROR(SEARCH("FALSE",F53)))</formula>
    </cfRule>
    <cfRule type="containsText" dxfId="43" priority="123" stopIfTrue="1" operator="containsText" text="Indicate">
      <formula>NOT(ISERROR(SEARCH("Indicate",F53)))</formula>
    </cfRule>
  </conditionalFormatting>
  <conditionalFormatting sqref="A31">
    <cfRule type="cellIs" dxfId="42" priority="32" stopIfTrue="1" operator="equal">
      <formula>FALSE</formula>
    </cfRule>
    <cfRule type="cellIs" dxfId="41" priority="33" stopIfTrue="1" operator="notEqual">
      <formula>FALSE</formula>
    </cfRule>
  </conditionalFormatting>
  <conditionalFormatting sqref="C27">
    <cfRule type="cellIs" dxfId="40" priority="31" stopIfTrue="1" operator="equal">
      <formula>FALSE</formula>
    </cfRule>
  </conditionalFormatting>
  <conditionalFormatting sqref="C25">
    <cfRule type="containsText" dxfId="39" priority="29" stopIfTrue="1" operator="containsText" text="FALSE">
      <formula>NOT(ISERROR(SEARCH("FALSE",C25)))</formula>
    </cfRule>
  </conditionalFormatting>
  <conditionalFormatting sqref="F25">
    <cfRule type="cellIs" dxfId="38" priority="27" stopIfTrue="1" operator="equal">
      <formula>FALSE</formula>
    </cfRule>
  </conditionalFormatting>
  <conditionalFormatting sqref="A29">
    <cfRule type="cellIs" dxfId="37" priority="25" stopIfTrue="1" operator="equal">
      <formula>FALSE</formula>
    </cfRule>
    <cfRule type="cellIs" dxfId="36" priority="26" stopIfTrue="1" operator="notEqual">
      <formula>FALSE</formula>
    </cfRule>
  </conditionalFormatting>
  <conditionalFormatting sqref="E29">
    <cfRule type="cellIs" dxfId="35" priority="23" stopIfTrue="1" operator="equal">
      <formula>FALSE</formula>
    </cfRule>
    <cfRule type="cellIs" dxfId="34" priority="24" stopIfTrue="1" operator="notEqual">
      <formula>FALSE</formula>
    </cfRule>
  </conditionalFormatting>
  <conditionalFormatting sqref="F37">
    <cfRule type="cellIs" dxfId="33" priority="22" stopIfTrue="1" operator="equal">
      <formula>FALSE</formula>
    </cfRule>
  </conditionalFormatting>
  <conditionalFormatting sqref="I29">
    <cfRule type="containsText" dxfId="32" priority="21" operator="containsText" text="FALSE">
      <formula>NOT(ISERROR(SEARCH("FALSE",I29)))</formula>
    </cfRule>
  </conditionalFormatting>
  <conditionalFormatting sqref="C37">
    <cfRule type="containsText" dxfId="31" priority="20" operator="containsText" text="FALSE">
      <formula>NOT(ISERROR(SEARCH("FALSE",C37)))</formula>
    </cfRule>
  </conditionalFormatting>
  <conditionalFormatting sqref="F27">
    <cfRule type="containsText" dxfId="30" priority="19" operator="containsText" text="FALSE">
      <formula>NOT(ISERROR(SEARCH("FALSE",F27)))</formula>
    </cfRule>
  </conditionalFormatting>
  <conditionalFormatting sqref="F23">
    <cfRule type="containsText" dxfId="29" priority="18" operator="containsText" text="FALSE">
      <formula>NOT(ISERROR(SEARCH("FALSE",F23)))</formula>
    </cfRule>
  </conditionalFormatting>
  <conditionalFormatting sqref="C33:F33">
    <cfRule type="containsText" dxfId="28" priority="17" operator="containsText" text="FALSE">
      <formula>NOT(ISERROR(SEARCH("FALSE",C33)))</formula>
    </cfRule>
  </conditionalFormatting>
  <conditionalFormatting sqref="C41">
    <cfRule type="containsText" dxfId="27" priority="16" operator="containsText" text="FALSE">
      <formula>NOT(ISERROR(SEARCH("FALSE",C41)))</formula>
    </cfRule>
  </conditionalFormatting>
  <conditionalFormatting sqref="I41">
    <cfRule type="cellIs" dxfId="26" priority="15" stopIfTrue="1" operator="equal">
      <formula>FALSE</formula>
    </cfRule>
  </conditionalFormatting>
  <conditionalFormatting sqref="F49:I49">
    <cfRule type="containsText" dxfId="25" priority="1" operator="containsText" text="See comments section for position details">
      <formula>NOT(ISERROR(SEARCH("See comments section for position details",F49)))</formula>
    </cfRule>
    <cfRule type="containsText" dxfId="24" priority="13" operator="containsText" text="Enter position and distance">
      <formula>NOT(ISERROR(SEARCH("Enter position and distance",F49)))</formula>
    </cfRule>
    <cfRule type="containsText" dxfId="23" priority="14" operator="containsText" text="FALSE">
      <formula>NOT(ISERROR(SEARCH("FALSE",F49)))</formula>
    </cfRule>
  </conditionalFormatting>
  <conditionalFormatting sqref="F47:I47">
    <cfRule type="containsText" dxfId="22" priority="10" operator="containsText" text="Enter position and distance">
      <formula>NOT(ISERROR(SEARCH("Enter position and distance",F47)))</formula>
    </cfRule>
    <cfRule type="containsText" dxfId="21" priority="12" operator="containsText" text="FALSE">
      <formula>NOT(ISERROR(SEARCH("FALSE",F47)))</formula>
    </cfRule>
  </conditionalFormatting>
  <conditionalFormatting sqref="C45">
    <cfRule type="containsText" dxfId="20" priority="9" operator="containsText" text="FALSE">
      <formula>NOT(ISERROR(SEARCH("FALSE",C45)))</formula>
    </cfRule>
  </conditionalFormatting>
  <conditionalFormatting sqref="I27">
    <cfRule type="containsText" dxfId="19" priority="8" operator="containsText" text="FALSE">
      <formula>NOT(ISERROR(SEARCH("FALSE",I27)))</formula>
    </cfRule>
  </conditionalFormatting>
  <conditionalFormatting sqref="H21">
    <cfRule type="cellIs" dxfId="18" priority="6" stopIfTrue="1" operator="equal">
      <formula>FALSE</formula>
    </cfRule>
    <cfRule type="cellIs" dxfId="17" priority="7" stopIfTrue="1" operator="notEqual">
      <formula>FALSE</formula>
    </cfRule>
  </conditionalFormatting>
  <conditionalFormatting sqref="I25">
    <cfRule type="cellIs" dxfId="16" priority="5" stopIfTrue="1" operator="equal">
      <formula>FALSE</formula>
    </cfRule>
  </conditionalFormatting>
  <conditionalFormatting sqref="H25">
    <cfRule type="cellIs" dxfId="15" priority="3" stopIfTrue="1" operator="equal">
      <formula>FALSE</formula>
    </cfRule>
    <cfRule type="cellIs" dxfId="14" priority="4" stopIfTrue="1" operator="notEqual">
      <formula>FALSE</formula>
    </cfRule>
  </conditionalFormatting>
  <conditionalFormatting sqref="A58:I58">
    <cfRule type="containsText" dxfId="13" priority="2" operator="containsText" text="FALSE">
      <formula>NOT(ISERROR(SEARCH("FALSE",A58)))</formula>
    </cfRule>
  </conditionalFormatting>
  <dataValidations xWindow="213" yWindow="608" count="45">
    <dataValidation type="textLength" allowBlank="1" showInputMessage="1" showErrorMessage="1" sqref="I12">
      <formula1>1</formula1>
      <formula2>25</formula2>
    </dataValidation>
    <dataValidation type="textLength" allowBlank="1" showInputMessage="1" showErrorMessage="1" sqref="I7 I3 I5">
      <formula1>1</formula1>
      <formula2>15</formula2>
    </dataValidation>
    <dataValidation type="whole" showInputMessage="1" showErrorMessage="1" sqref="I9">
      <formula1>1</formula1>
      <formula2>50</formula2>
    </dataValidation>
    <dataValidation type="list" allowBlank="1" showInputMessage="1" showErrorMessage="1" prompt="Select Yes or No" sqref="C41">
      <formula1>"Yes, No"</formula1>
    </dataValidation>
    <dataValidation type="list" allowBlank="1" showInputMessage="1" showErrorMessage="1" prompt="Choose Print Type" sqref="C62">
      <formula1>"MCP, Line, Process"</formula1>
    </dataValidation>
    <dataValidation allowBlank="1" showInputMessage="1" showErrorMessage="1" prompt="If &quot;No&quot; selected, indicate print position" sqref="F74:G74 F88:I88"/>
    <dataValidation type="list" allowBlank="1" showInputMessage="1" showErrorMessage="1" prompt="Select colour match option" sqref="C63">
      <formula1>"Sample, PMS, Other (see comments)"</formula1>
    </dataValidation>
    <dataValidation type="textLength" showInputMessage="1" showErrorMessage="1" sqref="C12:F13 C9:F9">
      <formula1>1</formula1>
      <formula2>70</formula2>
    </dataValidation>
    <dataValidation type="list" allowBlank="1" showInputMessage="1" showErrorMessage="1" prompt="Select applicable option" sqref="C45">
      <formula1>"N/A, Rounded Corners (Btm), Rounded Corners (Top), Rounded Corners (Top &amp; Btm),Corner Cut"</formula1>
    </dataValidation>
    <dataValidation showInputMessage="1" showErrorMessage="1" sqref="C44"/>
    <dataValidation type="list" allowBlank="1" showInputMessage="1" showErrorMessage="1" promptTitle="Enter # of colours" sqref="F63">
      <formula1>"1, 2, 3, 4, 5, 6, 7, 8, 9, 10, See Comments"</formula1>
    </dataValidation>
    <dataValidation type="list" allowBlank="1" showInputMessage="1" showErrorMessage="1" prompt="Enter print direction #" sqref="C71 C85">
      <formula1>"1, 2, 3, 4, 5, 6, 7, 8, Solid Colour, N/A"</formula1>
    </dataValidation>
    <dataValidation type="list" allowBlank="1" showInputMessage="1" showErrorMessage="1" prompt="Select type and size of hole or handle punch" sqref="C35">
      <formula1>"N/A,Round 1/8"" (3.2mm),Standard Round 1/4"" (6.4mm), Round 5/16"" (7.9mm),Round 3/8"" (9.5mm),Round 7/16"" (11.1mm),Round 1/2"" (12.7mm),Round 5/8"" (15.9mm),Delta (Sombrero),Racetrack Handle (Requires Quote),Cat's Eyes"</formula1>
    </dataValidation>
    <dataValidation type="list" allowBlank="1" showInputMessage="1" showErrorMessage="1" prompt="Choose print type" sqref="C61">
      <formula1>"MCP, Line, Process"</formula1>
    </dataValidation>
    <dataValidation allowBlank="1" showInputMessage="1" showErrorMessage="1" prompt="Select required side seal" sqref="A22:C22 E20:F20 E22:F22 D20:D22 B20:C20"/>
    <dataValidation type="textLength" showInputMessage="1" showErrorMessage="1" sqref="I11 I13">
      <formula1>1</formula1>
      <formula2>25</formula2>
    </dataValidation>
    <dataValidation type="textLength" allowBlank="1" showInputMessage="1" showErrorMessage="1" prompt="If RWC, indicate Movex Item #" sqref="F53">
      <formula1>1</formula1>
      <formula2>40</formula2>
    </dataValidation>
    <dataValidation type="list" allowBlank="1" showInputMessage="1" showErrorMessage="1" prompt="Select applicable option" sqref="C33:F33">
      <formula1>"N/A, Single (single layer) on Front, Single (single layer) on Back, Double (2 layer sealed) on Front, Double (2 layer sealed) on Back, Reinforced"</formula1>
    </dataValidation>
    <dataValidation type="list" allowBlank="1" showInputMessage="1" showErrorMessage="1" prompt="Select applicable option" sqref="I33">
      <formula1>"N/A, 3 mm, 6 mm, 36 mm, 38 mm, 50 mm, Other (See Comments)"</formula1>
    </dataValidation>
    <dataValidation type="list" allowBlank="1" showInputMessage="1" showErrorMessage="1" prompt="If applicable, select size" sqref="C43">
      <formula1>"N/A, 5/8"" (16 mm), 1/2"" (13 mm)"</formula1>
    </dataValidation>
    <dataValidation type="list" allowBlank="1" showInputMessage="1" showErrorMessage="1" prompt="If applicable, select position" sqref="F43">
      <formula1>"N/A, Insert from back, Insert from front"</formula1>
    </dataValidation>
    <dataValidation type="whole" allowBlank="1" showInputMessage="1" showErrorMessage="1" prompt="If applicable, key in number" sqref="I43">
      <formula1>1</formula1>
      <formula2>5000</formula2>
    </dataValidation>
    <dataValidation type="list" allowBlank="1" showInputMessage="1" showErrorMessage="1" prompt="Select applicable option" sqref="C39">
      <formula1>"N/A, Perf Line, Laser Score on front panel only, Laser Score on back panel only, Laser Score on both panels"</formula1>
    </dataValidation>
    <dataValidation allowBlank="1" showErrorMessage="1" sqref="H74:I74 F47:I47 F49:I49 H27"/>
    <dataValidation type="list" allowBlank="1" showInputMessage="1" showErrorMessage="1" prompt="Select appropriate option" sqref="C89 C73 C75 C87">
      <formula1>"Yes, No, Continuous, N/A"</formula1>
    </dataValidation>
    <dataValidation type="list" allowBlank="1" showInputMessage="1" showErrorMessage="1" prompt="Select appropriate option from list" sqref="F55:I55">
      <formula1>"Assessed art file, Assessed art file with changes (see comments), Sample, Sample with changes (see comments), Previous art with changes (see comments), Other (see comments)"</formula1>
    </dataValidation>
    <dataValidation type="textLength" allowBlank="1" showInputMessage="1" showErrorMessage="1" sqref="C5:F5 C11:F11 C7:F7">
      <formula1>1</formula1>
      <formula2>70</formula2>
    </dataValidation>
    <dataValidation allowBlank="1" showInputMessage="1" showErrorMessage="1" prompt="Begin typing additional instructions. Hit &quot;window key + alt&quot; then &quot;enter&quot; to add a new line of text." sqref="B145:I147"/>
    <dataValidation allowBlank="1" showInputMessage="1" showErrorMessage="1" prompt="Begin typing additional instructoins. Hit &quot;alt&quot; and &quot;enter&quot; to add a new line of text." sqref="A93:I144"/>
    <dataValidation type="list" allowBlank="1" showInputMessage="1" showErrorMessage="1" prompt="If applicable, select size" sqref="F41">
      <formula1>"N/A, 3 x 4 x 3, 4 x 2.5 x 4, 4 x 4 x 4, 4 x 5 x 4, 6 x 4 x 6, 7 x 5 x 7, 3.5 x 10 x 3.5, 2 x 8 x 2, 6 x 2.5 x 6, 6 x 4.5 x 6"</formula1>
    </dataValidation>
    <dataValidation type="list" allowBlank="1" showInputMessage="1" showErrorMessage="1" prompt="Select applicable description and then enter distance in next field in mm if required" sqref="F35:H35">
      <formula1>"N/A, Centered in header seal, mm from top of hole punch to open end of pouch, mm from outside seal"</formula1>
    </dataValidation>
    <dataValidation type="textLength" allowBlank="1" showInputMessage="1" showErrorMessage="1" prompt="Enter distance in mm if applicable" sqref="I35 I37">
      <formula1>0</formula1>
      <formula2>20</formula2>
    </dataValidation>
    <dataValidation showInputMessage="1" showErrorMessage="1" prompt="If applicable, describe position." sqref="F39:I39"/>
    <dataValidation allowBlank="1" showInputMessage="1" showErrorMessage="1" prompt="Enter INCHES only" sqref="F21"/>
    <dataValidation allowBlank="1" showInputMessage="1" showErrorMessage="1" prompt="Select applicable seal option(s) for SIDE GUSSET ONLY" sqref="C31:F31"/>
    <dataValidation allowBlank="1" showInputMessage="1" showErrorMessage="1" prompt="Enter INCHES only" sqref="I21"/>
    <dataValidation type="list" allowBlank="1" showInputMessage="1" showErrorMessage="1" prompt="Select applicable option" sqref="F25">
      <formula1>"Printed Gusset, Plain Gusset"</formula1>
    </dataValidation>
    <dataValidation type="list" allowBlank="1" showInputMessage="1" showErrorMessage="1" prompt="Select applicable description and then enter distance in next field in mm if required" sqref="F37:H37">
      <formula1>"Midway between top of zipper crush and bottom of header seal, mm from open end of pouch, mm from sealed end of pouch"</formula1>
    </dataValidation>
    <dataValidation type="textLength" allowBlank="1" showInputMessage="1" showErrorMessage="1" sqref="A67:H67 A69:H69 A81:H81 A83:H83">
      <formula1>0</formula1>
      <formula2>27</formula2>
    </dataValidation>
    <dataValidation allowBlank="1" showInputMessage="1" showErrorMessage="1" prompt="If applicable, enter distance from top of wicket hole to top of lip in mm." sqref="I41"/>
    <dataValidation type="list" allowBlank="1" showInputMessage="1" showErrorMessage="1" prompt="Select applicable option" sqref="C47">
      <formula1>"None,1,2,3,4,5"</formula1>
    </dataValidation>
    <dataValidation type="list" allowBlank="1" showInputMessage="1" showErrorMessage="1" prompt="Select yes or no" sqref="C49">
      <formula1>"Yes, No"</formula1>
    </dataValidation>
    <dataValidation type="list" allowBlank="1" showInputMessage="1" showErrorMessage="1" sqref="C57">
      <formula1>"Yes, No"</formula1>
    </dataValidation>
    <dataValidation allowBlank="1" sqref="E27"/>
    <dataValidation allowBlank="1" showInputMessage="1" showErrorMessage="1" prompt="Enter INCHES only" sqref="C21"/>
  </dataValidations>
  <hyperlinks>
    <hyperlink ref="F71" location="'Print Direction Chart'!A1" display="Print Direction Chart"/>
    <hyperlink ref="F85" location="'Print Direction Chart'!A1" display="Print Direction Chart"/>
  </hyperlinks>
  <printOptions horizontalCentered="1"/>
  <pageMargins left="0.2" right="0.2" top="0.5" bottom="0.5" header="0.13" footer="0.13"/>
  <pageSetup orientation="portrait" blackAndWhite="1" horizontalDpi="4294967292" verticalDpi="4294967292" r:id="rId1"/>
  <headerFooter alignWithMargins="0">
    <oddFooter>&amp;CIssue Date: 1-Sep-98 Revision: 4 Revision Date: 04-Apr-16</oddFooter>
  </headerFooter>
  <rowBreaks count="2" manualBreakCount="2">
    <brk id="50" min="1" max="256" man="1"/>
    <brk id="90" min="1" max="256" man="1"/>
  </rowBreaks>
  <drawing r:id="rId2"/>
  <legacyDrawing r:id="rId3"/>
  <mc:AlternateContent xmlns:mc="http://schemas.openxmlformats.org/markup-compatibility/2006">
    <mc:Choice Requires="x14">
      <controls>
        <mc:AlternateContent xmlns:mc="http://schemas.openxmlformats.org/markup-compatibility/2006">
          <mc:Choice Requires="x14">
            <control shapeId="2776" r:id="rId4" name="Check Box 728">
              <controlPr defaultSize="0" autoFill="0" autoLine="0" autoPict="0">
                <anchor moveWithCells="1">
                  <from>
                    <xdr:col>4</xdr:col>
                    <xdr:colOff>0</xdr:colOff>
                    <xdr:row>30</xdr:row>
                    <xdr:rowOff>28575</xdr:rowOff>
                  </from>
                  <to>
                    <xdr:col>4</xdr:col>
                    <xdr:colOff>342900</xdr:colOff>
                    <xdr:row>30</xdr:row>
                    <xdr:rowOff>266700</xdr:rowOff>
                  </to>
                </anchor>
              </controlPr>
            </control>
          </mc:Choice>
        </mc:AlternateContent>
        <mc:AlternateContent xmlns:mc="http://schemas.openxmlformats.org/markup-compatibility/2006">
          <mc:Choice Requires="x14">
            <control shapeId="2777" r:id="rId5" name="Check Box 729">
              <controlPr defaultSize="0" autoFill="0" autoLine="0" autoPict="0">
                <anchor moveWithCells="1">
                  <from>
                    <xdr:col>5</xdr:col>
                    <xdr:colOff>47625</xdr:colOff>
                    <xdr:row>30</xdr:row>
                    <xdr:rowOff>28575</xdr:rowOff>
                  </from>
                  <to>
                    <xdr:col>5</xdr:col>
                    <xdr:colOff>390525</xdr:colOff>
                    <xdr:row>30</xdr:row>
                    <xdr:rowOff>266700</xdr:rowOff>
                  </to>
                </anchor>
              </controlPr>
            </control>
          </mc:Choice>
        </mc:AlternateContent>
        <mc:AlternateContent xmlns:mc="http://schemas.openxmlformats.org/markup-compatibility/2006">
          <mc:Choice Requires="x14">
            <control shapeId="2421" r:id="rId6" name="Option Button 373">
              <controlPr defaultSize="0" autoFill="0" autoLine="0" autoPict="0" macro="[0]!Colours_Same_Click">
                <anchor moveWithCells="1">
                  <from>
                    <xdr:col>0</xdr:col>
                    <xdr:colOff>57150</xdr:colOff>
                    <xdr:row>77</xdr:row>
                    <xdr:rowOff>66675</xdr:rowOff>
                  </from>
                  <to>
                    <xdr:col>0</xdr:col>
                    <xdr:colOff>400050</xdr:colOff>
                    <xdr:row>78</xdr:row>
                    <xdr:rowOff>190500</xdr:rowOff>
                  </to>
                </anchor>
              </controlPr>
            </control>
          </mc:Choice>
        </mc:AlternateContent>
        <mc:AlternateContent xmlns:mc="http://schemas.openxmlformats.org/markup-compatibility/2006">
          <mc:Choice Requires="x14">
            <control shapeId="2422" r:id="rId7" name="Option Button 374">
              <controlPr defaultSize="0" autoFill="0" autoLine="0" autoPict="0" macro="[0]!Colours_Not_Same_Click">
                <anchor moveWithCells="1">
                  <from>
                    <xdr:col>5</xdr:col>
                    <xdr:colOff>9525</xdr:colOff>
                    <xdr:row>77</xdr:row>
                    <xdr:rowOff>66675</xdr:rowOff>
                  </from>
                  <to>
                    <xdr:col>5</xdr:col>
                    <xdr:colOff>352425</xdr:colOff>
                    <xdr:row>78</xdr:row>
                    <xdr:rowOff>190500</xdr:rowOff>
                  </to>
                </anchor>
              </controlPr>
            </control>
          </mc:Choice>
        </mc:AlternateContent>
        <mc:AlternateContent xmlns:mc="http://schemas.openxmlformats.org/markup-compatibility/2006">
          <mc:Choice Requires="x14">
            <control shapeId="2431" r:id="rId8" name="Group Box 383">
              <controlPr defaultSize="0" print="0" autoFill="0" autoPict="0">
                <anchor moveWithCells="1">
                  <from>
                    <xdr:col>0</xdr:col>
                    <xdr:colOff>9525</xdr:colOff>
                    <xdr:row>52</xdr:row>
                    <xdr:rowOff>9525</xdr:rowOff>
                  </from>
                  <to>
                    <xdr:col>3</xdr:col>
                    <xdr:colOff>0</xdr:colOff>
                    <xdr:row>55</xdr:row>
                    <xdr:rowOff>0</xdr:rowOff>
                  </to>
                </anchor>
              </controlPr>
            </control>
          </mc:Choice>
        </mc:AlternateContent>
        <mc:AlternateContent xmlns:mc="http://schemas.openxmlformats.org/markup-compatibility/2006">
          <mc:Choice Requires="x14">
            <control shapeId="2434" r:id="rId9" name="Group Box 386">
              <controlPr defaultSize="0" print="0" autoFill="0" autoPict="0">
                <anchor moveWithCells="1">
                  <from>
                    <xdr:col>0</xdr:col>
                    <xdr:colOff>9525</xdr:colOff>
                    <xdr:row>77</xdr:row>
                    <xdr:rowOff>38100</xdr:rowOff>
                  </from>
                  <to>
                    <xdr:col>8</xdr:col>
                    <xdr:colOff>962025</xdr:colOff>
                    <xdr:row>79</xdr:row>
                    <xdr:rowOff>28575</xdr:rowOff>
                  </to>
                </anchor>
              </controlPr>
            </control>
          </mc:Choice>
        </mc:AlternateContent>
        <mc:AlternateContent xmlns:mc="http://schemas.openxmlformats.org/markup-compatibility/2006">
          <mc:Choice Requires="x14">
            <control shapeId="2435" r:id="rId10" name="Option Button 387">
              <controlPr defaultSize="0" autoFill="0" autoLine="0" autoPict="0" macro="[0]!new_Click">
                <anchor moveWithCells="1">
                  <from>
                    <xdr:col>0</xdr:col>
                    <xdr:colOff>57150</xdr:colOff>
                    <xdr:row>52</xdr:row>
                    <xdr:rowOff>114300</xdr:rowOff>
                  </from>
                  <to>
                    <xdr:col>1</xdr:col>
                    <xdr:colOff>171450</xdr:colOff>
                    <xdr:row>53</xdr:row>
                    <xdr:rowOff>9525</xdr:rowOff>
                  </to>
                </anchor>
              </controlPr>
            </control>
          </mc:Choice>
        </mc:AlternateContent>
        <mc:AlternateContent xmlns:mc="http://schemas.openxmlformats.org/markup-compatibility/2006">
          <mc:Choice Requires="x14">
            <control shapeId="2436" r:id="rId11" name="Option Button 388">
              <controlPr defaultSize="0" autoFill="0" autoLine="0" autoPict="0" macro="[0]!RWC_Click">
                <anchor moveWithCells="1">
                  <from>
                    <xdr:col>0</xdr:col>
                    <xdr:colOff>57150</xdr:colOff>
                    <xdr:row>54</xdr:row>
                    <xdr:rowOff>38100</xdr:rowOff>
                  </from>
                  <to>
                    <xdr:col>2</xdr:col>
                    <xdr:colOff>838200</xdr:colOff>
                    <xdr:row>54</xdr:row>
                    <xdr:rowOff>266700</xdr:rowOff>
                  </to>
                </anchor>
              </controlPr>
            </control>
          </mc:Choice>
        </mc:AlternateContent>
        <mc:AlternateContent xmlns:mc="http://schemas.openxmlformats.org/markup-compatibility/2006">
          <mc:Choice Requires="x14">
            <control shapeId="2466" r:id="rId12" name="Group Box 418">
              <controlPr defaultSize="0" print="0" autoFill="0" autoPict="0">
                <anchor moveWithCells="1">
                  <from>
                    <xdr:col>0</xdr:col>
                    <xdr:colOff>0</xdr:colOff>
                    <xdr:row>15</xdr:row>
                    <xdr:rowOff>0</xdr:rowOff>
                  </from>
                  <to>
                    <xdr:col>8</xdr:col>
                    <xdr:colOff>1009650</xdr:colOff>
                    <xdr:row>20</xdr:row>
                    <xdr:rowOff>9525</xdr:rowOff>
                  </to>
                </anchor>
              </controlPr>
            </control>
          </mc:Choice>
        </mc:AlternateContent>
        <mc:AlternateContent xmlns:mc="http://schemas.openxmlformats.org/markup-compatibility/2006">
          <mc:Choice Requires="x14">
            <control shapeId="2646" r:id="rId13" name="Option Button 598">
              <controlPr defaultSize="0" autoFill="0" autoLine="0" autoPict="0" macro="[0]!one_side_front_Click">
                <anchor moveWithCells="1">
                  <from>
                    <xdr:col>5</xdr:col>
                    <xdr:colOff>47625</xdr:colOff>
                    <xdr:row>60</xdr:row>
                    <xdr:rowOff>38100</xdr:rowOff>
                  </from>
                  <to>
                    <xdr:col>7</xdr:col>
                    <xdr:colOff>0</xdr:colOff>
                    <xdr:row>60</xdr:row>
                    <xdr:rowOff>295275</xdr:rowOff>
                  </to>
                </anchor>
              </controlPr>
            </control>
          </mc:Choice>
        </mc:AlternateContent>
        <mc:AlternateContent xmlns:mc="http://schemas.openxmlformats.org/markup-compatibility/2006">
          <mc:Choice Requires="x14">
            <control shapeId="2647" r:id="rId14" name="Option Button 599">
              <controlPr defaultSize="0" autoFill="0" autoLine="0" autoPict="0" macro="[0]!one_side_back_Click">
                <anchor moveWithCells="1">
                  <from>
                    <xdr:col>7</xdr:col>
                    <xdr:colOff>219075</xdr:colOff>
                    <xdr:row>60</xdr:row>
                    <xdr:rowOff>38100</xdr:rowOff>
                  </from>
                  <to>
                    <xdr:col>8</xdr:col>
                    <xdr:colOff>285750</xdr:colOff>
                    <xdr:row>60</xdr:row>
                    <xdr:rowOff>304800</xdr:rowOff>
                  </to>
                </anchor>
              </controlPr>
            </control>
          </mc:Choice>
        </mc:AlternateContent>
        <mc:AlternateContent xmlns:mc="http://schemas.openxmlformats.org/markup-compatibility/2006">
          <mc:Choice Requires="x14">
            <control shapeId="2648" r:id="rId15" name="Option Button 600">
              <controlPr defaultSize="0" autoFill="0" autoLine="0" autoPict="0" macro="[0]!two_sides_Click">
                <anchor moveWithCells="1">
                  <from>
                    <xdr:col>4</xdr:col>
                    <xdr:colOff>47625</xdr:colOff>
                    <xdr:row>60</xdr:row>
                    <xdr:rowOff>38100</xdr:rowOff>
                  </from>
                  <to>
                    <xdr:col>4</xdr:col>
                    <xdr:colOff>733425</xdr:colOff>
                    <xdr:row>60</xdr:row>
                    <xdr:rowOff>314325</xdr:rowOff>
                  </to>
                </anchor>
              </controlPr>
            </control>
          </mc:Choice>
        </mc:AlternateContent>
        <mc:AlternateContent xmlns:mc="http://schemas.openxmlformats.org/markup-compatibility/2006">
          <mc:Choice Requires="x14">
            <control shapeId="2649" r:id="rId16" name="Group Box 601">
              <controlPr defaultSize="0" autoFill="0" autoPict="0">
                <anchor moveWithCells="1">
                  <from>
                    <xdr:col>4</xdr:col>
                    <xdr:colOff>0</xdr:colOff>
                    <xdr:row>60</xdr:row>
                    <xdr:rowOff>0</xdr:rowOff>
                  </from>
                  <to>
                    <xdr:col>8</xdr:col>
                    <xdr:colOff>1019175</xdr:colOff>
                    <xdr:row>60</xdr:row>
                    <xdr:rowOff>314325</xdr:rowOff>
                  </to>
                </anchor>
              </controlPr>
            </control>
          </mc:Choice>
        </mc:AlternateContent>
        <mc:AlternateContent xmlns:mc="http://schemas.openxmlformats.org/markup-compatibility/2006">
          <mc:Choice Requires="x14">
            <control shapeId="2773" r:id="rId17" name="Check Box 725">
              <controlPr defaultSize="0" autoFill="0" autoLine="0" autoPict="0">
                <anchor moveWithCells="1">
                  <from>
                    <xdr:col>4</xdr:col>
                    <xdr:colOff>0</xdr:colOff>
                    <xdr:row>30</xdr:row>
                    <xdr:rowOff>28575</xdr:rowOff>
                  </from>
                  <to>
                    <xdr:col>4</xdr:col>
                    <xdr:colOff>228600</xdr:colOff>
                    <xdr:row>30</xdr:row>
                    <xdr:rowOff>266700</xdr:rowOff>
                  </to>
                </anchor>
              </controlPr>
            </control>
          </mc:Choice>
        </mc:AlternateContent>
        <mc:AlternateContent xmlns:mc="http://schemas.openxmlformats.org/markup-compatibility/2006">
          <mc:Choice Requires="x14">
            <control shapeId="2774" r:id="rId18" name="Check Box 726">
              <controlPr defaultSize="0" autoFill="0" autoLine="0" autoPict="0">
                <anchor moveWithCells="1">
                  <from>
                    <xdr:col>5</xdr:col>
                    <xdr:colOff>47625</xdr:colOff>
                    <xdr:row>30</xdr:row>
                    <xdr:rowOff>28575</xdr:rowOff>
                  </from>
                  <to>
                    <xdr:col>5</xdr:col>
                    <xdr:colOff>266700</xdr:colOff>
                    <xdr:row>30</xdr:row>
                    <xdr:rowOff>266700</xdr:rowOff>
                  </to>
                </anchor>
              </controlPr>
            </control>
          </mc:Choice>
        </mc:AlternateContent>
        <mc:AlternateContent xmlns:mc="http://schemas.openxmlformats.org/markup-compatibility/2006">
          <mc:Choice Requires="x14">
            <control shapeId="30113" r:id="rId19" name="Check Box 1441">
              <controlPr defaultSize="0" autoFill="0" autoLine="0" autoPict="0">
                <anchor moveWithCells="1">
                  <from>
                    <xdr:col>2</xdr:col>
                    <xdr:colOff>85725</xdr:colOff>
                    <xdr:row>30</xdr:row>
                    <xdr:rowOff>28575</xdr:rowOff>
                  </from>
                  <to>
                    <xdr:col>2</xdr:col>
                    <xdr:colOff>314325</xdr:colOff>
                    <xdr:row>30</xdr:row>
                    <xdr:rowOff>266700</xdr:rowOff>
                  </to>
                </anchor>
              </controlPr>
            </control>
          </mc:Choice>
        </mc:AlternateContent>
        <mc:AlternateContent xmlns:mc="http://schemas.openxmlformats.org/markup-compatibility/2006">
          <mc:Choice Requires="x14">
            <control shapeId="32543" r:id="rId20" name="Option Button 2847">
              <controlPr defaultSize="0" print="0" autoFill="0" autoLine="0" autoPict="0">
                <anchor moveWithCells="1">
                  <from>
                    <xdr:col>0</xdr:col>
                    <xdr:colOff>228600</xdr:colOff>
                    <xdr:row>17</xdr:row>
                    <xdr:rowOff>0</xdr:rowOff>
                  </from>
                  <to>
                    <xdr:col>0</xdr:col>
                    <xdr:colOff>571500</xdr:colOff>
                    <xdr:row>17</xdr:row>
                    <xdr:rowOff>219075</xdr:rowOff>
                  </to>
                </anchor>
              </controlPr>
            </control>
          </mc:Choice>
        </mc:AlternateContent>
        <mc:AlternateContent xmlns:mc="http://schemas.openxmlformats.org/markup-compatibility/2006">
          <mc:Choice Requires="x14">
            <control shapeId="32544" r:id="rId21" name="Option Button 2848">
              <controlPr defaultSize="0" autoFill="0" autoLine="0" autoPict="0">
                <anchor moveWithCells="1">
                  <from>
                    <xdr:col>2</xdr:col>
                    <xdr:colOff>95250</xdr:colOff>
                    <xdr:row>16</xdr:row>
                    <xdr:rowOff>28575</xdr:rowOff>
                  </from>
                  <to>
                    <xdr:col>2</xdr:col>
                    <xdr:colOff>438150</xdr:colOff>
                    <xdr:row>16</xdr:row>
                    <xdr:rowOff>247650</xdr:rowOff>
                  </to>
                </anchor>
              </controlPr>
            </control>
          </mc:Choice>
        </mc:AlternateContent>
        <mc:AlternateContent xmlns:mc="http://schemas.openxmlformats.org/markup-compatibility/2006">
          <mc:Choice Requires="x14">
            <control shapeId="32545" r:id="rId22" name="Option Button 2849">
              <controlPr locked="0" defaultSize="0" autoFill="0" autoLine="0" autoPict="0">
                <anchor moveWithCells="1">
                  <from>
                    <xdr:col>5</xdr:col>
                    <xdr:colOff>723900</xdr:colOff>
                    <xdr:row>16</xdr:row>
                    <xdr:rowOff>9525</xdr:rowOff>
                  </from>
                  <to>
                    <xdr:col>6</xdr:col>
                    <xdr:colOff>19050</xdr:colOff>
                    <xdr:row>16</xdr:row>
                    <xdr:rowOff>228600</xdr:rowOff>
                  </to>
                </anchor>
              </controlPr>
            </control>
          </mc:Choice>
        </mc:AlternateContent>
        <mc:AlternateContent xmlns:mc="http://schemas.openxmlformats.org/markup-compatibility/2006">
          <mc:Choice Requires="x14">
            <control shapeId="32546" r:id="rId23" name="Option Button 2850">
              <controlPr defaultSize="0" autoFill="0" autoLine="0" autoPict="0">
                <anchor moveWithCells="1">
                  <from>
                    <xdr:col>2</xdr:col>
                    <xdr:colOff>95250</xdr:colOff>
                    <xdr:row>17</xdr:row>
                    <xdr:rowOff>257175</xdr:rowOff>
                  </from>
                  <to>
                    <xdr:col>2</xdr:col>
                    <xdr:colOff>438150</xdr:colOff>
                    <xdr:row>18</xdr:row>
                    <xdr:rowOff>219075</xdr:rowOff>
                  </to>
                </anchor>
              </controlPr>
            </control>
          </mc:Choice>
        </mc:AlternateContent>
        <mc:AlternateContent xmlns:mc="http://schemas.openxmlformats.org/markup-compatibility/2006">
          <mc:Choice Requires="x14">
            <control shapeId="32547" r:id="rId24" name="Option Button 2851">
              <controlPr defaultSize="0" autoFill="0" autoLine="0" autoPict="0">
                <anchor moveWithCells="1">
                  <from>
                    <xdr:col>2</xdr:col>
                    <xdr:colOff>95250</xdr:colOff>
                    <xdr:row>17</xdr:row>
                    <xdr:rowOff>9525</xdr:rowOff>
                  </from>
                  <to>
                    <xdr:col>2</xdr:col>
                    <xdr:colOff>438150</xdr:colOff>
                    <xdr:row>17</xdr:row>
                    <xdr:rowOff>228600</xdr:rowOff>
                  </to>
                </anchor>
              </controlPr>
            </control>
          </mc:Choice>
        </mc:AlternateContent>
        <mc:AlternateContent xmlns:mc="http://schemas.openxmlformats.org/markup-compatibility/2006">
          <mc:Choice Requires="x14">
            <control shapeId="32548" r:id="rId25" name="Option Button 2852">
              <controlPr defaultSize="0" autoFill="0" autoLine="0" autoPict="0">
                <anchor moveWithCells="1">
                  <from>
                    <xdr:col>5</xdr:col>
                    <xdr:colOff>723900</xdr:colOff>
                    <xdr:row>17</xdr:row>
                    <xdr:rowOff>0</xdr:rowOff>
                  </from>
                  <to>
                    <xdr:col>6</xdr:col>
                    <xdr:colOff>19050</xdr:colOff>
                    <xdr:row>17</xdr:row>
                    <xdr:rowOff>219075</xdr:rowOff>
                  </to>
                </anchor>
              </controlPr>
            </control>
          </mc:Choice>
        </mc:AlternateContent>
        <mc:AlternateContent xmlns:mc="http://schemas.openxmlformats.org/markup-compatibility/2006">
          <mc:Choice Requires="x14">
            <control shapeId="32549" r:id="rId26" name="Option Button 2853">
              <controlPr defaultSize="0" autoFill="0" autoLine="0" autoPict="0" macro="[0]!reset_Click">
                <anchor moveWithCells="1">
                  <from>
                    <xdr:col>5</xdr:col>
                    <xdr:colOff>723900</xdr:colOff>
                    <xdr:row>18</xdr:row>
                    <xdr:rowOff>0</xdr:rowOff>
                  </from>
                  <to>
                    <xdr:col>6</xdr:col>
                    <xdr:colOff>19050</xdr:colOff>
                    <xdr:row>18</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213" yWindow="608" count="13">
        <x14:dataValidation type="list" allowBlank="1" showInputMessage="1" showErrorMessage="1" prompt="Select tear type">
          <x14:formula1>
            <xm:f>'Pouch Macros Data'!$K$4:$K$6</xm:f>
          </x14:formula1>
          <xm:sqref>C37</xm:sqref>
        </x14:dataValidation>
        <x14:dataValidation type="list" allowBlank="1" showInputMessage="1" showErrorMessage="1" prompt="Select applicable option">
          <x14:formula1>
            <xm:f>'Pouch Macros Data'!$D$4:$D$14</xm:f>
          </x14:formula1>
          <xm:sqref>I23</xm:sqref>
        </x14:dataValidation>
        <x14:dataValidation type="list" allowBlank="1" showInputMessage="1" showErrorMessage="1" prompt="Select applicable option">
          <x14:formula1>
            <xm:f>'Pouch Macros Data'!$C$4:$C$5</xm:f>
          </x14:formula1>
          <xm:sqref>F23</xm:sqref>
        </x14:dataValidation>
        <x14:dataValidation type="list" allowBlank="1" showInputMessage="1" showErrorMessage="1" prompt="Select header seal size for BOTTOM FILL only">
          <x14:formula1>
            <xm:f>'Pouch Macros Data'!$I$4:$I$12</xm:f>
          </x14:formula1>
          <xm:sqref>C29</xm:sqref>
        </x14:dataValidation>
        <x14:dataValidation type="list" allowBlank="1" showInputMessage="1" showErrorMessage="1" prompt="Select size for SIDE GUSSET ONLY">
          <x14:formula1>
            <xm:f>'Pouch Macros Data'!$J$4:$J$12</xm:f>
          </x14:formula1>
          <xm:sqref>F29</xm:sqref>
        </x14:dataValidation>
        <x14:dataValidation type="list" allowBlank="1" showInputMessage="1" showErrorMessage="1" prompt="Surface or Reverse?">
          <x14:formula1>
            <xm:f>'General Data'!$A$4:$A$12</xm:f>
          </x14:formula1>
          <xm:sqref>F57:I57</xm:sqref>
        </x14:dataValidation>
        <x14:dataValidation type="list" allowBlank="1" showInputMessage="1" showErrorMessage="1" prompt="Select 1 or 4 for SIDE GUSSET ONLY">
          <x14:formula1>
            <xm:f>'Pouch Macros Data'!$F$4:$F$7</xm:f>
          </x14:formula1>
          <xm:sqref>C27</xm:sqref>
        </x14:dataValidation>
        <x14:dataValidation type="list" allowBlank="1" showInputMessage="1" showErrorMessage="1" prompt="Select quad seal size for SIDE GUSSET ONLY">
          <x14:formula1>
            <xm:f>'Pouch Macros Data'!$G$4:$G$21</xm:f>
          </x14:formula1>
          <xm:sqref>F27</xm:sqref>
        </x14:dataValidation>
        <x14:dataValidation type="list" allowBlank="1" showInputMessage="1" showErrorMessage="1" prompt="Select side seal size for BOTTOM GUSSET ONLY">
          <x14:formula1>
            <xm:f>'Pouch Macros Data'!$H$4:$H$11</xm:f>
          </x14:formula1>
          <xm:sqref>I29</xm:sqref>
        </x14:dataValidation>
        <x14:dataValidation type="list" allowBlank="1" showInputMessage="1" showErrorMessage="1" prompt="Select applicable option">
          <x14:formula1>
            <xm:f>'Pouch Macros Data'!$E$4:$E$6</xm:f>
          </x14:formula1>
          <xm:sqref>C25</xm:sqref>
        </x14:dataValidation>
        <x14:dataValidation type="list" allowBlank="1" showInputMessage="1" showErrorMessage="1" prompt="Select applicable option">
          <x14:formula1>
            <xm:f>'Pouch Macros Data'!$B$4:$B$16</xm:f>
          </x14:formula1>
          <xm:sqref>C23</xm:sqref>
        </x14:dataValidation>
        <x14:dataValidation type="list" allowBlank="1" showInputMessage="1" showErrorMessage="1" prompt="Select fin seal size for SIDE GUSSET ONLY">
          <x14:formula1>
            <xm:f>'Pouch Macros Data'!$L$4:$L$6</xm:f>
          </x14:formula1>
          <xm:sqref>I27</xm:sqref>
        </x14:dataValidation>
        <x14:dataValidation type="list" allowBlank="1" showInputMessage="1" showErrorMessage="1" prompt="If a BOTTOM GUSSET seal is required, select size otherwise select N/A">
          <x14:formula1>
            <xm:f>'Pouch Macros Data'!$M$4:$M$6</xm:f>
          </x14:formula1>
          <xm:sqref>I25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Y140"/>
  <sheetViews>
    <sheetView showGridLines="0" zoomScale="125" zoomScaleNormal="125" workbookViewId="0">
      <selection activeCell="AG3" sqref="AG3:AL3"/>
    </sheetView>
  </sheetViews>
  <sheetFormatPr defaultColWidth="10.85546875" defaultRowHeight="12.75" x14ac:dyDescent="0.2"/>
  <cols>
    <col min="1" max="17" width="2.28515625" style="55" customWidth="1"/>
    <col min="18" max="19" width="3" style="55" customWidth="1"/>
    <col min="20" max="21" width="2.85546875" style="55" customWidth="1"/>
    <col min="22" max="38" width="2.28515625" style="55" customWidth="1"/>
    <col min="39" max="16384" width="10.85546875" style="55"/>
  </cols>
  <sheetData>
    <row r="1" spans="1:40" ht="15" customHeight="1" x14ac:dyDescent="0.2">
      <c r="A1" s="341" t="s">
        <v>418</v>
      </c>
      <c r="B1" s="341"/>
      <c r="C1" s="341"/>
      <c r="D1" s="341"/>
      <c r="E1" s="341"/>
      <c r="F1" s="341"/>
      <c r="G1" s="341"/>
      <c r="H1" s="341"/>
      <c r="I1" s="341"/>
      <c r="J1" s="341"/>
      <c r="K1" s="341"/>
      <c r="L1" s="341"/>
      <c r="M1" s="341"/>
      <c r="N1" s="341"/>
      <c r="O1" s="341"/>
      <c r="P1" s="341"/>
      <c r="Q1" s="341"/>
      <c r="R1" s="341"/>
      <c r="S1" s="341"/>
      <c r="T1" s="341"/>
      <c r="U1" s="341"/>
      <c r="V1" s="71"/>
      <c r="W1" s="71"/>
      <c r="X1" s="71"/>
      <c r="Y1" s="71"/>
      <c r="Z1" s="71"/>
      <c r="AA1" s="71"/>
      <c r="AB1" s="71"/>
      <c r="AC1" s="71"/>
      <c r="AD1" s="71"/>
      <c r="AE1" s="71"/>
      <c r="AF1" s="71"/>
      <c r="AG1" s="71"/>
      <c r="AH1" s="71"/>
      <c r="AI1" s="71"/>
      <c r="AJ1" s="71"/>
      <c r="AK1" s="71"/>
      <c r="AL1" s="71"/>
    </row>
    <row r="2" spans="1:40" ht="3.95" customHeight="1" x14ac:dyDescent="0.2"/>
    <row r="3" spans="1:40" ht="14.1" customHeight="1" x14ac:dyDescent="0.2">
      <c r="A3" s="72" t="s">
        <v>242</v>
      </c>
      <c r="B3" s="73"/>
      <c r="C3" s="73"/>
      <c r="D3" s="73"/>
      <c r="E3" s="73"/>
      <c r="F3" s="73"/>
      <c r="G3" s="297" t="b">
        <f>IF('General Data'!C4=1,"New Item",IF('General Data'!C4=2,"RWC"))</f>
        <v>0</v>
      </c>
      <c r="H3" s="297"/>
      <c r="I3" s="297"/>
      <c r="J3" s="297"/>
      <c r="K3" s="297"/>
      <c r="L3" s="298"/>
      <c r="N3" s="72" t="s">
        <v>32</v>
      </c>
      <c r="O3" s="73"/>
      <c r="P3" s="73"/>
      <c r="Q3" s="73"/>
      <c r="R3" s="73"/>
      <c r="S3" s="73"/>
      <c r="T3" s="364">
        <f>'Gusset Pouch'!I7</f>
        <v>0</v>
      </c>
      <c r="U3" s="297"/>
      <c r="V3" s="297"/>
      <c r="W3" s="297"/>
      <c r="X3" s="297"/>
      <c r="Y3" s="298"/>
      <c r="AA3" s="78" t="s">
        <v>68</v>
      </c>
      <c r="AB3" s="73"/>
      <c r="AC3" s="73"/>
      <c r="AD3" s="73"/>
      <c r="AE3" s="73"/>
      <c r="AF3" s="73"/>
      <c r="AG3" s="365"/>
      <c r="AH3" s="365"/>
      <c r="AI3" s="365"/>
      <c r="AJ3" s="365"/>
      <c r="AK3" s="365"/>
      <c r="AL3" s="366"/>
      <c r="AN3" s="150"/>
    </row>
    <row r="4" spans="1:40" ht="3.95" customHeight="1" x14ac:dyDescent="0.2"/>
    <row r="5" spans="1:40" ht="12.95" customHeight="1" x14ac:dyDescent="0.2">
      <c r="A5" s="72" t="s">
        <v>69</v>
      </c>
      <c r="B5" s="73"/>
      <c r="C5" s="73"/>
      <c r="D5" s="73"/>
      <c r="E5" s="73"/>
      <c r="F5" s="73"/>
      <c r="G5" s="276" t="b">
        <f>IF(G3="New Item","All new plates")</f>
        <v>0</v>
      </c>
      <c r="H5" s="276"/>
      <c r="I5" s="276"/>
      <c r="J5" s="276"/>
      <c r="K5" s="276"/>
      <c r="L5" s="277"/>
      <c r="N5" s="72" t="s">
        <v>61</v>
      </c>
      <c r="O5" s="73"/>
      <c r="P5" s="73"/>
      <c r="Q5" s="73"/>
      <c r="R5" s="73"/>
      <c r="S5" s="73"/>
      <c r="T5" s="276" t="b">
        <f>IF(G3="New Item","N/A")</f>
        <v>0</v>
      </c>
      <c r="U5" s="276"/>
      <c r="V5" s="276"/>
      <c r="W5" s="276"/>
      <c r="X5" s="276"/>
      <c r="Y5" s="277"/>
      <c r="AA5" s="72" t="s">
        <v>62</v>
      </c>
      <c r="AB5" s="73"/>
      <c r="AC5" s="73"/>
      <c r="AD5" s="73"/>
      <c r="AE5" s="73"/>
      <c r="AF5" s="73"/>
      <c r="AG5" s="299"/>
      <c r="AH5" s="299"/>
      <c r="AI5" s="299"/>
      <c r="AJ5" s="299"/>
      <c r="AK5" s="299"/>
      <c r="AL5" s="300"/>
    </row>
    <row r="6" spans="1:40" ht="3.95" customHeight="1" x14ac:dyDescent="0.2"/>
    <row r="7" spans="1:40" ht="12.95" customHeight="1" x14ac:dyDescent="0.2">
      <c r="A7" s="72" t="s">
        <v>2</v>
      </c>
      <c r="B7" s="73"/>
      <c r="C7" s="73"/>
      <c r="D7" s="73"/>
      <c r="E7" s="73"/>
      <c r="F7" s="73"/>
      <c r="G7" s="301"/>
      <c r="H7" s="301"/>
      <c r="I7" s="301"/>
      <c r="J7" s="301"/>
      <c r="K7" s="301"/>
      <c r="L7" s="302"/>
      <c r="N7" s="72" t="s">
        <v>63</v>
      </c>
      <c r="O7" s="73"/>
      <c r="P7" s="73"/>
      <c r="Q7" s="73"/>
      <c r="R7" s="73"/>
      <c r="S7" s="73"/>
      <c r="T7" s="303"/>
      <c r="U7" s="303"/>
      <c r="V7" s="303"/>
      <c r="W7" s="303"/>
      <c r="X7" s="303"/>
      <c r="Y7" s="304"/>
      <c r="AA7" s="72" t="s">
        <v>26</v>
      </c>
      <c r="AB7" s="73"/>
      <c r="AC7" s="73"/>
      <c r="AD7" s="73"/>
      <c r="AE7" s="73"/>
      <c r="AF7" s="73"/>
      <c r="AG7" s="305"/>
      <c r="AH7" s="305"/>
      <c r="AI7" s="305"/>
      <c r="AJ7" s="305"/>
      <c r="AK7" s="305"/>
      <c r="AL7" s="306"/>
    </row>
    <row r="8" spans="1:40" ht="3.95" customHeight="1" x14ac:dyDescent="0.2"/>
    <row r="9" spans="1:40" ht="12.95" customHeight="1" x14ac:dyDescent="0.2">
      <c r="A9" s="72" t="s">
        <v>156</v>
      </c>
      <c r="B9" s="73"/>
      <c r="C9" s="73"/>
      <c r="D9" s="73"/>
      <c r="E9" s="73"/>
      <c r="F9" s="73"/>
      <c r="G9" s="307">
        <f>'Gusset Pouch'!C7</f>
        <v>0</v>
      </c>
      <c r="H9" s="307"/>
      <c r="I9" s="307"/>
      <c r="J9" s="307"/>
      <c r="K9" s="307"/>
      <c r="L9" s="307"/>
      <c r="M9" s="307"/>
      <c r="N9" s="307"/>
      <c r="O9" s="307"/>
      <c r="P9" s="307"/>
      <c r="Q9" s="307"/>
      <c r="R9" s="307"/>
      <c r="S9" s="307"/>
      <c r="T9" s="307"/>
      <c r="U9" s="307"/>
      <c r="V9" s="307"/>
      <c r="W9" s="307"/>
      <c r="X9" s="307"/>
      <c r="Y9" s="308"/>
      <c r="AA9" s="72" t="s">
        <v>5</v>
      </c>
      <c r="AB9" s="73"/>
      <c r="AC9" s="73"/>
      <c r="AD9" s="73"/>
      <c r="AE9" s="73"/>
      <c r="AF9" s="73"/>
      <c r="AG9" s="367">
        <f>'Gusset Pouch'!C5</f>
        <v>0</v>
      </c>
      <c r="AH9" s="297"/>
      <c r="AI9" s="297"/>
      <c r="AJ9" s="297"/>
      <c r="AK9" s="297"/>
      <c r="AL9" s="298"/>
    </row>
    <row r="10" spans="1:40" ht="3.95" customHeight="1" x14ac:dyDescent="0.2"/>
    <row r="11" spans="1:40" ht="12.95" customHeight="1" x14ac:dyDescent="0.2">
      <c r="A11" s="72" t="s">
        <v>267</v>
      </c>
      <c r="B11" s="73"/>
      <c r="C11" s="73"/>
      <c r="D11" s="73"/>
      <c r="E11" s="73"/>
      <c r="F11" s="73"/>
      <c r="G11" s="299"/>
      <c r="H11" s="299"/>
      <c r="I11" s="299"/>
      <c r="J11" s="297">
        <f>'Gusset Pouch'!C11</f>
        <v>0</v>
      </c>
      <c r="K11" s="297"/>
      <c r="L11" s="297"/>
      <c r="M11" s="297"/>
      <c r="N11" s="297"/>
      <c r="O11" s="297"/>
      <c r="P11" s="297"/>
      <c r="Q11" s="297"/>
      <c r="R11" s="297"/>
      <c r="S11" s="297"/>
      <c r="T11" s="297"/>
      <c r="U11" s="297"/>
      <c r="V11" s="297"/>
      <c r="W11" s="297"/>
      <c r="X11" s="297"/>
      <c r="Y11" s="298"/>
      <c r="AA11" s="72" t="s">
        <v>211</v>
      </c>
      <c r="AB11" s="73"/>
      <c r="AC11" s="73"/>
      <c r="AD11" s="73"/>
      <c r="AE11" s="73"/>
      <c r="AF11" s="73"/>
      <c r="AG11" s="367">
        <f>'Gusset Pouch'!I11</f>
        <v>0</v>
      </c>
      <c r="AH11" s="297"/>
      <c r="AI11" s="297"/>
      <c r="AJ11" s="297"/>
      <c r="AK11" s="297"/>
      <c r="AL11" s="298"/>
    </row>
    <row r="12" spans="1:40" ht="3.95" customHeight="1" x14ac:dyDescent="0.2"/>
    <row r="13" spans="1:40" ht="12.95" customHeight="1" x14ac:dyDescent="0.2">
      <c r="A13" s="72" t="s">
        <v>48</v>
      </c>
      <c r="B13" s="73"/>
      <c r="C13" s="73"/>
      <c r="D13" s="73"/>
      <c r="E13" s="73"/>
      <c r="F13" s="73"/>
      <c r="G13" s="297" t="str">
        <f>'Gusset Pouch'!C13</f>
        <v xml:space="preserve">       </v>
      </c>
      <c r="H13" s="297"/>
      <c r="I13" s="297"/>
      <c r="J13" s="297"/>
      <c r="K13" s="297"/>
      <c r="L13" s="297"/>
      <c r="M13" s="297"/>
      <c r="N13" s="297"/>
      <c r="O13" s="297"/>
      <c r="P13" s="297"/>
      <c r="Q13" s="297"/>
      <c r="R13" s="297"/>
      <c r="S13" s="297"/>
      <c r="T13" s="297"/>
      <c r="U13" s="297"/>
      <c r="V13" s="297"/>
      <c r="W13" s="297"/>
      <c r="X13" s="297"/>
      <c r="Y13" s="298"/>
      <c r="AA13" s="72" t="s">
        <v>72</v>
      </c>
      <c r="AB13" s="73"/>
      <c r="AC13" s="73"/>
      <c r="AD13" s="73"/>
      <c r="AE13" s="73"/>
      <c r="AF13" s="73"/>
      <c r="AG13" s="299">
        <f>'Gusset Pouch'!I9</f>
        <v>0</v>
      </c>
      <c r="AH13" s="299"/>
      <c r="AI13" s="299"/>
      <c r="AJ13" s="299"/>
      <c r="AK13" s="299"/>
      <c r="AL13" s="300"/>
    </row>
    <row r="14" spans="1:40" ht="3.95" customHeight="1" x14ac:dyDescent="0.2"/>
    <row r="15" spans="1:40" ht="12.95" customHeight="1" x14ac:dyDescent="0.2">
      <c r="A15" s="72" t="s">
        <v>203</v>
      </c>
      <c r="B15" s="73"/>
      <c r="C15" s="73"/>
      <c r="D15" s="73"/>
      <c r="E15" s="73"/>
      <c r="F15" s="73"/>
      <c r="G15" s="136" t="s">
        <v>204</v>
      </c>
      <c r="H15" s="79"/>
      <c r="I15" s="79"/>
      <c r="J15" s="368" t="e">
        <f>VLOOKUP(M15,'GL Codes'!A1:C150,3,FALSE)</f>
        <v>#N/A</v>
      </c>
      <c r="K15" s="368"/>
      <c r="L15" s="368"/>
      <c r="M15" s="369">
        <f>'Gusset Pouch'!I5</f>
        <v>0</v>
      </c>
      <c r="N15" s="369"/>
      <c r="O15" s="370"/>
      <c r="P15"/>
      <c r="Q15" s="324" t="s">
        <v>198</v>
      </c>
      <c r="R15" s="371"/>
      <c r="S15" s="371"/>
      <c r="T15" s="371"/>
      <c r="U15" s="371"/>
      <c r="V15" s="367">
        <f>'Gusset Pouch'!I13</f>
        <v>0</v>
      </c>
      <c r="W15" s="367"/>
      <c r="X15" s="367"/>
      <c r="Y15" s="372"/>
      <c r="Z15" s="88"/>
      <c r="AA15" s="58"/>
      <c r="AB15" s="58"/>
      <c r="AC15" s="58"/>
      <c r="AD15" s="58"/>
      <c r="AE15" s="58"/>
      <c r="AF15" s="75"/>
      <c r="AG15" s="72" t="s">
        <v>205</v>
      </c>
      <c r="AH15" s="73"/>
      <c r="AI15" s="73"/>
      <c r="AJ15" s="299"/>
      <c r="AK15" s="299"/>
      <c r="AL15" s="300"/>
    </row>
    <row r="16" spans="1:40" ht="3.95" customHeight="1" thickBot="1" x14ac:dyDescent="0.25"/>
    <row r="17" spans="1:38" ht="15" customHeight="1" thickBot="1" x14ac:dyDescent="0.25">
      <c r="A17" s="137" t="s">
        <v>364</v>
      </c>
      <c r="B17" s="138"/>
      <c r="C17" s="138"/>
      <c r="D17" s="138"/>
      <c r="E17" s="138"/>
      <c r="F17" s="138"/>
      <c r="G17" s="138"/>
      <c r="H17" s="139"/>
      <c r="I17" s="354"/>
      <c r="J17" s="354"/>
      <c r="K17" s="354"/>
      <c r="L17" s="354"/>
      <c r="M17" s="354"/>
      <c r="N17" s="354"/>
      <c r="O17" s="354"/>
      <c r="P17" s="354"/>
      <c r="Q17" s="354"/>
      <c r="R17" s="354"/>
      <c r="S17" s="354"/>
      <c r="T17" s="354"/>
      <c r="U17" s="354"/>
      <c r="V17" s="354"/>
      <c r="W17" s="354"/>
      <c r="X17" s="354"/>
      <c r="Y17" s="354"/>
      <c r="Z17" s="354"/>
      <c r="AA17" s="354"/>
      <c r="AB17" s="354"/>
      <c r="AC17" s="354"/>
      <c r="AD17" s="354"/>
      <c r="AE17" s="354"/>
      <c r="AF17" s="354"/>
      <c r="AG17" s="354"/>
      <c r="AH17" s="354"/>
      <c r="AI17" s="354"/>
      <c r="AJ17" s="354"/>
      <c r="AK17" s="354"/>
      <c r="AL17" s="355"/>
    </row>
    <row r="18" spans="1:38" ht="3.95" customHeight="1" x14ac:dyDescent="0.2"/>
    <row r="19" spans="1:38" ht="15" customHeight="1" x14ac:dyDescent="0.2">
      <c r="A19" s="341" t="s">
        <v>422</v>
      </c>
      <c r="B19" s="341"/>
      <c r="C19" s="341"/>
      <c r="D19" s="341"/>
      <c r="E19" s="341"/>
      <c r="F19" s="341"/>
      <c r="G19" s="341"/>
      <c r="H19" s="341"/>
      <c r="I19" s="341"/>
      <c r="J19" s="341"/>
      <c r="K19" s="341"/>
      <c r="L19" s="341"/>
      <c r="M19" s="341"/>
      <c r="N19" s="341"/>
      <c r="O19" s="341"/>
      <c r="P19" s="341"/>
      <c r="Q19" s="341"/>
      <c r="R19" s="341"/>
      <c r="S19" s="341"/>
      <c r="T19" s="341"/>
      <c r="U19" s="341"/>
      <c r="V19" s="341"/>
      <c r="W19" s="341"/>
      <c r="X19" s="341"/>
      <c r="Y19" s="140"/>
      <c r="Z19" s="135"/>
      <c r="AA19" s="71"/>
      <c r="AB19" s="71"/>
      <c r="AC19" s="71"/>
      <c r="AD19" s="71"/>
      <c r="AE19" s="71"/>
      <c r="AF19" s="71"/>
      <c r="AG19" s="71"/>
      <c r="AH19" s="71"/>
      <c r="AI19" s="71"/>
      <c r="AJ19" s="71"/>
      <c r="AK19" s="71"/>
      <c r="AL19" s="71"/>
    </row>
    <row r="20" spans="1:38" ht="3.95" customHeight="1" x14ac:dyDescent="0.2"/>
    <row r="21" spans="1:38" ht="12" customHeight="1" x14ac:dyDescent="0.2">
      <c r="A21" s="360" t="s">
        <v>412</v>
      </c>
      <c r="B21" s="361"/>
      <c r="C21" s="361"/>
      <c r="D21" s="361"/>
      <c r="E21" s="361"/>
      <c r="F21" s="361"/>
      <c r="G21" s="362" t="b">
        <f>IF('Gusset Pouch'!J18=1,"Side Gusset",IF('Gusset Pouch'!J18=2,"Side Gusset",IF('Gusset Pouch'!J18=3,"Side Gusset",IF('Gusset Pouch'!J18=4,"Bottom Gusset",IF('Gusset Pouch'!J18=5,"Bottom Gusset",IF('Gusset Pouch'!J18=6,"Bottom Gusset"))))))</f>
        <v>0</v>
      </c>
      <c r="H21" s="362"/>
      <c r="I21" s="362"/>
      <c r="J21" s="362"/>
      <c r="K21" s="362"/>
      <c r="L21" s="363"/>
      <c r="M21" s="75"/>
      <c r="N21" s="360" t="s">
        <v>304</v>
      </c>
      <c r="O21" s="361"/>
      <c r="P21" s="361"/>
      <c r="Q21" s="361"/>
      <c r="R21" s="361"/>
      <c r="S21" s="361"/>
      <c r="T21" s="362" t="b">
        <f>'Gusset Pouch'!C25</f>
        <v>0</v>
      </c>
      <c r="U21" s="362"/>
      <c r="V21" s="362"/>
      <c r="W21" s="362"/>
      <c r="X21" s="362"/>
      <c r="Y21" s="363"/>
    </row>
    <row r="22" spans="1:38" ht="3.95" customHeight="1" x14ac:dyDescent="0.2"/>
    <row r="23" spans="1:38" ht="12.95" customHeight="1" x14ac:dyDescent="0.2">
      <c r="A23" s="84" t="s">
        <v>123</v>
      </c>
      <c r="B23" s="98"/>
      <c r="C23" s="98"/>
      <c r="D23" s="98"/>
      <c r="E23" s="98"/>
      <c r="F23" s="98"/>
      <c r="G23" s="356">
        <f>'Gusset Pouch'!C21</f>
        <v>0</v>
      </c>
      <c r="H23" s="356"/>
      <c r="I23" s="356"/>
      <c r="J23" s="356"/>
      <c r="K23" s="356"/>
      <c r="L23" s="357"/>
      <c r="N23" s="84" t="s">
        <v>212</v>
      </c>
      <c r="O23" s="98"/>
      <c r="P23" s="98"/>
      <c r="Q23" s="98"/>
      <c r="R23" s="98"/>
      <c r="S23" s="98"/>
      <c r="T23" s="356">
        <f>'Gusset Pouch'!F21</f>
        <v>0</v>
      </c>
      <c r="U23" s="356"/>
      <c r="V23" s="356"/>
      <c r="W23" s="356"/>
      <c r="X23" s="356"/>
      <c r="Y23" s="357"/>
      <c r="AA23" s="84" t="s">
        <v>356</v>
      </c>
      <c r="AB23" s="98"/>
      <c r="AC23" s="98"/>
      <c r="AD23" s="98"/>
      <c r="AE23" s="98"/>
      <c r="AF23" s="98"/>
      <c r="AG23" s="358">
        <f>'Gusset Pouch'!I21</f>
        <v>0</v>
      </c>
      <c r="AH23" s="358"/>
      <c r="AI23" s="358"/>
      <c r="AJ23" s="358"/>
      <c r="AK23" s="358"/>
      <c r="AL23" s="359"/>
    </row>
    <row r="24" spans="1:38" ht="3.95" customHeight="1" x14ac:dyDescent="0.2"/>
    <row r="25" spans="1:38" ht="12.95" customHeight="1" x14ac:dyDescent="0.2">
      <c r="A25" s="84" t="s">
        <v>114</v>
      </c>
      <c r="B25" s="98"/>
      <c r="C25" s="98"/>
      <c r="D25" s="98"/>
      <c r="E25" s="98"/>
      <c r="F25" s="98"/>
      <c r="G25" s="356">
        <f>'IN to MM'!B12</f>
        <v>0</v>
      </c>
      <c r="H25" s="356"/>
      <c r="I25" s="356"/>
      <c r="J25" s="356"/>
      <c r="K25" s="356"/>
      <c r="L25" s="357"/>
      <c r="N25" s="84" t="s">
        <v>214</v>
      </c>
      <c r="O25" s="98"/>
      <c r="P25" s="98"/>
      <c r="Q25" s="98"/>
      <c r="R25" s="98"/>
      <c r="S25" s="98"/>
      <c r="T25" s="356">
        <f>'IN to MM'!E12</f>
        <v>0</v>
      </c>
      <c r="U25" s="356"/>
      <c r="V25" s="356"/>
      <c r="W25" s="356"/>
      <c r="X25" s="356"/>
      <c r="Y25" s="357"/>
      <c r="AA25" s="84" t="s">
        <v>355</v>
      </c>
      <c r="AB25" s="98"/>
      <c r="AC25" s="98"/>
      <c r="AD25" s="98"/>
      <c r="AE25" s="98"/>
      <c r="AF25" s="98"/>
      <c r="AG25" s="356">
        <f>'IN to MM'!H7</f>
        <v>0</v>
      </c>
      <c r="AH25" s="356"/>
      <c r="AI25" s="356"/>
      <c r="AJ25" s="356"/>
      <c r="AK25" s="356"/>
      <c r="AL25" s="357"/>
    </row>
    <row r="26" spans="1:38" ht="5.0999999999999996" customHeight="1" x14ac:dyDescent="0.2">
      <c r="A26"/>
      <c r="B26"/>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ht="12.95" customHeight="1" x14ac:dyDescent="0.2">
      <c r="M27"/>
      <c r="N27" s="149" t="s">
        <v>11</v>
      </c>
      <c r="O27" s="73"/>
      <c r="P27" s="73"/>
      <c r="Q27" s="73"/>
      <c r="R27" s="73"/>
      <c r="S27" s="73"/>
      <c r="T27" s="276"/>
      <c r="U27" s="276"/>
      <c r="V27" s="276"/>
      <c r="W27" s="276"/>
      <c r="X27" s="276"/>
      <c r="Y27" s="277"/>
      <c r="Z27"/>
      <c r="AA27" s="149" t="s">
        <v>262</v>
      </c>
      <c r="AB27" s="73"/>
      <c r="AC27" s="73"/>
      <c r="AD27" s="73"/>
      <c r="AE27" s="73"/>
      <c r="AF27" s="73"/>
      <c r="AG27" s="278" t="e">
        <f>(((9.8806/T27)*100)-100)-(((9.8806/T27)*100)-100)-(((9.8806/T27)*100)-100)</f>
        <v>#DIV/0!</v>
      </c>
      <c r="AH27" s="278"/>
      <c r="AI27" s="278"/>
      <c r="AJ27" s="278"/>
      <c r="AK27" s="278"/>
      <c r="AL27" s="279"/>
    </row>
    <row r="28" spans="1:38" ht="3.95" customHeight="1" x14ac:dyDescent="0.2">
      <c r="A28"/>
      <c r="B28"/>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ht="12.95" customHeight="1" x14ac:dyDescent="0.2">
      <c r="A29" s="72" t="s">
        <v>137</v>
      </c>
      <c r="B29" s="73"/>
      <c r="C29" s="73"/>
      <c r="D29" s="73"/>
      <c r="E29" s="73"/>
      <c r="F29" s="73"/>
      <c r="G29" s="285" t="b">
        <f>'Gusset Pouch'!C23</f>
        <v>0</v>
      </c>
      <c r="H29" s="285"/>
      <c r="I29" s="285"/>
      <c r="J29" s="285"/>
      <c r="K29" s="285"/>
      <c r="L29" s="285"/>
      <c r="M29" s="285"/>
      <c r="N29" s="285"/>
      <c r="O29" s="285"/>
      <c r="P29" s="285"/>
      <c r="Q29" s="285"/>
      <c r="R29" s="285"/>
      <c r="S29" s="286"/>
      <c r="T29" s="75"/>
      <c r="U29" s="72" t="s">
        <v>39</v>
      </c>
      <c r="V29" s="73"/>
      <c r="W29" s="73"/>
      <c r="X29" s="73"/>
      <c r="Y29" s="73"/>
      <c r="Z29" s="73"/>
      <c r="AA29" s="285" t="b">
        <f>'Gusset Pouch'!I23</f>
        <v>0</v>
      </c>
      <c r="AB29" s="285"/>
      <c r="AC29" s="285"/>
      <c r="AD29" s="285"/>
      <c r="AE29" s="285"/>
      <c r="AF29" s="285"/>
      <c r="AG29" s="285"/>
      <c r="AH29" s="285"/>
      <c r="AI29" s="285"/>
      <c r="AJ29" s="285"/>
      <c r="AK29" s="285"/>
      <c r="AL29" s="286"/>
    </row>
    <row r="30" spans="1:38" ht="3.95" customHeight="1"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ht="20.100000000000001" customHeight="1" x14ac:dyDescent="0.2">
      <c r="A31" s="353" t="s">
        <v>424</v>
      </c>
      <c r="B31" s="217"/>
      <c r="C31" s="217"/>
      <c r="D31" s="217"/>
      <c r="E31" s="217"/>
      <c r="F31" s="217"/>
      <c r="G31" s="349" t="b">
        <f>'Gusset Pouch'!C27</f>
        <v>0</v>
      </c>
      <c r="H31" s="349"/>
      <c r="I31" s="349"/>
      <c r="J31" s="349"/>
      <c r="K31" s="349"/>
      <c r="L31" s="350"/>
      <c r="N31" s="353" t="s">
        <v>425</v>
      </c>
      <c r="O31" s="217"/>
      <c r="P31" s="217"/>
      <c r="Q31" s="217"/>
      <c r="R31" s="217"/>
      <c r="S31" s="217"/>
      <c r="T31" s="349" t="b">
        <f>'Gusset Pouch'!F27</f>
        <v>0</v>
      </c>
      <c r="U31" s="349"/>
      <c r="V31" s="349"/>
      <c r="W31" s="349"/>
      <c r="X31" s="349"/>
      <c r="Y31" s="350"/>
      <c r="AA31" s="353" t="s">
        <v>426</v>
      </c>
      <c r="AB31" s="208"/>
      <c r="AC31" s="208"/>
      <c r="AD31" s="208"/>
      <c r="AE31" s="208"/>
      <c r="AF31" s="208"/>
      <c r="AG31" s="349" t="b">
        <f>'Gusset Pouch'!I27</f>
        <v>0</v>
      </c>
      <c r="AH31" s="349"/>
      <c r="AI31" s="349"/>
      <c r="AJ31" s="349"/>
      <c r="AK31" s="349"/>
      <c r="AL31" s="350"/>
    </row>
    <row r="32" spans="1:38" ht="3.95" customHeight="1" x14ac:dyDescent="0.2"/>
    <row r="33" spans="1:38" ht="20.100000000000001" customHeight="1" x14ac:dyDescent="0.2">
      <c r="A33" s="283" t="s">
        <v>365</v>
      </c>
      <c r="B33" s="284"/>
      <c r="C33" s="284"/>
      <c r="D33" s="284"/>
      <c r="E33" s="351"/>
      <c r="F33" s="351"/>
      <c r="G33" s="351"/>
      <c r="H33" s="352"/>
      <c r="J33" s="283" t="s">
        <v>439</v>
      </c>
      <c r="K33" s="284"/>
      <c r="L33" s="284"/>
      <c r="M33" s="284"/>
      <c r="N33" s="285" t="b">
        <f>'Gusset Pouch'!I25</f>
        <v>0</v>
      </c>
      <c r="O33" s="285"/>
      <c r="P33" s="285"/>
      <c r="Q33" s="286"/>
      <c r="S33" s="287" t="s">
        <v>440</v>
      </c>
      <c r="T33" s="288"/>
      <c r="U33" s="185"/>
      <c r="V33" s="289" t="b">
        <f>'Gusset Pouch'!I29</f>
        <v>0</v>
      </c>
      <c r="W33" s="289"/>
      <c r="X33" s="290"/>
      <c r="Y33"/>
      <c r="Z33"/>
      <c r="AA33"/>
      <c r="AB33"/>
      <c r="AC33"/>
      <c r="AD33"/>
      <c r="AE33"/>
      <c r="AF33"/>
      <c r="AG33"/>
      <c r="AH33"/>
      <c r="AI33"/>
      <c r="AJ33"/>
      <c r="AK33"/>
      <c r="AL33"/>
    </row>
    <row r="34" spans="1:38" ht="3.95" customHeight="1" x14ac:dyDescent="0.2"/>
    <row r="35" spans="1:38" ht="15.95" customHeight="1" x14ac:dyDescent="0.2">
      <c r="A35" s="72" t="s">
        <v>64</v>
      </c>
      <c r="B35" s="73"/>
      <c r="C35" s="73"/>
      <c r="D35" s="73"/>
      <c r="E35" s="73"/>
      <c r="F35" s="73"/>
      <c r="G35" s="285" t="b">
        <f>'Gusset Pouch'!C33</f>
        <v>0</v>
      </c>
      <c r="H35" s="314"/>
      <c r="I35" s="314"/>
      <c r="J35" s="314"/>
      <c r="K35" s="314"/>
      <c r="L35" s="314"/>
      <c r="M35" s="314"/>
      <c r="N35" s="314"/>
      <c r="O35" s="314"/>
      <c r="P35" s="314"/>
      <c r="Q35" s="314"/>
      <c r="R35" s="314"/>
      <c r="S35" s="348"/>
      <c r="T35" s="75"/>
      <c r="U35" s="72" t="s">
        <v>119</v>
      </c>
      <c r="V35" s="73"/>
      <c r="W35" s="73"/>
      <c r="X35" s="73"/>
      <c r="Y35" s="73"/>
      <c r="Z35" s="73"/>
      <c r="AA35" s="285" t="b">
        <f>'Gusset Pouch'!I33</f>
        <v>0</v>
      </c>
      <c r="AB35" s="314"/>
      <c r="AC35" s="314"/>
      <c r="AD35" s="314"/>
      <c r="AE35" s="314"/>
      <c r="AF35" s="314"/>
      <c r="AG35" s="314"/>
      <c r="AH35" s="314"/>
      <c r="AI35" s="314"/>
      <c r="AJ35" s="314"/>
      <c r="AK35" s="314"/>
      <c r="AL35" s="348"/>
    </row>
    <row r="36" spans="1:38" ht="3.95" customHeight="1" x14ac:dyDescent="0.2"/>
    <row r="37" spans="1:38" ht="20.100000000000001" customHeight="1" x14ac:dyDescent="0.2">
      <c r="A37" s="72" t="s">
        <v>366</v>
      </c>
      <c r="B37" s="73"/>
      <c r="C37" s="73"/>
      <c r="D37" s="73"/>
      <c r="E37" s="73"/>
      <c r="F37" s="73"/>
      <c r="G37" s="342">
        <f>'Gusset Pouch'!C35</f>
        <v>0</v>
      </c>
      <c r="H37" s="343"/>
      <c r="I37" s="343"/>
      <c r="J37" s="343"/>
      <c r="K37" s="343"/>
      <c r="L37" s="344"/>
      <c r="N37" s="72" t="s">
        <v>38</v>
      </c>
      <c r="O37" s="73"/>
      <c r="P37" s="73"/>
      <c r="Q37" s="345" t="b">
        <f>'Gusset Pouch'!I35</f>
        <v>0</v>
      </c>
      <c r="R37" s="345"/>
      <c r="S37" s="346"/>
      <c r="T37" s="347" t="b">
        <f>'Gusset Pouch'!F35</f>
        <v>0</v>
      </c>
      <c r="U37" s="285"/>
      <c r="V37" s="285"/>
      <c r="W37" s="285"/>
      <c r="X37" s="285"/>
      <c r="Y37" s="285"/>
      <c r="Z37" s="285"/>
      <c r="AA37" s="285"/>
      <c r="AB37" s="285"/>
      <c r="AC37" s="285"/>
      <c r="AD37" s="285"/>
      <c r="AE37" s="285"/>
      <c r="AF37" s="285"/>
      <c r="AG37" s="285"/>
      <c r="AH37" s="285"/>
      <c r="AI37" s="285"/>
      <c r="AJ37" s="285"/>
      <c r="AK37" s="285"/>
      <c r="AL37" s="286"/>
    </row>
    <row r="38" spans="1:38" ht="3.95" customHeight="1" x14ac:dyDescent="0.2"/>
    <row r="39" spans="1:38" ht="15.95" customHeight="1" x14ac:dyDescent="0.2">
      <c r="A39" s="72" t="s">
        <v>44</v>
      </c>
      <c r="B39" s="73"/>
      <c r="C39" s="73"/>
      <c r="D39" s="73"/>
      <c r="E39" s="73"/>
      <c r="F39" s="73"/>
      <c r="G39" s="285" t="b">
        <f>'Gusset Pouch'!C37</f>
        <v>0</v>
      </c>
      <c r="H39" s="314"/>
      <c r="I39" s="314"/>
      <c r="J39" s="314"/>
      <c r="K39" s="314"/>
      <c r="L39" s="348"/>
      <c r="N39" s="72" t="s">
        <v>38</v>
      </c>
      <c r="O39" s="73"/>
      <c r="P39" s="73"/>
      <c r="Q39" s="345" t="b">
        <f>'Gusset Pouch'!I37</f>
        <v>0</v>
      </c>
      <c r="R39" s="345"/>
      <c r="S39" s="346"/>
      <c r="T39" s="347" t="b">
        <f>'Gusset Pouch'!F37</f>
        <v>0</v>
      </c>
      <c r="U39" s="285"/>
      <c r="V39" s="285"/>
      <c r="W39" s="285"/>
      <c r="X39" s="285"/>
      <c r="Y39" s="285"/>
      <c r="Z39" s="285"/>
      <c r="AA39" s="285"/>
      <c r="AB39" s="285"/>
      <c r="AC39" s="285"/>
      <c r="AD39" s="285"/>
      <c r="AE39" s="285"/>
      <c r="AF39" s="285"/>
      <c r="AG39" s="285"/>
      <c r="AH39" s="285"/>
      <c r="AI39" s="285"/>
      <c r="AJ39" s="285"/>
      <c r="AK39" s="285"/>
      <c r="AL39" s="286"/>
    </row>
    <row r="40" spans="1:38" ht="3.95" customHeight="1" x14ac:dyDescent="0.2">
      <c r="A40" s="81"/>
      <c r="B40" s="81"/>
      <c r="C40" s="81"/>
      <c r="D40" s="81"/>
      <c r="E40" s="81"/>
      <c r="F40" s="81"/>
    </row>
    <row r="41" spans="1:38" ht="20.100000000000001" customHeight="1" x14ac:dyDescent="0.2">
      <c r="A41" s="72" t="s">
        <v>403</v>
      </c>
      <c r="B41" s="73"/>
      <c r="C41" s="73"/>
      <c r="D41" s="73"/>
      <c r="E41" s="73"/>
      <c r="F41" s="73"/>
      <c r="G41" s="342">
        <f>'Gusset Pouch'!C39</f>
        <v>0</v>
      </c>
      <c r="H41" s="343"/>
      <c r="I41" s="343"/>
      <c r="J41" s="343"/>
      <c r="K41" s="343"/>
      <c r="L41" s="344"/>
      <c r="N41" s="149" t="s">
        <v>38</v>
      </c>
      <c r="O41" s="73"/>
      <c r="P41" s="73"/>
      <c r="Q41" s="285" t="b">
        <f>'Gusset Pouch'!F39</f>
        <v>0</v>
      </c>
      <c r="R41" s="285"/>
      <c r="S41" s="285"/>
      <c r="T41" s="285"/>
      <c r="U41" s="285"/>
      <c r="V41" s="285"/>
      <c r="W41" s="285"/>
      <c r="X41" s="285"/>
      <c r="Y41" s="285"/>
      <c r="Z41" s="285"/>
      <c r="AA41" s="285"/>
      <c r="AB41" s="285"/>
      <c r="AC41" s="285"/>
      <c r="AD41" s="285"/>
      <c r="AE41" s="285"/>
      <c r="AF41" s="285"/>
      <c r="AG41" s="285"/>
      <c r="AH41" s="285"/>
      <c r="AI41" s="285"/>
      <c r="AJ41" s="285"/>
      <c r="AK41" s="285"/>
      <c r="AL41" s="286"/>
    </row>
    <row r="42" spans="1:38" ht="3.95" customHeight="1" x14ac:dyDescent="0.2">
      <c r="A42" s="81"/>
      <c r="B42" s="81"/>
      <c r="C42" s="81"/>
      <c r="D42" s="81"/>
      <c r="E42" s="81"/>
      <c r="F42" s="81"/>
    </row>
    <row r="43" spans="1:38" ht="15.95" customHeight="1" x14ac:dyDescent="0.2">
      <c r="A43" s="72" t="s">
        <v>141</v>
      </c>
      <c r="B43" s="73"/>
      <c r="C43" s="73"/>
      <c r="D43" s="73"/>
      <c r="E43" s="73"/>
      <c r="F43" s="73"/>
      <c r="G43" s="285" t="b">
        <f>'Gusset Pouch'!C41</f>
        <v>0</v>
      </c>
      <c r="H43" s="285"/>
      <c r="I43" s="286"/>
      <c r="J43" s="72" t="s">
        <v>142</v>
      </c>
      <c r="K43" s="132"/>
      <c r="L43" s="132"/>
      <c r="M43" s="132"/>
      <c r="N43" s="285" t="b">
        <f>'Gusset Pouch'!F41</f>
        <v>0</v>
      </c>
      <c r="O43" s="285"/>
      <c r="P43" s="285"/>
      <c r="Q43" s="285"/>
      <c r="R43" s="285"/>
      <c r="S43" s="285"/>
      <c r="T43" s="286"/>
      <c r="U43" s="72" t="s">
        <v>250</v>
      </c>
      <c r="V43" s="74"/>
      <c r="W43" s="74"/>
      <c r="X43" s="285" t="b">
        <f>'Gusset Pouch'!C43</f>
        <v>0</v>
      </c>
      <c r="Y43" s="285"/>
      <c r="Z43" s="285"/>
      <c r="AA43" s="285"/>
      <c r="AB43" s="285"/>
      <c r="AC43" s="286"/>
      <c r="AD43" s="82" t="s">
        <v>367</v>
      </c>
      <c r="AE43" s="83"/>
      <c r="AF43" s="83"/>
      <c r="AG43" s="83"/>
      <c r="AH43" s="285" t="b">
        <f>'Gusset Pouch'!I43</f>
        <v>0</v>
      </c>
      <c r="AI43" s="285"/>
      <c r="AJ43" s="285"/>
      <c r="AK43" s="285"/>
      <c r="AL43" s="286"/>
    </row>
    <row r="44" spans="1:38" ht="3.95" customHeight="1" x14ac:dyDescent="0.2"/>
    <row r="45" spans="1:38" ht="15.95" customHeight="1" x14ac:dyDescent="0.2">
      <c r="A45" s="72" t="s">
        <v>16</v>
      </c>
      <c r="B45" s="73"/>
      <c r="C45" s="73"/>
      <c r="D45" s="73"/>
      <c r="E45" s="73"/>
      <c r="F45" s="73"/>
      <c r="G45" s="285" t="b">
        <f>'Gusset Pouch'!F43</f>
        <v>0</v>
      </c>
      <c r="H45" s="285"/>
      <c r="I45" s="285"/>
      <c r="J45" s="285"/>
      <c r="K45" s="285"/>
      <c r="L45" s="286"/>
      <c r="M45" s="72" t="s">
        <v>368</v>
      </c>
      <c r="N45" s="73"/>
      <c r="O45" s="73"/>
      <c r="P45" s="73"/>
      <c r="Q45" s="73"/>
      <c r="R45" s="73"/>
      <c r="S45" s="297" t="b">
        <f>'Gusset Pouch'!I41</f>
        <v>0</v>
      </c>
      <c r="T45" s="297"/>
      <c r="U45" s="297"/>
      <c r="V45" s="133" t="s">
        <v>93</v>
      </c>
      <c r="W45" s="134"/>
      <c r="X45" s="134"/>
      <c r="Y45" s="285" t="b">
        <f>'Gusset Pouch'!C45</f>
        <v>0</v>
      </c>
      <c r="Z45" s="285"/>
      <c r="AA45" s="285"/>
      <c r="AB45" s="285"/>
      <c r="AC45" s="285"/>
      <c r="AD45" s="285"/>
      <c r="AE45" s="285"/>
      <c r="AF45" s="285"/>
      <c r="AG45" s="285"/>
      <c r="AH45" s="285"/>
      <c r="AI45" s="285"/>
      <c r="AJ45" s="285"/>
      <c r="AK45" s="285"/>
      <c r="AL45" s="286"/>
    </row>
    <row r="46" spans="1:38" ht="3.95" customHeight="1" x14ac:dyDescent="0.2"/>
    <row r="47" spans="1:38" ht="15.95" customHeight="1" x14ac:dyDescent="0.2">
      <c r="A47" s="72" t="s">
        <v>369</v>
      </c>
      <c r="B47" s="73"/>
      <c r="C47" s="73"/>
      <c r="D47" s="285">
        <f>'Gusset Pouch'!C47</f>
        <v>0</v>
      </c>
      <c r="E47" s="286"/>
      <c r="F47" s="72" t="s">
        <v>370</v>
      </c>
      <c r="G47" s="73"/>
      <c r="H47" s="73"/>
      <c r="I47" s="73"/>
      <c r="J47" s="73"/>
      <c r="K47" s="337" t="b">
        <f>'Gusset Pouch'!F47</f>
        <v>0</v>
      </c>
      <c r="L47" s="337"/>
      <c r="M47" s="337"/>
      <c r="N47" s="337"/>
      <c r="O47" s="337"/>
      <c r="P47" s="337"/>
      <c r="Q47" s="337"/>
      <c r="R47" s="337"/>
      <c r="S47" s="337"/>
      <c r="T47" s="337"/>
      <c r="U47" s="337"/>
      <c r="V47" s="338"/>
      <c r="W47" s="339" t="s">
        <v>371</v>
      </c>
      <c r="X47" s="340"/>
      <c r="Y47" s="340"/>
      <c r="Z47" s="340"/>
      <c r="AA47" s="340"/>
      <c r="AB47" s="337" t="b">
        <f>'Gusset Pouch'!F49</f>
        <v>0</v>
      </c>
      <c r="AC47" s="337"/>
      <c r="AD47" s="337"/>
      <c r="AE47" s="337"/>
      <c r="AF47" s="337"/>
      <c r="AG47" s="337"/>
      <c r="AH47" s="337"/>
      <c r="AI47" s="337"/>
      <c r="AJ47" s="337"/>
      <c r="AK47" s="337"/>
      <c r="AL47" s="338"/>
    </row>
    <row r="48" spans="1:38" ht="3.95" customHeight="1" x14ac:dyDescent="0.2"/>
    <row r="49" spans="1:51" ht="15" customHeight="1" x14ac:dyDescent="0.2">
      <c r="A49" s="341" t="s">
        <v>372</v>
      </c>
      <c r="B49" s="341"/>
      <c r="C49" s="341"/>
      <c r="D49" s="341"/>
      <c r="E49" s="341"/>
      <c r="F49" s="341"/>
      <c r="G49" s="341"/>
      <c r="H49" s="341"/>
      <c r="I49" s="341"/>
      <c r="J49" s="341"/>
      <c r="K49" s="341"/>
      <c r="L49" s="341"/>
      <c r="M49" s="341"/>
      <c r="N49" s="341"/>
      <c r="O49" s="341"/>
      <c r="P49" s="341"/>
      <c r="Q49" s="341"/>
      <c r="R49" s="341"/>
      <c r="S49" s="341"/>
      <c r="T49" s="71"/>
      <c r="U49" s="71"/>
      <c r="V49" s="71"/>
      <c r="W49" s="71"/>
      <c r="X49" s="71"/>
      <c r="Y49" s="71"/>
      <c r="Z49" s="71"/>
      <c r="AA49" s="71"/>
      <c r="AB49" s="71"/>
      <c r="AC49" s="71"/>
      <c r="AD49" s="71"/>
      <c r="AE49" s="71"/>
      <c r="AF49" s="71"/>
      <c r="AG49" s="71"/>
      <c r="AH49" s="71"/>
      <c r="AI49" s="71"/>
      <c r="AJ49" s="71"/>
      <c r="AK49" s="71"/>
      <c r="AL49" s="71"/>
    </row>
    <row r="50" spans="1:51" ht="3.95" customHeight="1" x14ac:dyDescent="0.2"/>
    <row r="51" spans="1:51" ht="15.95" customHeight="1" x14ac:dyDescent="0.2">
      <c r="A51" s="72" t="s">
        <v>57</v>
      </c>
      <c r="B51" s="73"/>
      <c r="C51" s="73"/>
      <c r="D51" s="73"/>
      <c r="E51" s="297">
        <f>'Gusset Pouch'!F55</f>
        <v>0</v>
      </c>
      <c r="F51" s="297"/>
      <c r="G51" s="297"/>
      <c r="H51" s="297"/>
      <c r="I51" s="297"/>
      <c r="J51" s="297"/>
      <c r="K51" s="297"/>
      <c r="L51" s="297"/>
      <c r="M51" s="297"/>
      <c r="N51" s="297"/>
      <c r="O51" s="297"/>
      <c r="P51" s="297"/>
      <c r="Q51" s="297"/>
      <c r="R51" s="297"/>
      <c r="S51" s="298"/>
      <c r="T51" s="75"/>
      <c r="U51" s="72" t="s">
        <v>208</v>
      </c>
      <c r="V51" s="73"/>
      <c r="W51" s="297">
        <f>'Gusset Pouch'!F57</f>
        <v>0</v>
      </c>
      <c r="X51" s="297"/>
      <c r="Y51" s="297"/>
      <c r="Z51" s="297"/>
      <c r="AA51" s="297"/>
      <c r="AB51" s="297"/>
      <c r="AC51" s="297"/>
      <c r="AD51" s="297"/>
      <c r="AE51" s="297"/>
      <c r="AF51" s="297"/>
      <c r="AG51" s="297"/>
      <c r="AH51" s="297"/>
      <c r="AI51" s="297"/>
      <c r="AJ51" s="297"/>
      <c r="AK51" s="297"/>
      <c r="AL51" s="298"/>
      <c r="AN51"/>
      <c r="AO51"/>
      <c r="AP51"/>
      <c r="AQ51"/>
      <c r="AR51"/>
      <c r="AS51"/>
      <c r="AT51"/>
      <c r="AU51"/>
      <c r="AV51"/>
      <c r="AW51"/>
      <c r="AX51"/>
      <c r="AY51"/>
    </row>
    <row r="52" spans="1:51" ht="3.95" customHeight="1" x14ac:dyDescent="0.2"/>
    <row r="53" spans="1:51" ht="15.95" customHeight="1" x14ac:dyDescent="0.2">
      <c r="A53" s="72" t="s">
        <v>373</v>
      </c>
      <c r="B53" s="73"/>
      <c r="C53" s="73"/>
      <c r="D53" s="73"/>
      <c r="E53" s="297">
        <f>'Gusset Pouch'!F63</f>
        <v>0</v>
      </c>
      <c r="F53" s="297"/>
      <c r="G53" s="297"/>
      <c r="H53" s="297"/>
      <c r="I53" s="297"/>
      <c r="J53" s="298"/>
      <c r="L53" s="333" t="s">
        <v>374</v>
      </c>
      <c r="M53" s="334"/>
      <c r="N53" s="334"/>
      <c r="O53" s="334"/>
      <c r="P53" s="299" t="s">
        <v>126</v>
      </c>
      <c r="Q53" s="299"/>
      <c r="R53" s="299"/>
      <c r="S53" s="299"/>
      <c r="T53" s="320" t="str">
        <f>IF(P53="Other:","Enter material here", IF(P53="N/A","N/A", IF(P53="Metalized","N/A", IF(P53="Clear","N/A", IF(P53="White","N/A")))))</f>
        <v>N/A</v>
      </c>
      <c r="U53" s="320"/>
      <c r="V53" s="320"/>
      <c r="W53" s="320"/>
      <c r="X53" s="320"/>
      <c r="Y53" s="320"/>
      <c r="Z53" s="320"/>
      <c r="AA53" s="320"/>
      <c r="AB53" s="320"/>
      <c r="AC53"/>
      <c r="AD53" s="82" t="s">
        <v>375</v>
      </c>
      <c r="AE53" s="83"/>
      <c r="AF53" s="83"/>
      <c r="AG53" s="83"/>
      <c r="AH53" s="83"/>
      <c r="AI53" s="297">
        <f>'Gusset Pouch'!C57</f>
        <v>0</v>
      </c>
      <c r="AJ53" s="297"/>
      <c r="AK53" s="297"/>
      <c r="AL53" s="298"/>
      <c r="AM53"/>
      <c r="AN53"/>
      <c r="AO53"/>
      <c r="AP53"/>
      <c r="AQ53"/>
      <c r="AR53"/>
      <c r="AS53"/>
      <c r="AT53"/>
      <c r="AU53"/>
    </row>
    <row r="54" spans="1:51" ht="3.95" customHeight="1" x14ac:dyDescent="0.2"/>
    <row r="55" spans="1:51" ht="15" customHeight="1" x14ac:dyDescent="0.2">
      <c r="A55" s="80" t="s">
        <v>190</v>
      </c>
      <c r="B55" s="71"/>
      <c r="C55" s="71"/>
      <c r="D55" s="71"/>
      <c r="E55" s="71"/>
      <c r="F55" s="71"/>
      <c r="G55" s="71"/>
      <c r="H55" s="71"/>
      <c r="I55" s="71"/>
      <c r="J55" s="71"/>
      <c r="K55" s="71"/>
      <c r="L55" s="71"/>
      <c r="M55" s="71"/>
      <c r="N55" s="71"/>
      <c r="O55" s="71"/>
      <c r="P55" s="71"/>
      <c r="Q55" s="71"/>
      <c r="R55" s="76"/>
      <c r="S55" s="141"/>
      <c r="T55" s="76"/>
      <c r="V55" s="80" t="s">
        <v>84</v>
      </c>
      <c r="W55" s="71"/>
      <c r="X55" s="71"/>
      <c r="Y55" s="71"/>
      <c r="Z55" s="71"/>
      <c r="AA55" s="71"/>
      <c r="AB55" s="71"/>
      <c r="AC55" s="71"/>
      <c r="AD55" s="71"/>
      <c r="AE55" s="71"/>
      <c r="AF55" s="71"/>
      <c r="AG55" s="71"/>
      <c r="AH55" s="71"/>
      <c r="AI55" s="71"/>
      <c r="AJ55" s="71"/>
      <c r="AK55" s="71"/>
      <c r="AL55" s="71"/>
    </row>
    <row r="56" spans="1:51" ht="3.95" customHeight="1" x14ac:dyDescent="0.2"/>
    <row r="57" spans="1:51" ht="15.95" customHeight="1" x14ac:dyDescent="0.2">
      <c r="A57" s="84" t="s">
        <v>251</v>
      </c>
      <c r="B57" s="98"/>
      <c r="C57" s="98"/>
      <c r="D57" s="98"/>
      <c r="E57" s="299" t="b">
        <f>IF('General Data'!C43=1,"Enter Size",IF('General Data'!C43=2,"N/A",IF('General Data'!C43=3,"Enter Size")))</f>
        <v>0</v>
      </c>
      <c r="F57" s="335"/>
      <c r="G57" s="335"/>
      <c r="H57" s="336"/>
      <c r="I57" s="75"/>
      <c r="J57" s="84" t="s">
        <v>252</v>
      </c>
      <c r="K57" s="98"/>
      <c r="L57" s="98"/>
      <c r="M57" s="98"/>
      <c r="N57" s="299" t="b">
        <f>IF('General Data'!C43=1,"Enter Size",IF('General Data'!C43=2,"N/A",IF('General Data'!C43=3,"Enter Size")))</f>
        <v>0</v>
      </c>
      <c r="O57" s="335"/>
      <c r="P57" s="335"/>
      <c r="Q57" s="336"/>
      <c r="R57" s="75"/>
      <c r="V57" s="84" t="s">
        <v>251</v>
      </c>
      <c r="W57" s="98"/>
      <c r="X57" s="98"/>
      <c r="Y57" s="98"/>
      <c r="Z57" s="299" t="b">
        <f>IF('General Data'!C43=1,"N/A",IF('General Data'!C43=2,"Enter Size",IF('General Data'!C43=3,"Enter Size")))</f>
        <v>0</v>
      </c>
      <c r="AA57" s="299"/>
      <c r="AB57" s="299"/>
      <c r="AC57" s="300"/>
      <c r="AE57" s="84" t="s">
        <v>252</v>
      </c>
      <c r="AF57" s="98"/>
      <c r="AG57" s="98"/>
      <c r="AH57" s="98"/>
      <c r="AI57" s="299" t="b">
        <f>IF('General Data'!C43=1,"N/A",IF('General Data'!C43=2,"Enter Size",IF('General Data'!C43=3,"Enter Size")))</f>
        <v>0</v>
      </c>
      <c r="AJ57" s="299"/>
      <c r="AK57" s="299"/>
      <c r="AL57" s="300"/>
    </row>
    <row r="58" spans="1:51" ht="3.95" customHeight="1" x14ac:dyDescent="0.2">
      <c r="A58" s="75"/>
      <c r="B58" s="75"/>
      <c r="C58" s="75"/>
      <c r="D58" s="75"/>
      <c r="E58" s="75"/>
      <c r="F58" s="75"/>
      <c r="G58" s="75"/>
      <c r="H58" s="75"/>
      <c r="I58" s="75"/>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row>
    <row r="59" spans="1:51" ht="15.95" customHeight="1" x14ac:dyDescent="0.2">
      <c r="A59" s="324" t="s">
        <v>376</v>
      </c>
      <c r="B59" s="325"/>
      <c r="C59" s="325"/>
      <c r="D59" s="325"/>
      <c r="E59" s="325"/>
      <c r="F59" s="297">
        <f>'Gusset Pouch'!C71</f>
        <v>0</v>
      </c>
      <c r="G59" s="326"/>
      <c r="H59" s="326"/>
      <c r="I59" s="326"/>
      <c r="J59" s="326"/>
      <c r="K59" s="88"/>
      <c r="L59" s="58"/>
      <c r="M59" s="58"/>
      <c r="N59"/>
      <c r="O59"/>
      <c r="P59"/>
      <c r="Q59"/>
      <c r="R59" s="75"/>
      <c r="S59" s="75"/>
      <c r="T59" s="75"/>
      <c r="U59" s="75"/>
      <c r="V59" s="327" t="s">
        <v>259</v>
      </c>
      <c r="W59" s="328"/>
      <c r="X59" s="328"/>
      <c r="Y59" s="328"/>
      <c r="Z59" s="328"/>
      <c r="AA59" s="297">
        <f>'Gusset Pouch'!C85</f>
        <v>0</v>
      </c>
      <c r="AB59" s="329"/>
      <c r="AC59" s="329"/>
      <c r="AD59" s="329"/>
      <c r="AE59" s="330"/>
      <c r="AF59"/>
      <c r="AG59"/>
      <c r="AH59"/>
      <c r="AI59"/>
      <c r="AJ59"/>
      <c r="AK59"/>
      <c r="AL59"/>
      <c r="AN59" s="76"/>
    </row>
    <row r="60" spans="1:51" ht="3.95" customHeight="1" x14ac:dyDescent="0.2">
      <c r="A60" s="75"/>
      <c r="B60" s="75"/>
      <c r="C60" s="75"/>
      <c r="D60" s="75"/>
      <c r="E60" s="75"/>
      <c r="F60" s="75"/>
      <c r="G60" s="75"/>
      <c r="H60" s="75"/>
      <c r="I60" s="75"/>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c r="AI60" s="75"/>
      <c r="AJ60" s="75"/>
      <c r="AK60" s="75"/>
      <c r="AL60" s="75"/>
    </row>
    <row r="61" spans="1:51" ht="15.95" customHeight="1" x14ac:dyDescent="0.2">
      <c r="A61" s="331" t="s">
        <v>253</v>
      </c>
      <c r="B61" s="332"/>
      <c r="C61" s="332"/>
      <c r="D61" s="332"/>
      <c r="E61" s="297">
        <f>'Gusset Pouch'!C73</f>
        <v>0</v>
      </c>
      <c r="F61" s="329"/>
      <c r="G61" s="329"/>
      <c r="H61" s="330"/>
      <c r="I61" s="75"/>
      <c r="J61" s="331" t="s">
        <v>254</v>
      </c>
      <c r="K61" s="332"/>
      <c r="L61" s="332"/>
      <c r="M61" s="332"/>
      <c r="N61" s="297">
        <f>'Gusset Pouch'!C75</f>
        <v>0</v>
      </c>
      <c r="O61" s="329"/>
      <c r="P61" s="329"/>
      <c r="Q61" s="330"/>
      <c r="R61" s="75"/>
      <c r="S61" s="75"/>
      <c r="T61" s="75"/>
      <c r="U61" s="75"/>
      <c r="V61" s="331" t="s">
        <v>253</v>
      </c>
      <c r="W61" s="332"/>
      <c r="X61" s="332"/>
      <c r="Y61" s="332"/>
      <c r="Z61" s="297">
        <f>'Gusset Pouch'!C87</f>
        <v>0</v>
      </c>
      <c r="AA61" s="297"/>
      <c r="AB61" s="297"/>
      <c r="AC61" s="298"/>
      <c r="AD61" s="75"/>
      <c r="AE61" s="331" t="s">
        <v>254</v>
      </c>
      <c r="AF61" s="332"/>
      <c r="AG61" s="332"/>
      <c r="AH61" s="332"/>
      <c r="AI61" s="297">
        <f>'Gusset Pouch'!C89</f>
        <v>0</v>
      </c>
      <c r="AJ61" s="297"/>
      <c r="AK61" s="297"/>
      <c r="AL61" s="298"/>
      <c r="AN61" s="142"/>
    </row>
    <row r="62" spans="1:51" ht="3.95" customHeight="1" x14ac:dyDescent="0.2">
      <c r="A62" s="75"/>
      <c r="B62" s="75"/>
      <c r="C62" s="75"/>
      <c r="D62" s="75"/>
      <c r="E62" s="75"/>
      <c r="F62" s="75"/>
      <c r="G62" s="75"/>
      <c r="H62" s="75"/>
      <c r="I62" s="75"/>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c r="AK62" s="75"/>
      <c r="AL62" s="75"/>
    </row>
    <row r="63" spans="1:51" ht="15.95" customHeight="1" x14ac:dyDescent="0.2">
      <c r="A63" s="72" t="s">
        <v>256</v>
      </c>
      <c r="B63" s="73"/>
      <c r="C63" s="73"/>
      <c r="D63" s="73"/>
      <c r="E63" s="297" t="b">
        <f>'Gusset Pouch'!F73</f>
        <v>0</v>
      </c>
      <c r="F63" s="297"/>
      <c r="G63" s="297"/>
      <c r="H63" s="298"/>
      <c r="I63" s="317" t="b">
        <f>'Gusset Pouch'!G73</f>
        <v>0</v>
      </c>
      <c r="J63" s="318"/>
      <c r="K63" s="318"/>
      <c r="L63" s="318"/>
      <c r="M63" s="318"/>
      <c r="N63" s="318"/>
      <c r="O63" s="318"/>
      <c r="P63" s="318"/>
      <c r="Q63" s="318"/>
      <c r="R63" s="75"/>
      <c r="S63" s="75"/>
      <c r="T63" s="75"/>
      <c r="U63" s="75"/>
      <c r="V63" s="72" t="s">
        <v>256</v>
      </c>
      <c r="W63" s="73"/>
      <c r="X63" s="73"/>
      <c r="Y63" s="73"/>
      <c r="Z63" s="319" t="b">
        <f>'Gusset Pouch'!F87</f>
        <v>0</v>
      </c>
      <c r="AA63" s="297"/>
      <c r="AB63" s="297"/>
      <c r="AC63" s="298"/>
      <c r="AD63" s="317" t="b">
        <f>'Gusset Pouch'!G87</f>
        <v>0</v>
      </c>
      <c r="AE63" s="320"/>
      <c r="AF63" s="320"/>
      <c r="AG63" s="320"/>
      <c r="AH63" s="320"/>
      <c r="AI63" s="320"/>
      <c r="AJ63" s="320"/>
      <c r="AK63" s="320"/>
      <c r="AL63" s="320"/>
    </row>
    <row r="64" spans="1:51" ht="3.95" customHeight="1" x14ac:dyDescent="0.2">
      <c r="A64" s="75"/>
      <c r="B64" s="75"/>
      <c r="C64" s="75"/>
      <c r="D64" s="75"/>
      <c r="E64" s="75"/>
      <c r="F64" s="75"/>
      <c r="G64" s="75"/>
      <c r="H64" s="75"/>
      <c r="I64" s="75"/>
      <c r="J64" s="75"/>
      <c r="K64" s="75"/>
      <c r="L64" s="75"/>
      <c r="M64" s="75"/>
      <c r="N64" s="75"/>
      <c r="O64" s="75"/>
      <c r="P64" s="75"/>
      <c r="Q64" s="75"/>
      <c r="R64" s="75"/>
      <c r="S64" s="75"/>
      <c r="T64" s="75"/>
      <c r="U64" s="75"/>
      <c r="V64" s="75"/>
      <c r="W64" s="75"/>
      <c r="X64" s="75"/>
      <c r="Y64" s="75"/>
      <c r="Z64" s="75"/>
      <c r="AA64" s="75"/>
      <c r="AB64" s="75"/>
      <c r="AC64" s="75"/>
      <c r="AD64" s="75"/>
      <c r="AE64" s="75"/>
    </row>
    <row r="65" spans="1:40" ht="15.95" customHeight="1" x14ac:dyDescent="0.2">
      <c r="A65" s="72" t="s">
        <v>255</v>
      </c>
      <c r="B65" s="73"/>
      <c r="C65" s="73"/>
      <c r="D65" s="73"/>
      <c r="E65" s="321" t="b">
        <f>'Gusset Pouch'!F75</f>
        <v>0</v>
      </c>
      <c r="F65" s="321"/>
      <c r="G65" s="321"/>
      <c r="H65" s="322"/>
      <c r="I65" s="317" t="b">
        <f>'Gusset Pouch'!G75</f>
        <v>0</v>
      </c>
      <c r="J65" s="318"/>
      <c r="K65" s="318"/>
      <c r="L65" s="318"/>
      <c r="M65" s="318"/>
      <c r="N65" s="318"/>
      <c r="O65" s="318"/>
      <c r="P65" s="318"/>
      <c r="Q65" s="318"/>
      <c r="R65" s="75"/>
      <c r="S65" s="75"/>
      <c r="T65" s="75"/>
      <c r="U65" s="75"/>
      <c r="V65" s="72" t="s">
        <v>255</v>
      </c>
      <c r="W65" s="73"/>
      <c r="X65" s="73"/>
      <c r="Y65" s="73"/>
      <c r="Z65" s="323" t="b">
        <f>'Gusset Pouch'!F89</f>
        <v>0</v>
      </c>
      <c r="AA65" s="321"/>
      <c r="AB65" s="321"/>
      <c r="AC65" s="322"/>
      <c r="AD65" s="317" t="b">
        <f>'Gusset Pouch'!G89</f>
        <v>0</v>
      </c>
      <c r="AE65" s="320"/>
      <c r="AF65" s="320"/>
      <c r="AG65" s="320"/>
      <c r="AH65" s="320"/>
      <c r="AI65" s="320"/>
      <c r="AJ65" s="320"/>
      <c r="AK65" s="320"/>
      <c r="AL65" s="320"/>
    </row>
    <row r="66" spans="1:40" ht="3.95" customHeight="1" x14ac:dyDescent="0.2">
      <c r="A66" s="75"/>
      <c r="B66" s="75"/>
      <c r="C66" s="75"/>
      <c r="D66" s="75"/>
      <c r="E66" s="75"/>
      <c r="F66" s="75"/>
      <c r="G66" s="75"/>
      <c r="H66" s="75"/>
      <c r="I66" s="75"/>
      <c r="J66" s="75"/>
      <c r="K66" s="75"/>
      <c r="L66" s="75"/>
      <c r="M66" s="75"/>
      <c r="N66" s="75"/>
      <c r="O66" s="75"/>
      <c r="P66" s="75"/>
      <c r="Q66" s="75"/>
      <c r="R66" s="75"/>
      <c r="S66" s="75"/>
      <c r="T66" s="75"/>
      <c r="U66" s="75"/>
      <c r="V66" s="75"/>
      <c r="W66" s="75"/>
      <c r="X66" s="75"/>
      <c r="Y66" s="75"/>
      <c r="Z66" s="75"/>
      <c r="AA66" s="75"/>
      <c r="AB66" s="75"/>
      <c r="AC66" s="75"/>
      <c r="AD66" s="75"/>
      <c r="AE66" s="75"/>
      <c r="AN66" s="91"/>
    </row>
    <row r="67" spans="1:40" ht="15" customHeight="1" x14ac:dyDescent="0.2">
      <c r="A67" s="80" t="s">
        <v>121</v>
      </c>
      <c r="B67" s="77"/>
      <c r="C67" s="77"/>
      <c r="D67" s="77"/>
      <c r="E67" s="77"/>
      <c r="F67" s="77"/>
      <c r="G67" s="77"/>
      <c r="H67" s="77"/>
      <c r="I67" s="77"/>
      <c r="J67" s="77"/>
      <c r="K67" s="77"/>
      <c r="L67" s="77"/>
      <c r="M67" s="77"/>
      <c r="N67" s="77"/>
      <c r="O67" s="77"/>
      <c r="P67" s="77"/>
      <c r="Q67" s="77"/>
      <c r="R67" s="75"/>
      <c r="S67" s="75"/>
      <c r="T67" s="75"/>
      <c r="V67" s="80" t="s">
        <v>243</v>
      </c>
      <c r="W67" s="77"/>
      <c r="X67" s="77"/>
      <c r="Y67" s="77"/>
      <c r="Z67" s="77"/>
      <c r="AA67" s="77"/>
      <c r="AB67" s="77"/>
      <c r="AC67" s="77"/>
      <c r="AD67" s="77"/>
      <c r="AE67" s="77"/>
      <c r="AF67" s="77"/>
      <c r="AG67" s="77"/>
      <c r="AH67" s="77"/>
      <c r="AI67" s="77"/>
      <c r="AJ67" s="77"/>
      <c r="AK67" s="77"/>
      <c r="AL67" s="71"/>
    </row>
    <row r="68" spans="1:40" ht="3.95" customHeight="1" x14ac:dyDescent="0.2">
      <c r="A68" s="75"/>
      <c r="B68" s="75"/>
      <c r="C68" s="75"/>
      <c r="D68" s="75"/>
      <c r="E68" s="75"/>
      <c r="F68" s="75"/>
      <c r="G68" s="75"/>
      <c r="H68" s="75"/>
      <c r="I68" s="75"/>
      <c r="J68" s="75"/>
      <c r="K68" s="75"/>
      <c r="L68" s="75"/>
      <c r="M68" s="75"/>
      <c r="N68" s="75"/>
      <c r="O68" s="75"/>
      <c r="P68" s="75"/>
      <c r="Q68" s="75"/>
      <c r="R68" s="75"/>
      <c r="S68" s="75"/>
      <c r="T68" s="75"/>
      <c r="U68" s="75"/>
      <c r="V68" s="75"/>
      <c r="W68" s="75"/>
      <c r="X68" s="75"/>
      <c r="Y68" s="75"/>
      <c r="Z68" s="75"/>
      <c r="AA68" s="75"/>
      <c r="AB68" s="75"/>
      <c r="AC68" s="75"/>
      <c r="AD68" s="75"/>
      <c r="AE68" s="75"/>
    </row>
    <row r="69" spans="1:40" ht="15" customHeight="1" x14ac:dyDescent="0.2">
      <c r="A69" s="280">
        <f>'Gusset Pouch'!A67</f>
        <v>0</v>
      </c>
      <c r="B69" s="291"/>
      <c r="C69" s="291"/>
      <c r="D69" s="291"/>
      <c r="E69" s="291"/>
      <c r="F69" s="291"/>
      <c r="G69" s="291"/>
      <c r="H69" s="292"/>
      <c r="I69" s="75"/>
      <c r="J69" s="280">
        <f>'Gusset Pouch'!A69</f>
        <v>0</v>
      </c>
      <c r="K69" s="291"/>
      <c r="L69" s="291"/>
      <c r="M69" s="291"/>
      <c r="N69" s="291"/>
      <c r="O69" s="291"/>
      <c r="P69" s="291"/>
      <c r="Q69" s="292"/>
      <c r="R69" s="75"/>
      <c r="S69" s="75"/>
      <c r="T69" s="75"/>
      <c r="U69" s="75"/>
      <c r="V69" s="280">
        <f>'Gusset Pouch'!A81</f>
        <v>0</v>
      </c>
      <c r="W69" s="281"/>
      <c r="X69" s="281"/>
      <c r="Y69" s="281"/>
      <c r="Z69" s="281"/>
      <c r="AA69" s="281"/>
      <c r="AB69" s="281"/>
      <c r="AC69" s="282"/>
      <c r="AD69" s="75"/>
      <c r="AE69" s="280">
        <f>'Gusset Pouch'!A83</f>
        <v>0</v>
      </c>
      <c r="AF69" s="281"/>
      <c r="AG69" s="281"/>
      <c r="AH69" s="281"/>
      <c r="AI69" s="281"/>
      <c r="AJ69" s="281"/>
      <c r="AK69" s="281"/>
      <c r="AL69" s="282"/>
    </row>
    <row r="70" spans="1:40" ht="3.95" customHeight="1" x14ac:dyDescent="0.2">
      <c r="A70" s="75"/>
      <c r="B70" s="75"/>
      <c r="C70" s="75"/>
      <c r="D70" s="75"/>
      <c r="E70" s="75"/>
      <c r="F70" s="75"/>
      <c r="G70" s="75"/>
      <c r="H70" s="75"/>
      <c r="I70" s="75"/>
      <c r="J70" s="75"/>
      <c r="K70" s="75"/>
      <c r="L70" s="75"/>
      <c r="M70" s="75"/>
      <c r="N70" s="75"/>
      <c r="O70" s="75"/>
      <c r="P70" s="75"/>
      <c r="Q70" s="75"/>
      <c r="R70" s="75"/>
      <c r="S70" s="75"/>
      <c r="T70" s="75"/>
      <c r="U70" s="75"/>
      <c r="V70" s="75"/>
      <c r="W70" s="75"/>
      <c r="X70" s="75"/>
      <c r="Y70" s="75"/>
      <c r="Z70" s="75"/>
      <c r="AA70" s="75"/>
      <c r="AB70" s="75"/>
      <c r="AC70" s="75"/>
      <c r="AD70" s="75"/>
      <c r="AE70" s="75"/>
    </row>
    <row r="71" spans="1:40" ht="15" customHeight="1" x14ac:dyDescent="0.2">
      <c r="A71" s="280">
        <f>'Gusset Pouch'!C67</f>
        <v>0</v>
      </c>
      <c r="B71" s="281"/>
      <c r="C71" s="281"/>
      <c r="D71" s="281"/>
      <c r="E71" s="281"/>
      <c r="F71" s="281"/>
      <c r="G71" s="281"/>
      <c r="H71" s="282"/>
      <c r="I71" s="75"/>
      <c r="J71" s="280">
        <f>'Gusset Pouch'!C69</f>
        <v>0</v>
      </c>
      <c r="K71" s="281"/>
      <c r="L71" s="281"/>
      <c r="M71" s="281"/>
      <c r="N71" s="281"/>
      <c r="O71" s="281"/>
      <c r="P71" s="281"/>
      <c r="Q71" s="282"/>
      <c r="R71" s="75"/>
      <c r="S71" s="75"/>
      <c r="T71" s="75"/>
      <c r="U71" s="75"/>
      <c r="V71" s="280">
        <f>'Gusset Pouch'!C81</f>
        <v>0</v>
      </c>
      <c r="W71" s="281"/>
      <c r="X71" s="281"/>
      <c r="Y71" s="281"/>
      <c r="Z71" s="281"/>
      <c r="AA71" s="281"/>
      <c r="AB71" s="281"/>
      <c r="AC71" s="282"/>
      <c r="AD71" s="75"/>
      <c r="AE71" s="280">
        <f>'Gusset Pouch'!C83</f>
        <v>0</v>
      </c>
      <c r="AF71" s="281"/>
      <c r="AG71" s="281"/>
      <c r="AH71" s="281"/>
      <c r="AI71" s="281"/>
      <c r="AJ71" s="281"/>
      <c r="AK71" s="281"/>
      <c r="AL71" s="282"/>
    </row>
    <row r="72" spans="1:40" ht="3.95" customHeight="1" x14ac:dyDescent="0.2"/>
    <row r="73" spans="1:40" ht="15" customHeight="1" x14ac:dyDescent="0.2">
      <c r="A73" s="280">
        <f>'Gusset Pouch'!E67</f>
        <v>0</v>
      </c>
      <c r="B73" s="281"/>
      <c r="C73" s="281"/>
      <c r="D73" s="281"/>
      <c r="E73" s="281"/>
      <c r="F73" s="281"/>
      <c r="G73" s="281"/>
      <c r="H73" s="282"/>
      <c r="J73" s="280">
        <f>'Gusset Pouch'!E69</f>
        <v>0</v>
      </c>
      <c r="K73" s="281"/>
      <c r="L73" s="281"/>
      <c r="M73" s="281"/>
      <c r="N73" s="281"/>
      <c r="O73" s="281"/>
      <c r="P73" s="281"/>
      <c r="Q73" s="282"/>
      <c r="V73" s="280">
        <f>'Gusset Pouch'!E81</f>
        <v>0</v>
      </c>
      <c r="W73" s="281"/>
      <c r="X73" s="281"/>
      <c r="Y73" s="281"/>
      <c r="Z73" s="281"/>
      <c r="AA73" s="281"/>
      <c r="AB73" s="281"/>
      <c r="AC73" s="282"/>
      <c r="AE73" s="280">
        <f>'Gusset Pouch'!E83</f>
        <v>0</v>
      </c>
      <c r="AF73" s="281"/>
      <c r="AG73" s="281"/>
      <c r="AH73" s="281"/>
      <c r="AI73" s="281"/>
      <c r="AJ73" s="281"/>
      <c r="AK73" s="281"/>
      <c r="AL73" s="282"/>
    </row>
    <row r="74" spans="1:40" ht="3.95" customHeight="1" x14ac:dyDescent="0.2"/>
    <row r="75" spans="1:40" ht="15" customHeight="1" x14ac:dyDescent="0.2">
      <c r="A75" s="280">
        <f>'Gusset Pouch'!F67</f>
        <v>0</v>
      </c>
      <c r="B75" s="281"/>
      <c r="C75" s="281"/>
      <c r="D75" s="281"/>
      <c r="E75" s="281"/>
      <c r="F75" s="281"/>
      <c r="G75" s="281"/>
      <c r="H75" s="282"/>
      <c r="J75" s="280">
        <f>'Gusset Pouch'!F69</f>
        <v>0</v>
      </c>
      <c r="K75" s="281"/>
      <c r="L75" s="281"/>
      <c r="M75" s="281"/>
      <c r="N75" s="281"/>
      <c r="O75" s="281"/>
      <c r="P75" s="281"/>
      <c r="Q75" s="282"/>
      <c r="V75" s="280">
        <f>'Gusset Pouch'!F81</f>
        <v>0</v>
      </c>
      <c r="W75" s="281"/>
      <c r="X75" s="281"/>
      <c r="Y75" s="281"/>
      <c r="Z75" s="281"/>
      <c r="AA75" s="281"/>
      <c r="AB75" s="281"/>
      <c r="AC75" s="282"/>
      <c r="AE75" s="280">
        <f>'Gusset Pouch'!F83</f>
        <v>0</v>
      </c>
      <c r="AF75" s="281"/>
      <c r="AG75" s="281"/>
      <c r="AH75" s="281"/>
      <c r="AI75" s="281"/>
      <c r="AJ75" s="281"/>
      <c r="AK75" s="281"/>
      <c r="AL75" s="282"/>
    </row>
    <row r="76" spans="1:40" ht="3.95" customHeight="1" x14ac:dyDescent="0.2"/>
    <row r="77" spans="1:40" ht="15" customHeight="1" x14ac:dyDescent="0.2">
      <c r="A77" s="280">
        <f>'Gusset Pouch'!G67</f>
        <v>0</v>
      </c>
      <c r="B77" s="281"/>
      <c r="C77" s="281"/>
      <c r="D77" s="281"/>
      <c r="E77" s="281"/>
      <c r="F77" s="281"/>
      <c r="G77" s="281"/>
      <c r="H77" s="282"/>
      <c r="J77" s="280">
        <f>'Gusset Pouch'!G69</f>
        <v>0</v>
      </c>
      <c r="K77" s="281"/>
      <c r="L77" s="281"/>
      <c r="M77" s="281"/>
      <c r="N77" s="281"/>
      <c r="O77" s="281"/>
      <c r="P77" s="281"/>
      <c r="Q77" s="282"/>
      <c r="V77" s="280">
        <f>'Gusset Pouch'!G81</f>
        <v>0</v>
      </c>
      <c r="W77" s="281"/>
      <c r="X77" s="281"/>
      <c r="Y77" s="281"/>
      <c r="Z77" s="281"/>
      <c r="AA77" s="281"/>
      <c r="AB77" s="281"/>
      <c r="AC77" s="282"/>
      <c r="AE77" s="280">
        <f>'Gusset Pouch'!G83</f>
        <v>0</v>
      </c>
      <c r="AF77" s="281"/>
      <c r="AG77" s="281"/>
      <c r="AH77" s="281"/>
      <c r="AI77" s="281"/>
      <c r="AJ77" s="281"/>
      <c r="AK77" s="281"/>
      <c r="AL77" s="282"/>
    </row>
    <row r="78" spans="1:40" ht="3.95" customHeight="1" x14ac:dyDescent="0.2"/>
    <row r="79" spans="1:40" ht="15" customHeight="1" x14ac:dyDescent="0.2">
      <c r="A79" s="280">
        <f>'Gusset Pouch'!I67</f>
        <v>0</v>
      </c>
      <c r="B79" s="281"/>
      <c r="C79" s="281"/>
      <c r="D79" s="281"/>
      <c r="E79" s="281"/>
      <c r="F79" s="281"/>
      <c r="G79" s="281"/>
      <c r="H79" s="282"/>
      <c r="J79" s="280">
        <f>'Gusset Pouch'!I69</f>
        <v>0</v>
      </c>
      <c r="K79" s="281"/>
      <c r="L79" s="281"/>
      <c r="M79" s="281"/>
      <c r="N79" s="281"/>
      <c r="O79" s="281"/>
      <c r="P79" s="281"/>
      <c r="Q79" s="282"/>
      <c r="V79" s="280">
        <f>'Gusset Pouch'!I81</f>
        <v>0</v>
      </c>
      <c r="W79" s="281"/>
      <c r="X79" s="281"/>
      <c r="Y79" s="281"/>
      <c r="Z79" s="281"/>
      <c r="AA79" s="281"/>
      <c r="AB79" s="281"/>
      <c r="AC79" s="282"/>
      <c r="AE79" s="280">
        <f>'Gusset Pouch'!I83</f>
        <v>0</v>
      </c>
      <c r="AF79" s="281"/>
      <c r="AG79" s="281"/>
      <c r="AH79" s="281"/>
      <c r="AI79" s="281"/>
      <c r="AJ79" s="281"/>
      <c r="AK79" s="281"/>
      <c r="AL79" s="282"/>
    </row>
    <row r="80" spans="1:40" customFormat="1" ht="3.95" customHeight="1" x14ac:dyDescent="0.2"/>
    <row r="81" spans="1:38" ht="15" customHeight="1" x14ac:dyDescent="0.2">
      <c r="A81" s="80" t="s">
        <v>377</v>
      </c>
      <c r="B81" s="71"/>
      <c r="C81" s="71"/>
      <c r="D81" s="71"/>
      <c r="E81" s="71"/>
      <c r="F81" s="71"/>
      <c r="G81" s="71"/>
      <c r="H81" s="71"/>
      <c r="I81" s="71"/>
      <c r="J81" s="71"/>
      <c r="K81" s="71"/>
      <c r="L81" s="71"/>
      <c r="M81" s="71"/>
      <c r="N81" s="71"/>
      <c r="O81" s="71"/>
      <c r="P81" s="71"/>
      <c r="Q81" s="71"/>
      <c r="R81" s="71"/>
      <c r="S81" s="71"/>
      <c r="T81" s="71"/>
      <c r="U81" s="71"/>
      <c r="V81" s="71"/>
      <c r="W81" s="71"/>
      <c r="X81" s="71"/>
      <c r="Y81" s="71"/>
      <c r="Z81" s="71"/>
      <c r="AA81" s="71"/>
      <c r="AB81" s="71"/>
      <c r="AC81" s="71"/>
      <c r="AD81" s="71"/>
      <c r="AE81" s="71"/>
      <c r="AF81" s="71"/>
      <c r="AG81" s="71"/>
      <c r="AH81" s="71"/>
      <c r="AI81" s="71"/>
      <c r="AJ81" s="71"/>
      <c r="AK81" s="71"/>
      <c r="AL81" s="71"/>
    </row>
    <row r="82" spans="1:38" ht="3.95" customHeight="1" x14ac:dyDescent="0.2"/>
    <row r="83" spans="1:38" ht="15.95" customHeight="1" x14ac:dyDescent="0.2">
      <c r="A83" s="72" t="s">
        <v>156</v>
      </c>
      <c r="B83" s="73"/>
      <c r="C83" s="73"/>
      <c r="D83" s="73"/>
      <c r="E83" s="73"/>
      <c r="F83" s="73"/>
      <c r="G83" s="307">
        <f>G9</f>
        <v>0</v>
      </c>
      <c r="H83" s="307"/>
      <c r="I83" s="307"/>
      <c r="J83" s="307"/>
      <c r="K83" s="307"/>
      <c r="L83" s="307"/>
      <c r="M83" s="307"/>
      <c r="N83" s="307"/>
      <c r="O83" s="307"/>
      <c r="P83" s="307"/>
      <c r="Q83" s="307"/>
      <c r="R83" s="307"/>
      <c r="S83" s="307"/>
      <c r="T83" s="307"/>
      <c r="U83" s="307"/>
      <c r="V83" s="307"/>
      <c r="W83" s="307"/>
      <c r="X83" s="307"/>
      <c r="Y83" s="308"/>
      <c r="AA83" s="78" t="s">
        <v>68</v>
      </c>
      <c r="AB83" s="73"/>
      <c r="AC83" s="73"/>
      <c r="AD83" s="73"/>
      <c r="AE83" s="73"/>
      <c r="AF83" s="73"/>
      <c r="AG83" s="309">
        <f>AG3</f>
        <v>0</v>
      </c>
      <c r="AH83" s="309"/>
      <c r="AI83" s="309"/>
      <c r="AJ83" s="309"/>
      <c r="AK83" s="309"/>
      <c r="AL83" s="310"/>
    </row>
    <row r="84" spans="1:38" ht="3.95" customHeight="1" x14ac:dyDescent="0.2"/>
    <row r="85" spans="1:38" ht="15.95" customHeight="1" x14ac:dyDescent="0.2">
      <c r="A85" s="72" t="s">
        <v>49</v>
      </c>
      <c r="B85" s="73"/>
      <c r="C85" s="73"/>
      <c r="D85" s="73"/>
      <c r="E85" s="73"/>
      <c r="F85" s="73"/>
      <c r="G85" s="296">
        <f>G11</f>
        <v>0</v>
      </c>
      <c r="H85" s="296"/>
      <c r="I85" s="297">
        <f>J11</f>
        <v>0</v>
      </c>
      <c r="J85" s="297"/>
      <c r="K85" s="297"/>
      <c r="L85" s="297"/>
      <c r="M85" s="297"/>
      <c r="N85" s="297"/>
      <c r="O85" s="297"/>
      <c r="P85" s="297"/>
      <c r="Q85" s="297"/>
      <c r="R85" s="297"/>
      <c r="S85" s="297"/>
      <c r="T85" s="297"/>
      <c r="U85" s="297"/>
      <c r="V85" s="297"/>
      <c r="W85" s="297"/>
      <c r="X85" s="297"/>
      <c r="Y85" s="298"/>
      <c r="AA85" s="72" t="s">
        <v>72</v>
      </c>
      <c r="AB85" s="73"/>
      <c r="AC85" s="73"/>
      <c r="AD85" s="73"/>
      <c r="AE85" s="73"/>
      <c r="AF85" s="73"/>
      <c r="AG85" s="299">
        <f>AG13</f>
        <v>0</v>
      </c>
      <c r="AH85" s="299"/>
      <c r="AI85" s="299"/>
      <c r="AJ85" s="299"/>
      <c r="AK85" s="299"/>
      <c r="AL85" s="300"/>
    </row>
    <row r="86" spans="1:38" ht="3.95" customHeight="1" x14ac:dyDescent="0.2"/>
    <row r="87" spans="1:38" ht="15.95" customHeight="1" x14ac:dyDescent="0.2">
      <c r="A87" s="72" t="s">
        <v>206</v>
      </c>
      <c r="B87" s="73"/>
      <c r="C87" s="73"/>
      <c r="D87" s="73"/>
      <c r="E87" s="73"/>
      <c r="F87" s="73"/>
      <c r="G87" s="311">
        <f>I17</f>
        <v>0</v>
      </c>
      <c r="H87" s="311"/>
      <c r="I87" s="311"/>
      <c r="J87" s="311"/>
      <c r="K87" s="311"/>
      <c r="L87" s="311"/>
      <c r="M87" s="311"/>
      <c r="N87" s="311"/>
      <c r="O87" s="311"/>
      <c r="P87" s="311"/>
      <c r="Q87" s="311"/>
      <c r="R87" s="311"/>
      <c r="S87" s="311"/>
      <c r="T87" s="311"/>
      <c r="U87" s="311"/>
      <c r="V87" s="311"/>
      <c r="W87" s="311"/>
      <c r="X87" s="311"/>
      <c r="Y87" s="312"/>
      <c r="AA87" s="313" t="s">
        <v>378</v>
      </c>
      <c r="AB87" s="314"/>
      <c r="AC87" s="297">
        <f>'Gusset Pouch'!C5</f>
        <v>0</v>
      </c>
      <c r="AD87" s="297"/>
      <c r="AE87" s="297"/>
      <c r="AF87" s="298"/>
      <c r="AH87" s="72" t="s">
        <v>205</v>
      </c>
      <c r="AI87" s="73"/>
      <c r="AJ87" s="299">
        <f>AJ15</f>
        <v>0</v>
      </c>
      <c r="AK87" s="299"/>
      <c r="AL87" s="300"/>
    </row>
    <row r="88" spans="1:38" ht="3.95" customHeight="1" x14ac:dyDescent="0.2"/>
    <row r="89" spans="1:38" ht="15.95" customHeight="1" x14ac:dyDescent="0.2">
      <c r="A89" s="72" t="s">
        <v>2</v>
      </c>
      <c r="B89" s="73"/>
      <c r="C89" s="73"/>
      <c r="D89" s="73"/>
      <c r="E89" s="73"/>
      <c r="F89" s="73"/>
      <c r="G89" s="301">
        <f>G7</f>
        <v>0</v>
      </c>
      <c r="H89" s="301"/>
      <c r="I89" s="301"/>
      <c r="J89" s="301"/>
      <c r="K89" s="301"/>
      <c r="L89" s="302"/>
      <c r="N89" s="72" t="s">
        <v>63</v>
      </c>
      <c r="O89" s="73"/>
      <c r="P89" s="73"/>
      <c r="Q89" s="73"/>
      <c r="R89" s="73"/>
      <c r="S89" s="73"/>
      <c r="T89" s="303">
        <f>T7</f>
        <v>0</v>
      </c>
      <c r="U89" s="303"/>
      <c r="V89" s="303"/>
      <c r="W89" s="303"/>
      <c r="X89" s="303"/>
      <c r="Y89" s="304"/>
      <c r="AA89" s="72" t="s">
        <v>26</v>
      </c>
      <c r="AB89" s="73"/>
      <c r="AC89" s="73"/>
      <c r="AD89" s="73"/>
      <c r="AE89" s="73"/>
      <c r="AF89" s="73"/>
      <c r="AG89" s="305">
        <f>AG7</f>
        <v>0</v>
      </c>
      <c r="AH89" s="305"/>
      <c r="AI89" s="305"/>
      <c r="AJ89" s="305"/>
      <c r="AK89" s="305"/>
      <c r="AL89" s="306"/>
    </row>
    <row r="90" spans="1:38" ht="3.95" customHeight="1" x14ac:dyDescent="0.2"/>
    <row r="91" spans="1:38" ht="15.95" customHeight="1" x14ac:dyDescent="0.2">
      <c r="A91" s="315" t="s">
        <v>260</v>
      </c>
      <c r="B91" s="316"/>
      <c r="C91" s="316"/>
      <c r="D91" s="316"/>
      <c r="E91" s="316"/>
      <c r="F91" s="316"/>
      <c r="G91" s="91"/>
      <c r="H91" s="91"/>
      <c r="I91" s="91"/>
      <c r="J91" s="91"/>
      <c r="K91" s="91"/>
      <c r="L91" s="91"/>
      <c r="M91" s="91"/>
      <c r="N91" s="91"/>
      <c r="O91" s="91"/>
      <c r="P91" s="91"/>
      <c r="Q91" s="91"/>
      <c r="R91" s="91"/>
      <c r="S91" s="91"/>
      <c r="T91" s="91"/>
      <c r="U91" s="91"/>
      <c r="V91" s="91"/>
      <c r="W91" s="91"/>
      <c r="X91" s="91"/>
      <c r="Y91" s="91"/>
      <c r="Z91" s="91"/>
      <c r="AA91" s="91"/>
      <c r="AB91" s="91"/>
      <c r="AC91" s="91"/>
      <c r="AD91" s="91"/>
      <c r="AE91" s="91"/>
      <c r="AF91" s="91"/>
      <c r="AG91" s="91"/>
      <c r="AH91" s="91"/>
      <c r="AI91" s="91"/>
      <c r="AJ91" s="91"/>
      <c r="AK91" s="91"/>
      <c r="AL91" s="91"/>
    </row>
    <row r="92" spans="1:38" ht="12" customHeight="1" x14ac:dyDescent="0.2">
      <c r="A92" s="189"/>
      <c r="B92" s="189"/>
      <c r="C92" s="189"/>
      <c r="D92" s="189"/>
      <c r="E92" s="189"/>
      <c r="F92" s="189"/>
      <c r="G92" s="189"/>
      <c r="H92" s="189"/>
      <c r="I92" s="189"/>
      <c r="J92" s="189"/>
      <c r="K92" s="189"/>
      <c r="L92" s="189"/>
      <c r="M92" s="189"/>
      <c r="N92" s="189"/>
      <c r="O92" s="189"/>
      <c r="P92" s="189"/>
      <c r="Q92" s="189"/>
      <c r="R92" s="189"/>
      <c r="S92" s="189"/>
      <c r="T92" s="189"/>
      <c r="U92" s="189"/>
      <c r="V92" s="189"/>
      <c r="W92" s="189"/>
      <c r="X92" s="189"/>
      <c r="Y92" s="189"/>
      <c r="Z92" s="189"/>
      <c r="AA92" s="189"/>
      <c r="AB92" s="189"/>
      <c r="AC92" s="189"/>
      <c r="AD92" s="189"/>
      <c r="AE92" s="189"/>
      <c r="AF92" s="189"/>
      <c r="AG92" s="189"/>
      <c r="AH92" s="189"/>
      <c r="AI92" s="189"/>
      <c r="AJ92" s="189"/>
      <c r="AK92" s="189"/>
      <c r="AL92" s="189"/>
    </row>
    <row r="93" spans="1:38" ht="12" customHeight="1" x14ac:dyDescent="0.2">
      <c r="A93" s="189"/>
      <c r="B93" s="189"/>
      <c r="C93" s="189"/>
      <c r="D93" s="189"/>
      <c r="E93" s="189"/>
      <c r="F93" s="189"/>
      <c r="G93" s="189"/>
      <c r="H93" s="189"/>
      <c r="I93" s="189"/>
      <c r="J93" s="189"/>
      <c r="K93" s="189"/>
      <c r="L93" s="189"/>
      <c r="M93" s="189"/>
      <c r="N93" s="189"/>
      <c r="O93" s="189"/>
      <c r="P93" s="189"/>
      <c r="Q93" s="189"/>
      <c r="R93" s="189"/>
      <c r="S93" s="189"/>
      <c r="T93" s="189"/>
      <c r="U93" s="189"/>
      <c r="V93" s="189"/>
      <c r="W93" s="189"/>
      <c r="X93" s="189"/>
      <c r="Y93" s="189"/>
      <c r="Z93" s="189"/>
      <c r="AA93" s="189"/>
      <c r="AB93" s="189"/>
      <c r="AC93" s="189"/>
      <c r="AD93" s="189"/>
      <c r="AE93" s="189"/>
      <c r="AF93" s="189"/>
      <c r="AG93" s="189"/>
      <c r="AH93" s="189"/>
      <c r="AI93" s="189"/>
      <c r="AJ93" s="189"/>
      <c r="AK93" s="189"/>
      <c r="AL93" s="189"/>
    </row>
    <row r="94" spans="1:38" ht="12" customHeight="1" x14ac:dyDescent="0.2">
      <c r="A94" s="85"/>
      <c r="B94" s="85"/>
      <c r="C94" s="85"/>
      <c r="D94" s="85"/>
      <c r="E94" s="85"/>
      <c r="F94" s="85"/>
      <c r="G94" s="85"/>
      <c r="H94" s="85"/>
      <c r="I94" s="85"/>
      <c r="J94" s="85"/>
      <c r="K94" s="85"/>
      <c r="L94" s="85"/>
      <c r="M94" s="85"/>
      <c r="N94" s="85"/>
      <c r="O94" s="85"/>
      <c r="P94" s="85"/>
      <c r="Q94" s="85"/>
      <c r="R94" s="85"/>
      <c r="S94" s="85"/>
      <c r="T94" s="85"/>
      <c r="U94" s="85"/>
      <c r="V94" s="85"/>
      <c r="W94" s="85"/>
      <c r="X94" s="85"/>
      <c r="Y94" s="85"/>
      <c r="Z94" s="85"/>
      <c r="AA94" s="85"/>
      <c r="AB94" s="85"/>
      <c r="AC94" s="85"/>
      <c r="AD94" s="85"/>
      <c r="AE94" s="85"/>
      <c r="AF94" s="85"/>
      <c r="AG94" s="85"/>
      <c r="AH94" s="85"/>
      <c r="AI94" s="85"/>
      <c r="AJ94" s="85"/>
      <c r="AK94" s="85"/>
      <c r="AL94" s="85"/>
    </row>
    <row r="95" spans="1:38" ht="12" customHeight="1" x14ac:dyDescent="0.2">
      <c r="A95" s="85"/>
      <c r="B95" s="85"/>
      <c r="C95" s="85"/>
      <c r="D95" s="85"/>
      <c r="E95" s="85"/>
      <c r="F95" s="85"/>
      <c r="G95" s="85"/>
      <c r="H95" s="85"/>
      <c r="I95" s="85"/>
      <c r="J95" s="85"/>
      <c r="K95" s="85"/>
      <c r="L95" s="85"/>
      <c r="M95" s="85"/>
      <c r="N95" s="85"/>
      <c r="O95" s="85"/>
      <c r="P95" s="85"/>
      <c r="Q95" s="85"/>
      <c r="R95" s="85"/>
      <c r="S95" s="85"/>
      <c r="T95" s="85"/>
      <c r="U95" s="85"/>
      <c r="V95" s="85"/>
      <c r="W95" s="85"/>
      <c r="X95" s="85"/>
      <c r="Y95" s="85"/>
      <c r="Z95" s="85"/>
      <c r="AA95" s="85"/>
      <c r="AB95" s="85"/>
      <c r="AC95" s="85"/>
      <c r="AD95" s="85"/>
      <c r="AE95" s="85"/>
      <c r="AF95" s="85"/>
      <c r="AG95" s="85"/>
      <c r="AH95" s="85"/>
      <c r="AI95" s="85"/>
      <c r="AJ95" s="85"/>
      <c r="AK95" s="85"/>
      <c r="AL95" s="85"/>
    </row>
    <row r="96" spans="1:38" ht="12" customHeight="1" x14ac:dyDescent="0.2">
      <c r="A96" s="85"/>
      <c r="B96" s="85"/>
      <c r="C96" s="85"/>
      <c r="D96" s="85"/>
      <c r="E96" s="85"/>
      <c r="F96" s="85"/>
      <c r="G96" s="85"/>
      <c r="H96" s="85"/>
      <c r="I96" s="85"/>
      <c r="J96" s="85"/>
      <c r="K96" s="85"/>
      <c r="L96" s="85"/>
      <c r="M96" s="85"/>
      <c r="N96" s="85"/>
      <c r="O96" s="85"/>
      <c r="P96" s="85"/>
      <c r="Q96" s="85"/>
      <c r="R96" s="85"/>
      <c r="S96" s="85"/>
      <c r="T96" s="85"/>
      <c r="U96" s="85"/>
      <c r="V96" s="85"/>
      <c r="W96" s="85"/>
      <c r="X96" s="85"/>
      <c r="Y96" s="85"/>
      <c r="Z96" s="85"/>
      <c r="AA96" s="85"/>
      <c r="AB96" s="85"/>
      <c r="AC96" s="85"/>
      <c r="AD96" s="85"/>
      <c r="AE96" s="85"/>
      <c r="AF96" s="85"/>
      <c r="AG96" s="85"/>
      <c r="AH96" s="85"/>
      <c r="AI96" s="85"/>
      <c r="AJ96" s="85"/>
      <c r="AK96" s="85"/>
      <c r="AL96" s="85"/>
    </row>
    <row r="97" spans="1:38" ht="12" customHeight="1" x14ac:dyDescent="0.2">
      <c r="A97" s="85"/>
      <c r="B97" s="85"/>
      <c r="C97" s="85"/>
      <c r="D97" s="85"/>
      <c r="E97" s="85"/>
      <c r="F97" s="85"/>
      <c r="G97" s="85"/>
      <c r="H97" s="85"/>
      <c r="I97" s="85"/>
      <c r="J97" s="85"/>
      <c r="K97" s="85"/>
      <c r="L97" s="85"/>
      <c r="M97" s="85"/>
      <c r="N97" s="85"/>
      <c r="O97" s="85"/>
      <c r="P97" s="85"/>
      <c r="Q97" s="85"/>
      <c r="R97" s="85"/>
      <c r="S97" s="85"/>
      <c r="T97" s="85"/>
      <c r="U97" s="85"/>
      <c r="V97" s="85"/>
      <c r="W97" s="85"/>
      <c r="X97" s="85"/>
      <c r="Y97" s="85"/>
      <c r="Z97" s="85"/>
      <c r="AA97" s="85"/>
      <c r="AB97" s="85"/>
      <c r="AC97" s="85"/>
      <c r="AD97" s="85"/>
      <c r="AE97" s="85"/>
      <c r="AF97" s="85"/>
      <c r="AG97" s="85"/>
      <c r="AH97" s="85"/>
      <c r="AI97" s="85"/>
      <c r="AJ97" s="85"/>
      <c r="AK97" s="85"/>
      <c r="AL97" s="85"/>
    </row>
    <row r="98" spans="1:38" ht="12" customHeight="1" x14ac:dyDescent="0.2">
      <c r="A98" s="85"/>
      <c r="B98" s="85"/>
      <c r="C98" s="85"/>
      <c r="D98" s="85"/>
      <c r="E98" s="85"/>
      <c r="F98" s="85"/>
      <c r="G98" s="85"/>
      <c r="H98" s="85"/>
      <c r="I98" s="85"/>
      <c r="J98" s="85"/>
      <c r="K98" s="85"/>
      <c r="L98" s="85"/>
      <c r="M98" s="85"/>
      <c r="N98" s="85"/>
      <c r="O98" s="85"/>
      <c r="P98" s="85"/>
      <c r="Q98" s="85"/>
      <c r="R98" s="85"/>
      <c r="S98" s="85"/>
      <c r="T98" s="85"/>
      <c r="U98" s="85"/>
      <c r="V98" s="85"/>
      <c r="W98" s="85"/>
      <c r="X98" s="85"/>
      <c r="Y98" s="85"/>
      <c r="Z98" s="85"/>
      <c r="AA98" s="85"/>
      <c r="AB98" s="85"/>
      <c r="AC98" s="85"/>
      <c r="AD98" s="85"/>
      <c r="AE98" s="85"/>
      <c r="AF98" s="85"/>
      <c r="AG98" s="85"/>
      <c r="AH98" s="85"/>
      <c r="AI98" s="85"/>
      <c r="AJ98" s="85"/>
      <c r="AK98" s="85"/>
      <c r="AL98" s="85"/>
    </row>
    <row r="99" spans="1:38" ht="12" customHeight="1" x14ac:dyDescent="0.2">
      <c r="A99" s="85"/>
      <c r="B99" s="85"/>
      <c r="C99" s="85"/>
      <c r="D99" s="85"/>
      <c r="E99" s="85"/>
      <c r="F99" s="85"/>
      <c r="G99" s="85"/>
      <c r="H99" s="85"/>
      <c r="I99" s="85"/>
      <c r="J99" s="85"/>
      <c r="K99" s="85"/>
      <c r="L99" s="85"/>
      <c r="M99" s="85"/>
      <c r="N99" s="85"/>
      <c r="O99" s="85"/>
      <c r="P99" s="85"/>
      <c r="Q99" s="85"/>
      <c r="R99" s="85"/>
      <c r="S99" s="85"/>
      <c r="T99" s="85"/>
      <c r="U99" s="85"/>
      <c r="V99" s="85"/>
      <c r="W99" s="85"/>
      <c r="X99" s="85"/>
      <c r="Y99" s="85"/>
      <c r="Z99" s="85"/>
      <c r="AA99" s="85"/>
      <c r="AB99" s="85"/>
      <c r="AC99" s="85"/>
      <c r="AD99" s="85"/>
      <c r="AE99" s="85"/>
      <c r="AF99" s="85"/>
      <c r="AG99" s="85"/>
      <c r="AH99" s="85"/>
      <c r="AI99" s="85"/>
      <c r="AJ99" s="85"/>
      <c r="AK99" s="85"/>
      <c r="AL99" s="85"/>
    </row>
    <row r="100" spans="1:38" ht="12" customHeight="1" x14ac:dyDescent="0.2">
      <c r="A100" s="85"/>
      <c r="B100" s="85"/>
      <c r="C100" s="85"/>
      <c r="D100" s="85"/>
      <c r="E100" s="85"/>
      <c r="F100" s="85"/>
      <c r="G100" s="85"/>
      <c r="H100" s="85"/>
      <c r="I100" s="85"/>
      <c r="J100" s="85"/>
      <c r="K100" s="85"/>
      <c r="L100" s="85"/>
      <c r="M100" s="85"/>
      <c r="N100" s="85"/>
      <c r="O100" s="85"/>
      <c r="P100" s="85"/>
      <c r="Q100" s="85"/>
      <c r="R100" s="85"/>
      <c r="S100" s="85"/>
      <c r="T100" s="85"/>
      <c r="U100" s="85"/>
      <c r="V100" s="85"/>
      <c r="W100" s="85"/>
      <c r="X100" s="85"/>
      <c r="Y100" s="85"/>
      <c r="Z100" s="85"/>
      <c r="AA100" s="85"/>
      <c r="AB100" s="85"/>
      <c r="AC100" s="85"/>
      <c r="AD100" s="85"/>
      <c r="AE100" s="85"/>
      <c r="AF100" s="85"/>
      <c r="AG100" s="85"/>
      <c r="AH100" s="85"/>
      <c r="AI100" s="85"/>
      <c r="AJ100" s="85"/>
      <c r="AK100" s="85"/>
      <c r="AL100" s="85"/>
    </row>
    <row r="101" spans="1:38" ht="12" customHeight="1" x14ac:dyDescent="0.2">
      <c r="A101" s="85"/>
      <c r="B101" s="85"/>
      <c r="C101" s="85"/>
      <c r="D101" s="85"/>
      <c r="E101" s="85"/>
      <c r="F101" s="85"/>
      <c r="G101" s="85"/>
      <c r="H101" s="85"/>
      <c r="I101" s="85"/>
      <c r="J101" s="85"/>
      <c r="K101" s="85"/>
      <c r="L101" s="85"/>
      <c r="M101" s="85"/>
      <c r="N101" s="85"/>
      <c r="O101" s="85"/>
      <c r="P101" s="85"/>
      <c r="Q101" s="85"/>
      <c r="R101" s="85"/>
      <c r="S101" s="85"/>
      <c r="T101" s="85"/>
      <c r="U101" s="85"/>
      <c r="V101" s="85"/>
      <c r="W101" s="85"/>
      <c r="X101" s="85"/>
      <c r="Y101" s="85"/>
      <c r="Z101" s="85"/>
      <c r="AA101" s="85"/>
      <c r="AB101" s="85"/>
      <c r="AC101" s="85"/>
      <c r="AD101" s="85"/>
      <c r="AE101" s="85"/>
      <c r="AF101" s="85"/>
      <c r="AG101" s="85"/>
      <c r="AH101" s="85"/>
      <c r="AI101" s="85"/>
      <c r="AJ101" s="85"/>
      <c r="AK101" s="85"/>
      <c r="AL101" s="85"/>
    </row>
    <row r="102" spans="1:38" ht="12" customHeight="1" x14ac:dyDescent="0.2">
      <c r="A102" s="85"/>
      <c r="B102" s="85"/>
      <c r="C102" s="85"/>
      <c r="D102" s="85"/>
      <c r="E102" s="85"/>
      <c r="F102" s="85"/>
      <c r="G102" s="85"/>
      <c r="H102" s="85"/>
      <c r="I102" s="85"/>
      <c r="J102" s="85"/>
      <c r="K102" s="85"/>
      <c r="L102" s="85"/>
      <c r="M102" s="85"/>
      <c r="N102" s="85"/>
      <c r="O102" s="85"/>
      <c r="P102" s="85"/>
      <c r="Q102" s="85"/>
      <c r="R102" s="85"/>
      <c r="S102" s="85"/>
      <c r="T102" s="85"/>
      <c r="U102" s="85"/>
      <c r="V102" s="85"/>
      <c r="W102" s="85"/>
      <c r="X102" s="85"/>
      <c r="Y102" s="85"/>
      <c r="Z102" s="85"/>
      <c r="AA102" s="85"/>
      <c r="AB102" s="85"/>
      <c r="AC102" s="85"/>
      <c r="AD102" s="85"/>
      <c r="AE102" s="85"/>
      <c r="AF102" s="85"/>
      <c r="AG102" s="85"/>
      <c r="AH102" s="85"/>
      <c r="AI102" s="85"/>
      <c r="AJ102" s="85"/>
      <c r="AK102" s="85"/>
      <c r="AL102" s="85"/>
    </row>
    <row r="103" spans="1:38" ht="12" customHeight="1" x14ac:dyDescent="0.2">
      <c r="A103" s="85"/>
      <c r="B103" s="85"/>
      <c r="C103" s="85"/>
      <c r="D103" s="85"/>
      <c r="E103" s="85"/>
      <c r="F103" s="85"/>
      <c r="G103" s="85"/>
      <c r="H103" s="85"/>
      <c r="I103" s="85"/>
      <c r="J103" s="85"/>
      <c r="K103" s="85"/>
      <c r="L103" s="85"/>
      <c r="M103" s="85"/>
      <c r="N103" s="85"/>
      <c r="O103" s="85"/>
      <c r="P103" s="85"/>
      <c r="Q103" s="85"/>
      <c r="R103" s="85"/>
      <c r="S103" s="85"/>
      <c r="T103" s="85"/>
      <c r="U103" s="85"/>
      <c r="V103" s="85"/>
      <c r="W103" s="85"/>
      <c r="X103" s="85"/>
      <c r="Y103" s="85"/>
      <c r="Z103" s="85"/>
      <c r="AA103" s="85"/>
      <c r="AB103" s="85"/>
      <c r="AC103" s="85"/>
      <c r="AD103" s="85"/>
      <c r="AE103" s="85"/>
      <c r="AF103" s="85"/>
      <c r="AG103" s="85"/>
      <c r="AH103" s="85"/>
      <c r="AI103" s="85"/>
      <c r="AJ103" s="85"/>
      <c r="AK103" s="85"/>
      <c r="AL103" s="85"/>
    </row>
    <row r="104" spans="1:38" ht="12" customHeight="1" x14ac:dyDescent="0.2">
      <c r="A104" s="85"/>
      <c r="B104" s="85"/>
      <c r="C104" s="85"/>
      <c r="D104" s="85"/>
      <c r="E104" s="85"/>
      <c r="F104" s="85"/>
      <c r="G104" s="85"/>
      <c r="H104" s="85"/>
      <c r="I104" s="85"/>
      <c r="J104" s="85"/>
      <c r="K104" s="85"/>
      <c r="L104" s="85"/>
      <c r="M104" s="85"/>
      <c r="N104" s="85"/>
      <c r="O104" s="85"/>
      <c r="P104" s="85"/>
      <c r="Q104" s="85"/>
      <c r="R104" s="85"/>
      <c r="S104" s="85"/>
      <c r="T104" s="85"/>
      <c r="U104" s="85"/>
      <c r="V104" s="85"/>
      <c r="W104" s="85"/>
      <c r="X104" s="85"/>
      <c r="Y104" s="85"/>
      <c r="Z104" s="85"/>
      <c r="AA104" s="85"/>
      <c r="AB104" s="85"/>
      <c r="AC104" s="85"/>
      <c r="AD104" s="85"/>
      <c r="AE104" s="85"/>
      <c r="AF104" s="85"/>
      <c r="AG104" s="85"/>
      <c r="AH104" s="85"/>
      <c r="AI104" s="85"/>
      <c r="AJ104" s="85"/>
      <c r="AK104" s="85"/>
      <c r="AL104" s="85"/>
    </row>
    <row r="105" spans="1:38" ht="12" customHeight="1" x14ac:dyDescent="0.2">
      <c r="A105" s="85"/>
      <c r="B105" s="85"/>
      <c r="C105" s="85"/>
      <c r="D105" s="85"/>
      <c r="E105" s="85"/>
      <c r="F105" s="85"/>
      <c r="G105" s="85"/>
      <c r="H105" s="85"/>
      <c r="I105" s="85"/>
      <c r="J105" s="85"/>
      <c r="K105" s="85"/>
      <c r="L105" s="85"/>
      <c r="M105" s="85"/>
      <c r="N105" s="85"/>
      <c r="O105" s="85"/>
      <c r="P105" s="85"/>
      <c r="Q105" s="85"/>
      <c r="R105" s="85"/>
      <c r="S105" s="85"/>
      <c r="T105" s="85"/>
      <c r="U105" s="85"/>
      <c r="V105" s="85"/>
      <c r="W105" s="85"/>
      <c r="X105" s="85"/>
      <c r="Y105" s="85"/>
      <c r="Z105" s="85"/>
      <c r="AA105" s="85"/>
      <c r="AB105" s="85"/>
      <c r="AC105" s="85"/>
      <c r="AD105" s="85"/>
      <c r="AE105" s="85"/>
      <c r="AF105" s="85"/>
      <c r="AG105" s="85"/>
      <c r="AH105" s="85"/>
      <c r="AI105" s="85"/>
      <c r="AJ105" s="85"/>
      <c r="AK105" s="85"/>
      <c r="AL105" s="85"/>
    </row>
    <row r="106" spans="1:38" ht="12" customHeight="1" x14ac:dyDescent="0.2">
      <c r="A106" s="85"/>
      <c r="B106" s="85"/>
      <c r="C106" s="85"/>
      <c r="D106" s="85"/>
      <c r="E106" s="85"/>
      <c r="F106" s="85"/>
      <c r="G106" s="85"/>
      <c r="H106" s="85"/>
      <c r="I106" s="85"/>
      <c r="J106" s="85"/>
      <c r="K106" s="85"/>
      <c r="L106" s="85"/>
      <c r="M106" s="85"/>
      <c r="N106" s="85"/>
      <c r="O106" s="85"/>
      <c r="P106" s="85"/>
      <c r="Q106" s="85"/>
      <c r="R106" s="85"/>
      <c r="S106" s="85"/>
      <c r="T106" s="85"/>
      <c r="U106" s="85"/>
      <c r="V106" s="85"/>
      <c r="W106" s="85"/>
      <c r="X106" s="85"/>
      <c r="Y106" s="85"/>
      <c r="Z106" s="85"/>
      <c r="AA106" s="85"/>
      <c r="AB106" s="85"/>
      <c r="AC106" s="85"/>
      <c r="AD106" s="85"/>
      <c r="AE106" s="85"/>
      <c r="AF106" s="85"/>
      <c r="AG106" s="85"/>
      <c r="AH106" s="85"/>
      <c r="AI106" s="85"/>
      <c r="AJ106" s="85"/>
      <c r="AK106" s="85"/>
      <c r="AL106" s="85"/>
    </row>
    <row r="107" spans="1:38" ht="12" customHeight="1" x14ac:dyDescent="0.2">
      <c r="A107" s="85"/>
      <c r="B107" s="85"/>
      <c r="C107" s="85"/>
      <c r="D107" s="85"/>
      <c r="E107" s="85"/>
      <c r="F107" s="85"/>
      <c r="G107" s="85"/>
      <c r="H107" s="85"/>
      <c r="I107" s="85"/>
      <c r="J107" s="85"/>
      <c r="K107" s="85"/>
      <c r="L107" s="85"/>
      <c r="M107" s="85"/>
      <c r="N107" s="85"/>
      <c r="O107" s="85"/>
      <c r="P107" s="85"/>
      <c r="Q107" s="85"/>
      <c r="R107" s="85"/>
      <c r="S107" s="85"/>
      <c r="T107" s="85"/>
      <c r="U107" s="85"/>
      <c r="V107" s="85"/>
      <c r="W107" s="85"/>
      <c r="X107" s="85"/>
      <c r="Y107" s="85"/>
      <c r="Z107" s="85"/>
      <c r="AA107" s="85"/>
      <c r="AB107" s="85"/>
      <c r="AC107" s="85"/>
      <c r="AD107" s="85"/>
      <c r="AE107" s="85"/>
      <c r="AF107" s="85"/>
      <c r="AG107" s="85"/>
      <c r="AH107" s="85"/>
      <c r="AI107" s="85"/>
      <c r="AJ107" s="85"/>
      <c r="AK107" s="85"/>
      <c r="AL107" s="85"/>
    </row>
    <row r="108" spans="1:38" ht="12" customHeight="1" x14ac:dyDescent="0.2">
      <c r="A108" s="85"/>
      <c r="B108" s="85"/>
      <c r="C108" s="85"/>
      <c r="D108" s="85"/>
      <c r="E108" s="85"/>
      <c r="F108" s="85"/>
      <c r="G108" s="85"/>
      <c r="H108" s="85"/>
      <c r="I108" s="85"/>
      <c r="J108" s="85"/>
      <c r="K108" s="85"/>
      <c r="L108" s="85"/>
      <c r="M108" s="85"/>
      <c r="N108" s="85"/>
      <c r="O108" s="85"/>
      <c r="P108" s="85"/>
      <c r="Q108" s="85"/>
      <c r="R108" s="85"/>
      <c r="S108" s="85"/>
      <c r="T108" s="85"/>
      <c r="U108" s="85"/>
      <c r="V108" s="85"/>
      <c r="W108" s="85"/>
      <c r="X108" s="85"/>
      <c r="Y108" s="85"/>
      <c r="Z108" s="85"/>
      <c r="AA108" s="85"/>
      <c r="AB108" s="85"/>
      <c r="AC108" s="85"/>
      <c r="AD108" s="85"/>
      <c r="AE108" s="85"/>
      <c r="AF108" s="85"/>
      <c r="AG108" s="85"/>
      <c r="AH108" s="85"/>
      <c r="AI108" s="85"/>
      <c r="AJ108" s="85"/>
      <c r="AK108" s="85"/>
      <c r="AL108" s="85"/>
    </row>
    <row r="109" spans="1:38" ht="12" customHeight="1" x14ac:dyDescent="0.2">
      <c r="A109" s="85"/>
      <c r="B109" s="85"/>
      <c r="C109" s="85"/>
      <c r="D109" s="85"/>
      <c r="E109" s="85"/>
      <c r="F109" s="85"/>
      <c r="G109" s="85"/>
      <c r="H109" s="85"/>
      <c r="I109" s="85"/>
      <c r="J109" s="85"/>
      <c r="K109" s="85"/>
      <c r="L109" s="85"/>
      <c r="M109" s="85"/>
      <c r="N109" s="85"/>
      <c r="O109" s="85"/>
      <c r="P109" s="85"/>
      <c r="Q109" s="85"/>
      <c r="R109" s="85"/>
      <c r="S109" s="85"/>
      <c r="T109" s="85"/>
      <c r="U109" s="85"/>
      <c r="V109" s="85"/>
      <c r="W109" s="85"/>
      <c r="X109" s="85"/>
      <c r="Y109" s="85"/>
      <c r="Z109" s="85"/>
      <c r="AA109" s="85"/>
      <c r="AB109" s="85"/>
      <c r="AC109" s="85"/>
      <c r="AD109" s="85"/>
      <c r="AE109" s="85"/>
      <c r="AF109" s="85"/>
      <c r="AG109" s="85"/>
      <c r="AH109" s="85"/>
      <c r="AI109" s="85"/>
      <c r="AJ109" s="85"/>
      <c r="AK109" s="85"/>
      <c r="AL109" s="85"/>
    </row>
    <row r="110" spans="1:38" ht="12" customHeight="1" x14ac:dyDescent="0.2">
      <c r="A110" s="85"/>
      <c r="B110" s="85"/>
      <c r="C110" s="85"/>
      <c r="D110" s="85"/>
      <c r="E110" s="85"/>
      <c r="F110" s="85"/>
      <c r="G110" s="85"/>
      <c r="H110" s="85"/>
      <c r="I110" s="85"/>
      <c r="J110" s="85"/>
      <c r="K110" s="85"/>
      <c r="L110" s="85"/>
      <c r="M110" s="85"/>
      <c r="N110" s="85"/>
      <c r="O110" s="85"/>
      <c r="P110" s="85"/>
      <c r="Q110" s="85"/>
      <c r="R110" s="85"/>
      <c r="S110" s="85"/>
      <c r="T110" s="85"/>
      <c r="U110" s="85"/>
      <c r="V110" s="85"/>
      <c r="W110" s="85"/>
      <c r="X110" s="85"/>
      <c r="Y110" s="85"/>
      <c r="Z110" s="85"/>
      <c r="AA110" s="85"/>
      <c r="AB110" s="85"/>
      <c r="AC110" s="85"/>
      <c r="AD110" s="85"/>
      <c r="AE110" s="85"/>
      <c r="AF110" s="85"/>
      <c r="AG110" s="85"/>
      <c r="AH110" s="85"/>
      <c r="AI110" s="85"/>
      <c r="AJ110" s="85"/>
      <c r="AK110" s="85"/>
      <c r="AL110" s="85"/>
    </row>
    <row r="111" spans="1:38" ht="12" customHeight="1" x14ac:dyDescent="0.2">
      <c r="A111" s="85"/>
      <c r="B111" s="85"/>
      <c r="C111" s="85"/>
      <c r="D111" s="85"/>
      <c r="E111" s="85"/>
      <c r="F111" s="85"/>
      <c r="G111" s="85"/>
      <c r="H111" s="85"/>
      <c r="I111" s="85"/>
      <c r="J111" s="85"/>
      <c r="K111" s="85"/>
      <c r="L111" s="85"/>
      <c r="M111" s="85"/>
      <c r="N111" s="85"/>
      <c r="O111" s="85"/>
      <c r="P111" s="85"/>
      <c r="Q111" s="85"/>
      <c r="R111" s="85"/>
      <c r="S111" s="85"/>
      <c r="T111" s="85"/>
      <c r="U111" s="85"/>
      <c r="V111" s="85"/>
      <c r="W111" s="85"/>
      <c r="X111" s="85"/>
      <c r="Y111" s="85"/>
      <c r="Z111" s="85"/>
      <c r="AA111" s="85"/>
      <c r="AB111" s="85"/>
      <c r="AC111" s="85"/>
      <c r="AD111" s="85"/>
      <c r="AE111" s="85"/>
      <c r="AF111" s="85"/>
      <c r="AG111" s="85"/>
      <c r="AH111" s="85"/>
      <c r="AI111" s="85"/>
      <c r="AJ111" s="85"/>
      <c r="AK111" s="85"/>
      <c r="AL111" s="85"/>
    </row>
    <row r="112" spans="1:38" ht="12" customHeight="1" x14ac:dyDescent="0.2">
      <c r="A112" s="85"/>
      <c r="B112" s="85"/>
      <c r="C112" s="85"/>
      <c r="D112" s="85"/>
      <c r="E112" s="85"/>
      <c r="F112" s="85"/>
      <c r="G112" s="85"/>
      <c r="H112" s="85"/>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c r="AF112" s="85"/>
      <c r="AG112" s="85"/>
      <c r="AH112" s="85"/>
      <c r="AI112" s="85"/>
      <c r="AJ112" s="85"/>
      <c r="AK112" s="85"/>
      <c r="AL112" s="85"/>
    </row>
    <row r="113" spans="1:38" ht="12" customHeight="1" x14ac:dyDescent="0.2">
      <c r="A113" s="85"/>
      <c r="B113" s="85"/>
      <c r="C113" s="85"/>
      <c r="D113" s="85"/>
      <c r="E113" s="85"/>
      <c r="F113" s="85"/>
      <c r="G113" s="85"/>
      <c r="H113" s="85"/>
      <c r="I113" s="85"/>
      <c r="J113" s="85"/>
      <c r="K113" s="85"/>
      <c r="L113" s="85"/>
      <c r="M113" s="85"/>
      <c r="N113" s="85"/>
      <c r="O113" s="85"/>
      <c r="P113" s="85"/>
      <c r="Q113" s="85"/>
      <c r="R113" s="85"/>
      <c r="S113" s="85"/>
      <c r="T113" s="85"/>
      <c r="U113" s="85"/>
      <c r="V113" s="85"/>
      <c r="W113" s="85"/>
      <c r="X113" s="85"/>
      <c r="Y113" s="85"/>
      <c r="Z113" s="85"/>
      <c r="AA113" s="85"/>
      <c r="AB113" s="85"/>
      <c r="AC113" s="85"/>
      <c r="AD113" s="85"/>
      <c r="AE113" s="85"/>
      <c r="AF113" s="85"/>
      <c r="AG113" s="85"/>
      <c r="AH113" s="85"/>
      <c r="AI113" s="85"/>
      <c r="AJ113" s="85"/>
      <c r="AK113" s="85"/>
      <c r="AL113" s="85"/>
    </row>
    <row r="114" spans="1:38" ht="12" customHeight="1" x14ac:dyDescent="0.2">
      <c r="A114" s="85"/>
      <c r="B114" s="85"/>
      <c r="C114" s="85"/>
      <c r="D114" s="85"/>
      <c r="E114" s="85"/>
      <c r="F114" s="85"/>
      <c r="G114" s="85"/>
      <c r="H114" s="85"/>
      <c r="I114" s="85"/>
      <c r="J114" s="85"/>
      <c r="K114" s="85"/>
      <c r="L114" s="85"/>
      <c r="M114" s="85"/>
      <c r="N114" s="85"/>
      <c r="O114" s="85"/>
      <c r="P114" s="85"/>
      <c r="Q114" s="85"/>
      <c r="R114" s="85"/>
      <c r="S114" s="85"/>
      <c r="T114" s="85"/>
      <c r="U114" s="85"/>
      <c r="V114" s="85"/>
      <c r="W114" s="85"/>
      <c r="X114" s="85"/>
      <c r="Y114" s="85"/>
      <c r="Z114" s="85"/>
      <c r="AA114" s="85"/>
      <c r="AB114" s="85"/>
      <c r="AC114" s="85"/>
      <c r="AD114" s="85"/>
      <c r="AE114" s="85"/>
      <c r="AF114" s="85"/>
      <c r="AG114" s="85"/>
      <c r="AH114" s="85"/>
      <c r="AI114" s="85"/>
      <c r="AJ114" s="85"/>
      <c r="AK114" s="85"/>
      <c r="AL114" s="85"/>
    </row>
    <row r="115" spans="1:38" ht="12" customHeight="1" x14ac:dyDescent="0.2">
      <c r="A115" s="85"/>
      <c r="B115" s="85"/>
      <c r="C115" s="85"/>
      <c r="D115" s="85"/>
      <c r="E115" s="85"/>
      <c r="F115" s="85"/>
      <c r="G115" s="85"/>
      <c r="H115" s="85"/>
      <c r="I115" s="85"/>
      <c r="J115" s="85"/>
      <c r="K115" s="85"/>
      <c r="L115" s="85"/>
      <c r="M115" s="85"/>
      <c r="N115" s="85"/>
      <c r="O115" s="85"/>
      <c r="P115" s="85"/>
      <c r="Q115" s="85"/>
      <c r="R115" s="85"/>
      <c r="S115" s="85"/>
      <c r="T115" s="85"/>
      <c r="U115" s="85"/>
      <c r="V115" s="85"/>
      <c r="W115" s="85"/>
      <c r="X115" s="85"/>
      <c r="Y115" s="85"/>
      <c r="Z115" s="85"/>
      <c r="AA115" s="85"/>
      <c r="AB115" s="85"/>
      <c r="AC115" s="85"/>
      <c r="AD115" s="85"/>
      <c r="AE115" s="85"/>
      <c r="AF115" s="85"/>
      <c r="AG115" s="85"/>
      <c r="AH115" s="85"/>
      <c r="AI115" s="85"/>
      <c r="AJ115" s="85"/>
      <c r="AK115" s="85"/>
      <c r="AL115" s="85"/>
    </row>
    <row r="116" spans="1:38" ht="12" customHeight="1" x14ac:dyDescent="0.2">
      <c r="A116" s="85"/>
      <c r="B116" s="85"/>
      <c r="C116" s="85"/>
      <c r="D116" s="85"/>
      <c r="E116" s="85"/>
      <c r="F116" s="85"/>
      <c r="G116" s="85"/>
      <c r="H116" s="85"/>
      <c r="I116" s="85"/>
      <c r="J116" s="85"/>
      <c r="K116" s="85"/>
      <c r="L116" s="85"/>
      <c r="M116" s="85"/>
      <c r="N116" s="85"/>
      <c r="O116" s="85"/>
      <c r="P116" s="85"/>
      <c r="Q116" s="85"/>
      <c r="R116" s="85"/>
      <c r="S116" s="85"/>
      <c r="T116" s="85"/>
      <c r="U116" s="85"/>
      <c r="V116" s="85"/>
      <c r="W116" s="85"/>
      <c r="X116" s="85"/>
      <c r="Y116" s="85"/>
      <c r="Z116" s="85"/>
      <c r="AA116" s="85"/>
      <c r="AB116" s="85"/>
      <c r="AC116" s="85"/>
      <c r="AD116" s="85"/>
      <c r="AE116" s="85"/>
      <c r="AF116" s="85"/>
      <c r="AG116" s="85"/>
      <c r="AH116" s="85"/>
      <c r="AI116" s="85"/>
      <c r="AJ116" s="85"/>
      <c r="AK116" s="85"/>
      <c r="AL116" s="85"/>
    </row>
    <row r="117" spans="1:38" ht="12" customHeight="1" x14ac:dyDescent="0.2">
      <c r="A117" s="85"/>
      <c r="B117" s="85"/>
      <c r="C117" s="85"/>
      <c r="D117" s="85"/>
      <c r="E117" s="85"/>
      <c r="F117" s="85"/>
      <c r="G117" s="85"/>
      <c r="H117" s="85"/>
      <c r="I117" s="85"/>
      <c r="J117" s="85"/>
      <c r="K117" s="85"/>
      <c r="L117" s="85"/>
      <c r="M117" s="85"/>
      <c r="N117" s="85"/>
      <c r="O117" s="85"/>
      <c r="P117" s="85"/>
      <c r="Q117" s="85"/>
      <c r="R117" s="85"/>
      <c r="S117" s="85"/>
      <c r="T117" s="85"/>
      <c r="U117" s="85"/>
      <c r="V117" s="85"/>
      <c r="W117" s="85"/>
      <c r="X117" s="85"/>
      <c r="Y117" s="85"/>
      <c r="Z117" s="85"/>
      <c r="AA117" s="85"/>
      <c r="AB117" s="85"/>
      <c r="AC117" s="85"/>
      <c r="AD117" s="85"/>
      <c r="AE117" s="85"/>
      <c r="AF117" s="85"/>
      <c r="AG117" s="85"/>
      <c r="AH117" s="85"/>
      <c r="AI117" s="85"/>
      <c r="AJ117" s="85"/>
      <c r="AK117" s="85"/>
      <c r="AL117" s="85"/>
    </row>
    <row r="118" spans="1:38" ht="12" customHeight="1" x14ac:dyDescent="0.2">
      <c r="A118" s="85"/>
      <c r="B118" s="85"/>
      <c r="C118" s="85"/>
      <c r="D118" s="85"/>
      <c r="E118" s="85"/>
      <c r="F118" s="85"/>
      <c r="G118" s="85"/>
      <c r="H118" s="85"/>
      <c r="I118" s="85"/>
      <c r="J118" s="85"/>
      <c r="K118" s="85"/>
      <c r="L118" s="85"/>
      <c r="M118" s="85"/>
      <c r="N118" s="85"/>
      <c r="O118" s="85"/>
      <c r="P118" s="85"/>
      <c r="Q118" s="85"/>
      <c r="R118" s="85"/>
      <c r="S118" s="85"/>
      <c r="T118" s="85"/>
      <c r="U118" s="85"/>
      <c r="V118" s="85"/>
      <c r="W118" s="85"/>
      <c r="X118" s="85"/>
      <c r="Y118" s="85"/>
      <c r="Z118" s="85"/>
      <c r="AA118" s="85"/>
      <c r="AB118" s="85"/>
      <c r="AC118" s="85"/>
      <c r="AD118" s="85"/>
      <c r="AE118" s="85"/>
      <c r="AF118" s="85"/>
      <c r="AG118" s="85"/>
      <c r="AH118" s="85"/>
      <c r="AI118" s="85"/>
      <c r="AJ118" s="85"/>
      <c r="AK118" s="85"/>
      <c r="AL118" s="85"/>
    </row>
    <row r="119" spans="1:38" ht="12" customHeight="1" x14ac:dyDescent="0.2">
      <c r="A119" s="85"/>
      <c r="B119" s="85"/>
      <c r="C119" s="85"/>
      <c r="D119" s="85"/>
      <c r="E119" s="85"/>
      <c r="F119" s="85"/>
      <c r="G119" s="85"/>
      <c r="H119" s="85"/>
      <c r="I119" s="85"/>
      <c r="J119" s="85"/>
      <c r="K119" s="85"/>
      <c r="L119" s="85"/>
      <c r="M119" s="85"/>
      <c r="N119" s="85"/>
      <c r="O119" s="85"/>
      <c r="P119" s="85"/>
      <c r="Q119" s="85"/>
      <c r="R119" s="85"/>
      <c r="S119" s="85"/>
      <c r="T119" s="85"/>
      <c r="U119" s="85"/>
      <c r="V119" s="85"/>
      <c r="W119" s="85"/>
      <c r="X119" s="85"/>
      <c r="Y119" s="85"/>
      <c r="Z119" s="85"/>
      <c r="AA119" s="85"/>
      <c r="AB119" s="85"/>
      <c r="AC119" s="85"/>
      <c r="AD119" s="85"/>
      <c r="AE119" s="85"/>
      <c r="AF119" s="85"/>
      <c r="AG119" s="85"/>
      <c r="AH119" s="85"/>
      <c r="AI119" s="85"/>
      <c r="AJ119" s="85"/>
      <c r="AK119" s="85"/>
      <c r="AL119" s="85"/>
    </row>
    <row r="120" spans="1:38" ht="12" customHeight="1" x14ac:dyDescent="0.2">
      <c r="A120" s="85"/>
      <c r="B120" s="85"/>
      <c r="C120" s="85"/>
      <c r="D120" s="85"/>
      <c r="E120" s="85"/>
      <c r="F120" s="85"/>
      <c r="G120" s="85"/>
      <c r="H120" s="85"/>
      <c r="I120" s="85"/>
      <c r="J120" s="85"/>
      <c r="K120" s="85"/>
      <c r="L120" s="85"/>
      <c r="M120" s="85"/>
      <c r="N120" s="85"/>
      <c r="O120" s="85"/>
      <c r="P120" s="85"/>
      <c r="Q120" s="85"/>
      <c r="R120" s="85"/>
      <c r="S120" s="85"/>
      <c r="T120" s="85"/>
      <c r="U120" s="85"/>
      <c r="V120" s="85"/>
      <c r="W120" s="85"/>
      <c r="X120" s="85"/>
      <c r="Y120" s="85"/>
      <c r="Z120" s="85"/>
      <c r="AA120" s="85"/>
      <c r="AB120" s="85"/>
      <c r="AC120" s="85"/>
      <c r="AD120" s="85"/>
      <c r="AE120" s="85"/>
      <c r="AF120" s="85"/>
      <c r="AG120" s="85"/>
      <c r="AH120" s="85"/>
      <c r="AI120" s="85"/>
      <c r="AJ120" s="85"/>
      <c r="AK120" s="85"/>
      <c r="AL120" s="85"/>
    </row>
    <row r="121" spans="1:38" ht="12" customHeight="1" x14ac:dyDescent="0.2">
      <c r="A121" s="85"/>
      <c r="B121" s="85"/>
      <c r="C121" s="85"/>
      <c r="D121" s="85"/>
      <c r="E121" s="85"/>
      <c r="F121" s="85"/>
      <c r="G121" s="85"/>
      <c r="H121" s="85"/>
      <c r="I121" s="85"/>
      <c r="J121" s="85"/>
      <c r="K121" s="85"/>
      <c r="L121" s="85"/>
      <c r="M121" s="85"/>
      <c r="N121" s="85"/>
      <c r="O121" s="85"/>
      <c r="P121" s="85"/>
      <c r="Q121" s="85"/>
      <c r="R121" s="85"/>
      <c r="S121" s="85"/>
      <c r="T121" s="85"/>
      <c r="U121" s="85"/>
      <c r="V121" s="85"/>
      <c r="W121" s="85"/>
      <c r="X121" s="85"/>
      <c r="Y121" s="85"/>
      <c r="Z121" s="85"/>
      <c r="AA121" s="85"/>
      <c r="AB121" s="85"/>
      <c r="AC121" s="85"/>
      <c r="AD121" s="85"/>
      <c r="AE121" s="85"/>
      <c r="AF121" s="85"/>
      <c r="AG121" s="85"/>
      <c r="AH121" s="85"/>
      <c r="AI121" s="85"/>
      <c r="AJ121" s="85"/>
      <c r="AK121" s="85"/>
      <c r="AL121" s="85"/>
    </row>
    <row r="122" spans="1:38" ht="12" customHeight="1" x14ac:dyDescent="0.2">
      <c r="A122" s="85"/>
      <c r="B122" s="85"/>
      <c r="C122" s="85"/>
      <c r="D122" s="85"/>
      <c r="E122" s="85"/>
      <c r="F122" s="85"/>
      <c r="G122" s="85"/>
      <c r="H122" s="85"/>
      <c r="I122" s="85"/>
      <c r="J122" s="85"/>
      <c r="K122" s="85"/>
      <c r="L122" s="85"/>
      <c r="M122" s="85"/>
      <c r="N122" s="85"/>
      <c r="O122" s="85"/>
      <c r="P122" s="85"/>
      <c r="Q122" s="85"/>
      <c r="R122" s="85"/>
      <c r="S122" s="85"/>
      <c r="T122" s="85"/>
      <c r="U122" s="85"/>
      <c r="V122" s="85"/>
      <c r="W122" s="85"/>
      <c r="X122" s="85"/>
      <c r="Y122" s="85"/>
      <c r="Z122" s="85"/>
      <c r="AA122" s="85"/>
      <c r="AB122" s="85"/>
      <c r="AC122" s="85"/>
      <c r="AD122" s="85"/>
      <c r="AE122" s="85"/>
      <c r="AF122" s="85"/>
      <c r="AG122" s="85"/>
      <c r="AH122" s="85"/>
      <c r="AI122" s="85"/>
      <c r="AJ122" s="85"/>
      <c r="AK122" s="85"/>
      <c r="AL122" s="85"/>
    </row>
    <row r="123" spans="1:38" ht="12" customHeight="1" x14ac:dyDescent="0.2">
      <c r="A123" s="85"/>
      <c r="B123" s="85"/>
      <c r="C123" s="85"/>
      <c r="D123" s="85"/>
      <c r="E123" s="85"/>
      <c r="F123" s="85"/>
      <c r="G123" s="85"/>
      <c r="H123" s="85"/>
      <c r="I123" s="85"/>
      <c r="J123" s="85"/>
      <c r="K123" s="85"/>
      <c r="L123" s="85"/>
      <c r="M123" s="85"/>
      <c r="N123" s="85"/>
      <c r="O123" s="85"/>
      <c r="P123" s="85"/>
      <c r="Q123" s="85"/>
      <c r="R123" s="85"/>
      <c r="S123" s="85"/>
      <c r="T123" s="85"/>
      <c r="U123" s="85"/>
      <c r="V123" s="85"/>
      <c r="W123" s="85"/>
      <c r="X123" s="85"/>
      <c r="Y123" s="85"/>
      <c r="Z123" s="85"/>
      <c r="AA123" s="85"/>
      <c r="AB123" s="85"/>
      <c r="AC123" s="85"/>
      <c r="AD123" s="85"/>
      <c r="AE123" s="85"/>
      <c r="AF123" s="85"/>
      <c r="AG123" s="85"/>
      <c r="AH123" s="85"/>
      <c r="AI123" s="85"/>
      <c r="AJ123" s="85"/>
      <c r="AK123" s="85"/>
      <c r="AL123" s="85"/>
    </row>
    <row r="124" spans="1:38" ht="12" customHeight="1" x14ac:dyDescent="0.2">
      <c r="A124" s="85"/>
      <c r="B124" s="85"/>
      <c r="C124" s="85"/>
      <c r="D124" s="85"/>
      <c r="E124" s="85"/>
      <c r="F124" s="85"/>
      <c r="G124" s="85"/>
      <c r="H124" s="85"/>
      <c r="I124" s="85"/>
      <c r="J124" s="85"/>
      <c r="K124" s="85"/>
      <c r="L124" s="85"/>
      <c r="M124" s="85"/>
      <c r="N124" s="85"/>
      <c r="O124" s="85"/>
      <c r="P124" s="85"/>
      <c r="Q124" s="85"/>
      <c r="R124" s="85"/>
      <c r="S124" s="85"/>
      <c r="T124" s="85"/>
      <c r="U124" s="85"/>
      <c r="V124" s="85"/>
      <c r="W124" s="85"/>
      <c r="X124" s="85"/>
      <c r="Y124" s="85"/>
      <c r="Z124" s="85"/>
      <c r="AA124" s="85"/>
      <c r="AB124" s="85"/>
      <c r="AC124" s="85"/>
      <c r="AD124" s="85"/>
      <c r="AE124" s="85"/>
      <c r="AF124" s="85"/>
      <c r="AG124" s="85"/>
      <c r="AH124" s="85"/>
      <c r="AI124" s="85"/>
      <c r="AJ124" s="85"/>
      <c r="AK124" s="85"/>
      <c r="AL124" s="85"/>
    </row>
    <row r="125" spans="1:38" ht="12" customHeight="1" x14ac:dyDescent="0.2">
      <c r="A125" s="85"/>
      <c r="B125" s="85"/>
      <c r="C125" s="85"/>
      <c r="D125" s="85"/>
      <c r="E125" s="85"/>
      <c r="F125" s="85"/>
      <c r="G125" s="85"/>
      <c r="H125" s="85"/>
      <c r="I125" s="85"/>
      <c r="J125" s="85"/>
      <c r="K125" s="85"/>
      <c r="L125" s="85"/>
      <c r="M125" s="85"/>
      <c r="N125" s="85"/>
      <c r="O125" s="85"/>
      <c r="P125" s="85"/>
      <c r="Q125" s="85"/>
      <c r="R125" s="85"/>
      <c r="S125" s="85"/>
      <c r="T125" s="85"/>
      <c r="U125" s="85"/>
      <c r="V125" s="85"/>
      <c r="W125" s="85"/>
      <c r="X125" s="85"/>
      <c r="Y125" s="85"/>
      <c r="Z125" s="85"/>
      <c r="AA125" s="85"/>
      <c r="AB125" s="85"/>
      <c r="AC125" s="85"/>
      <c r="AD125" s="85"/>
      <c r="AE125" s="85"/>
      <c r="AF125" s="85"/>
      <c r="AG125" s="85"/>
      <c r="AH125" s="85"/>
      <c r="AI125" s="85"/>
      <c r="AJ125" s="85"/>
      <c r="AK125" s="85"/>
      <c r="AL125" s="85"/>
    </row>
    <row r="126" spans="1:38" ht="12" customHeight="1" x14ac:dyDescent="0.2">
      <c r="A126" s="85"/>
      <c r="B126" s="85"/>
      <c r="C126" s="85"/>
      <c r="D126" s="85"/>
      <c r="E126" s="85"/>
      <c r="F126" s="85"/>
      <c r="G126" s="85"/>
      <c r="H126" s="85"/>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c r="AF126" s="85"/>
      <c r="AG126" s="85"/>
      <c r="AH126" s="85"/>
      <c r="AI126" s="85"/>
      <c r="AJ126" s="85"/>
      <c r="AK126" s="85"/>
      <c r="AL126" s="85"/>
    </row>
    <row r="127" spans="1:38" ht="12" customHeight="1" x14ac:dyDescent="0.2">
      <c r="A127" s="85"/>
      <c r="B127" s="85"/>
      <c r="C127" s="85"/>
      <c r="D127" s="85"/>
      <c r="E127" s="85"/>
      <c r="F127" s="85"/>
      <c r="G127" s="85"/>
      <c r="H127" s="85"/>
      <c r="I127" s="85"/>
      <c r="J127" s="85"/>
      <c r="K127" s="85"/>
      <c r="L127" s="85"/>
      <c r="M127" s="85"/>
      <c r="N127" s="85"/>
      <c r="O127" s="85"/>
      <c r="P127" s="85"/>
      <c r="Q127" s="85"/>
      <c r="R127" s="85"/>
      <c r="S127" s="85"/>
      <c r="T127" s="85"/>
      <c r="U127" s="85"/>
      <c r="V127" s="85"/>
      <c r="W127" s="85"/>
      <c r="X127" s="85"/>
      <c r="Y127" s="85"/>
      <c r="Z127" s="85"/>
      <c r="AA127" s="85"/>
      <c r="AB127" s="85"/>
      <c r="AC127" s="85"/>
      <c r="AD127" s="85"/>
      <c r="AE127" s="85"/>
      <c r="AF127" s="85"/>
      <c r="AG127" s="85"/>
      <c r="AH127" s="85"/>
      <c r="AI127" s="85"/>
      <c r="AJ127" s="85"/>
      <c r="AK127" s="85"/>
      <c r="AL127" s="85"/>
    </row>
    <row r="128" spans="1:38" ht="12" customHeight="1" x14ac:dyDescent="0.2">
      <c r="A128" s="85"/>
      <c r="B128" s="85"/>
      <c r="C128" s="85"/>
      <c r="D128" s="85"/>
      <c r="E128" s="85"/>
      <c r="F128" s="85"/>
      <c r="G128" s="85"/>
      <c r="H128" s="85"/>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c r="AF128" s="85"/>
      <c r="AG128" s="85"/>
      <c r="AH128" s="85"/>
      <c r="AI128" s="85"/>
      <c r="AJ128" s="85"/>
      <c r="AK128" s="85"/>
      <c r="AL128" s="85"/>
    </row>
    <row r="129" spans="1:38" ht="12" customHeight="1" x14ac:dyDescent="0.2">
      <c r="A129" s="85"/>
      <c r="B129" s="85"/>
      <c r="C129" s="85"/>
      <c r="D129" s="85"/>
      <c r="E129" s="85"/>
      <c r="F129" s="85"/>
      <c r="G129" s="85"/>
      <c r="H129" s="85"/>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c r="AF129" s="85"/>
      <c r="AG129" s="85"/>
      <c r="AH129" s="85"/>
      <c r="AI129" s="85"/>
      <c r="AJ129" s="85"/>
      <c r="AK129" s="85"/>
      <c r="AL129" s="85"/>
    </row>
    <row r="130" spans="1:38" ht="12" customHeight="1" x14ac:dyDescent="0.2">
      <c r="A130" s="85"/>
      <c r="B130" s="85"/>
      <c r="C130" s="85"/>
      <c r="D130" s="85"/>
      <c r="E130" s="85"/>
      <c r="F130" s="85"/>
      <c r="G130" s="85"/>
      <c r="H130" s="85"/>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c r="AF130" s="85"/>
      <c r="AG130" s="85"/>
      <c r="AH130" s="85"/>
      <c r="AI130" s="85"/>
      <c r="AJ130" s="85"/>
      <c r="AK130" s="85"/>
      <c r="AL130" s="85"/>
    </row>
    <row r="131" spans="1:38" ht="12" customHeight="1" x14ac:dyDescent="0.2">
      <c r="A131" s="85"/>
      <c r="B131" s="85"/>
      <c r="C131" s="85"/>
      <c r="D131" s="85"/>
      <c r="E131" s="85"/>
      <c r="F131" s="85"/>
      <c r="G131" s="85"/>
      <c r="H131" s="85"/>
      <c r="I131" s="85"/>
      <c r="J131" s="85"/>
      <c r="K131" s="85"/>
      <c r="L131" s="85"/>
      <c r="M131" s="85"/>
      <c r="N131" s="85"/>
      <c r="O131" s="85"/>
      <c r="P131" s="85"/>
      <c r="Q131" s="85"/>
      <c r="R131" s="85"/>
      <c r="S131" s="85"/>
      <c r="T131" s="85"/>
      <c r="U131" s="85"/>
      <c r="V131" s="85"/>
      <c r="W131" s="85"/>
      <c r="X131" s="85"/>
      <c r="Y131" s="85"/>
      <c r="Z131" s="85"/>
      <c r="AA131" s="85"/>
      <c r="AB131" s="85"/>
      <c r="AC131" s="85"/>
      <c r="AD131" s="85"/>
      <c r="AE131" s="85"/>
      <c r="AF131" s="85"/>
      <c r="AG131" s="85"/>
      <c r="AH131" s="85"/>
      <c r="AI131" s="85"/>
      <c r="AJ131" s="85"/>
      <c r="AK131" s="85"/>
      <c r="AL131" s="85"/>
    </row>
    <row r="132" spans="1:38" ht="12" customHeight="1" x14ac:dyDescent="0.2">
      <c r="A132" s="85"/>
      <c r="B132" s="85"/>
      <c r="C132" s="85"/>
      <c r="D132" s="85"/>
      <c r="E132" s="85"/>
      <c r="F132" s="85"/>
      <c r="G132" s="85"/>
      <c r="H132" s="85"/>
      <c r="I132" s="85"/>
      <c r="J132" s="85"/>
      <c r="K132" s="85"/>
      <c r="L132" s="85"/>
      <c r="M132" s="85"/>
      <c r="N132" s="85"/>
      <c r="O132" s="85"/>
      <c r="P132" s="85"/>
      <c r="Q132" s="85"/>
      <c r="R132" s="85"/>
      <c r="S132" s="85"/>
      <c r="T132" s="85"/>
      <c r="U132" s="85"/>
      <c r="V132" s="85"/>
      <c r="W132" s="85"/>
      <c r="X132" s="85"/>
      <c r="Y132" s="85"/>
      <c r="Z132" s="85"/>
      <c r="AA132" s="85"/>
      <c r="AB132" s="85"/>
      <c r="AC132" s="85"/>
      <c r="AD132" s="85"/>
      <c r="AE132" s="85"/>
      <c r="AF132" s="85"/>
      <c r="AG132" s="85"/>
      <c r="AH132" s="85"/>
      <c r="AI132" s="85"/>
      <c r="AJ132" s="85"/>
      <c r="AK132" s="85"/>
      <c r="AL132" s="85"/>
    </row>
    <row r="133" spans="1:38" ht="12" customHeight="1" x14ac:dyDescent="0.2">
      <c r="A133" s="85"/>
      <c r="B133" s="85"/>
      <c r="C133" s="85"/>
      <c r="D133" s="85"/>
      <c r="E133" s="85"/>
      <c r="F133" s="85"/>
      <c r="G133" s="85"/>
      <c r="H133" s="85"/>
      <c r="I133" s="85"/>
      <c r="J133" s="85"/>
      <c r="K133" s="85"/>
      <c r="L133" s="85"/>
      <c r="M133" s="85"/>
      <c r="N133" s="85"/>
      <c r="O133" s="85"/>
      <c r="P133" s="85"/>
      <c r="Q133" s="85"/>
      <c r="R133" s="85"/>
      <c r="S133" s="85"/>
      <c r="T133" s="85"/>
      <c r="U133" s="85"/>
      <c r="V133" s="85"/>
      <c r="W133" s="85"/>
      <c r="X133" s="85"/>
      <c r="Y133" s="85"/>
      <c r="Z133" s="85"/>
      <c r="AA133" s="85"/>
      <c r="AB133" s="85"/>
      <c r="AC133" s="85"/>
      <c r="AD133" s="85"/>
      <c r="AE133" s="85"/>
      <c r="AF133" s="85"/>
      <c r="AG133" s="85"/>
      <c r="AH133" s="85"/>
      <c r="AI133" s="85"/>
      <c r="AJ133" s="85"/>
      <c r="AK133" s="85"/>
      <c r="AL133" s="85"/>
    </row>
    <row r="134" spans="1:38" ht="12" customHeight="1" x14ac:dyDescent="0.2">
      <c r="A134" s="85"/>
      <c r="B134" s="85"/>
      <c r="C134" s="85"/>
      <c r="D134" s="85"/>
      <c r="E134" s="85"/>
      <c r="F134" s="85"/>
      <c r="G134" s="85"/>
      <c r="H134" s="85"/>
      <c r="I134" s="85"/>
      <c r="J134" s="85"/>
      <c r="K134" s="85"/>
      <c r="L134" s="85"/>
      <c r="M134" s="85"/>
      <c r="N134" s="85"/>
      <c r="O134" s="85"/>
      <c r="P134" s="85"/>
      <c r="Q134" s="85"/>
      <c r="R134" s="85"/>
      <c r="S134" s="85"/>
      <c r="T134" s="85"/>
      <c r="U134" s="85"/>
      <c r="V134" s="85"/>
      <c r="W134" s="85"/>
      <c r="X134" s="85"/>
      <c r="Y134" s="85"/>
      <c r="Z134" s="85"/>
      <c r="AA134" s="85"/>
      <c r="AB134" s="85"/>
      <c r="AC134" s="85"/>
      <c r="AD134" s="85"/>
      <c r="AE134" s="85"/>
      <c r="AF134" s="85"/>
      <c r="AG134" s="85"/>
      <c r="AH134" s="85"/>
      <c r="AI134" s="85"/>
      <c r="AJ134" s="85"/>
      <c r="AK134" s="85"/>
      <c r="AL134" s="85"/>
    </row>
    <row r="135" spans="1:38" ht="12" customHeight="1" x14ac:dyDescent="0.2">
      <c r="A135" s="85"/>
      <c r="B135" s="85"/>
      <c r="C135" s="85"/>
      <c r="D135" s="85"/>
      <c r="E135" s="85"/>
      <c r="F135" s="85"/>
      <c r="G135" s="85"/>
      <c r="H135" s="85"/>
      <c r="I135" s="85"/>
      <c r="J135" s="85"/>
      <c r="K135" s="85"/>
      <c r="L135" s="85"/>
      <c r="M135" s="85"/>
      <c r="N135" s="85"/>
      <c r="O135" s="85"/>
      <c r="P135" s="85"/>
      <c r="Q135" s="85"/>
      <c r="R135" s="85"/>
      <c r="S135" s="85"/>
      <c r="T135" s="85"/>
      <c r="U135" s="85"/>
      <c r="V135" s="85"/>
      <c r="W135" s="85"/>
      <c r="X135" s="85"/>
      <c r="Y135" s="85"/>
      <c r="Z135" s="85"/>
      <c r="AA135" s="85"/>
      <c r="AB135" s="85"/>
      <c r="AC135" s="85"/>
      <c r="AD135" s="85"/>
      <c r="AE135" s="85"/>
      <c r="AF135" s="85"/>
      <c r="AG135" s="85"/>
      <c r="AH135" s="85"/>
      <c r="AI135" s="85"/>
      <c r="AJ135" s="85"/>
      <c r="AK135" s="85"/>
      <c r="AL135" s="85"/>
    </row>
    <row r="136" spans="1:38" ht="12" customHeight="1" x14ac:dyDescent="0.2">
      <c r="A136" s="85"/>
      <c r="B136" s="85"/>
      <c r="C136" s="85"/>
      <c r="D136" s="85"/>
      <c r="E136" s="85"/>
      <c r="F136" s="85"/>
      <c r="G136" s="85"/>
      <c r="H136" s="85"/>
      <c r="I136" s="85"/>
      <c r="J136" s="85"/>
      <c r="K136" s="85"/>
      <c r="L136" s="85"/>
      <c r="M136" s="85"/>
      <c r="N136" s="85"/>
      <c r="O136" s="85"/>
      <c r="P136" s="85"/>
      <c r="Q136" s="85"/>
      <c r="R136" s="85"/>
      <c r="S136" s="85"/>
      <c r="T136" s="85"/>
      <c r="U136" s="85"/>
      <c r="V136" s="85"/>
      <c r="W136" s="85"/>
      <c r="X136" s="85"/>
      <c r="Y136" s="85"/>
      <c r="Z136" s="85"/>
      <c r="AA136" s="85"/>
      <c r="AB136" s="85"/>
      <c r="AC136" s="85"/>
      <c r="AD136" s="85"/>
      <c r="AE136" s="85"/>
      <c r="AF136" s="85"/>
      <c r="AG136" s="85"/>
      <c r="AH136" s="85"/>
      <c r="AI136" s="85"/>
      <c r="AJ136" s="85"/>
      <c r="AK136" s="85"/>
      <c r="AL136" s="85"/>
    </row>
    <row r="137" spans="1:38" ht="12" customHeight="1" x14ac:dyDescent="0.2">
      <c r="A137" s="85"/>
      <c r="B137" s="85"/>
      <c r="C137" s="85"/>
      <c r="D137" s="85"/>
      <c r="E137" s="85"/>
      <c r="F137" s="85"/>
      <c r="G137" s="85"/>
      <c r="H137" s="85"/>
      <c r="I137" s="85"/>
      <c r="J137" s="85"/>
      <c r="K137" s="85"/>
      <c r="L137" s="85"/>
      <c r="M137" s="85"/>
      <c r="N137" s="85"/>
      <c r="O137" s="85"/>
      <c r="P137" s="85"/>
      <c r="Q137" s="85"/>
      <c r="R137" s="85"/>
      <c r="S137" s="85"/>
      <c r="T137" s="85"/>
      <c r="U137" s="85"/>
      <c r="V137" s="85"/>
      <c r="W137" s="85"/>
      <c r="X137" s="85"/>
      <c r="Y137" s="85"/>
      <c r="Z137" s="85"/>
      <c r="AA137" s="85"/>
      <c r="AB137" s="85"/>
      <c r="AC137" s="85"/>
      <c r="AD137" s="85"/>
      <c r="AE137" s="85"/>
      <c r="AF137" s="85"/>
      <c r="AG137" s="85"/>
      <c r="AH137" s="85"/>
      <c r="AI137" s="85"/>
      <c r="AJ137" s="85"/>
      <c r="AK137" s="85"/>
      <c r="AL137" s="85"/>
    </row>
    <row r="138" spans="1:38" x14ac:dyDescent="0.2">
      <c r="A138" s="85"/>
      <c r="B138" s="85"/>
      <c r="C138" s="85"/>
      <c r="D138" s="85"/>
      <c r="E138" s="85"/>
      <c r="F138" s="85"/>
      <c r="G138" s="85"/>
      <c r="H138" s="85"/>
      <c r="I138" s="85"/>
      <c r="J138" s="85"/>
      <c r="K138" s="85"/>
      <c r="L138" s="85"/>
      <c r="M138" s="85"/>
      <c r="N138" s="85"/>
      <c r="O138" s="85"/>
      <c r="P138" s="85"/>
      <c r="Q138" s="85"/>
      <c r="R138" s="85"/>
      <c r="S138" s="85"/>
      <c r="T138" s="85"/>
      <c r="U138" s="85"/>
      <c r="V138" s="85"/>
      <c r="W138" s="85"/>
      <c r="X138" s="85"/>
      <c r="Y138" s="85"/>
      <c r="Z138" s="85"/>
      <c r="AA138" s="85"/>
      <c r="AB138" s="85"/>
      <c r="AC138" s="85"/>
      <c r="AD138" s="85"/>
      <c r="AE138" s="85"/>
      <c r="AF138" s="85"/>
      <c r="AG138" s="85"/>
      <c r="AH138" s="85"/>
      <c r="AI138" s="85"/>
      <c r="AJ138" s="85"/>
      <c r="AK138" s="85"/>
      <c r="AL138" s="85"/>
    </row>
    <row r="139" spans="1:38" x14ac:dyDescent="0.2">
      <c r="A139" s="85"/>
      <c r="B139" s="85"/>
      <c r="C139" s="85"/>
      <c r="D139" s="85"/>
      <c r="E139" s="85"/>
      <c r="F139" s="85"/>
      <c r="G139" s="85"/>
      <c r="H139" s="85"/>
      <c r="I139" s="85"/>
      <c r="J139" s="85"/>
      <c r="K139" s="85"/>
      <c r="L139" s="85"/>
      <c r="M139" s="85"/>
      <c r="N139" s="85"/>
      <c r="O139" s="85"/>
      <c r="P139" s="85"/>
      <c r="Q139" s="85"/>
      <c r="R139" s="85"/>
      <c r="S139" s="85"/>
      <c r="T139" s="85"/>
      <c r="U139" s="85"/>
      <c r="V139" s="85"/>
      <c r="W139" s="85"/>
      <c r="X139" s="85"/>
      <c r="Y139" s="85"/>
      <c r="Z139" s="85"/>
      <c r="AA139" s="85"/>
      <c r="AB139" s="86"/>
      <c r="AC139" s="86"/>
      <c r="AD139" s="86"/>
      <c r="AE139" s="86"/>
      <c r="AF139" s="86"/>
      <c r="AG139" s="85"/>
      <c r="AH139" s="86"/>
      <c r="AI139" s="86"/>
      <c r="AJ139" s="86"/>
      <c r="AK139" s="86"/>
      <c r="AL139" s="86"/>
    </row>
    <row r="140" spans="1:38" ht="24" customHeight="1" x14ac:dyDescent="0.2">
      <c r="V140"/>
      <c r="W140"/>
      <c r="X140"/>
      <c r="Y140"/>
      <c r="Z140"/>
      <c r="AB140" s="293" t="s">
        <v>258</v>
      </c>
      <c r="AC140" s="294"/>
      <c r="AD140" s="294"/>
      <c r="AE140" s="294"/>
      <c r="AF140" s="295"/>
      <c r="AH140" s="293" t="s">
        <v>257</v>
      </c>
      <c r="AI140" s="294"/>
      <c r="AJ140" s="294"/>
      <c r="AK140" s="294"/>
      <c r="AL140" s="295"/>
    </row>
  </sheetData>
  <mergeCells count="142">
    <mergeCell ref="G9:Y9"/>
    <mergeCell ref="AG9:AL9"/>
    <mergeCell ref="G11:I11"/>
    <mergeCell ref="J11:Y11"/>
    <mergeCell ref="AG11:AL11"/>
    <mergeCell ref="G13:Y13"/>
    <mergeCell ref="AG13:AL13"/>
    <mergeCell ref="J15:L15"/>
    <mergeCell ref="M15:O15"/>
    <mergeCell ref="Q15:U15"/>
    <mergeCell ref="V15:Y15"/>
    <mergeCell ref="AJ15:AL15"/>
    <mergeCell ref="A1:U1"/>
    <mergeCell ref="G3:L3"/>
    <mergeCell ref="T3:Y3"/>
    <mergeCell ref="AG3:AL3"/>
    <mergeCell ref="G5:L5"/>
    <mergeCell ref="T5:Y5"/>
    <mergeCell ref="AG5:AL5"/>
    <mergeCell ref="G7:L7"/>
    <mergeCell ref="T7:Y7"/>
    <mergeCell ref="AG7:AL7"/>
    <mergeCell ref="I17:AL17"/>
    <mergeCell ref="A19:X19"/>
    <mergeCell ref="G23:L23"/>
    <mergeCell ref="T23:Y23"/>
    <mergeCell ref="AG23:AL23"/>
    <mergeCell ref="G25:L25"/>
    <mergeCell ref="T25:Y25"/>
    <mergeCell ref="AG25:AL25"/>
    <mergeCell ref="A21:F21"/>
    <mergeCell ref="G21:L21"/>
    <mergeCell ref="N21:S21"/>
    <mergeCell ref="T21:Y21"/>
    <mergeCell ref="G29:S29"/>
    <mergeCell ref="AA29:AL29"/>
    <mergeCell ref="G35:S35"/>
    <mergeCell ref="AA35:AL35"/>
    <mergeCell ref="G31:L31"/>
    <mergeCell ref="T31:Y31"/>
    <mergeCell ref="AG31:AL31"/>
    <mergeCell ref="E33:H33"/>
    <mergeCell ref="AA31:AF31"/>
    <mergeCell ref="A31:F31"/>
    <mergeCell ref="N31:S31"/>
    <mergeCell ref="G37:L37"/>
    <mergeCell ref="Q37:S37"/>
    <mergeCell ref="T37:AL37"/>
    <mergeCell ref="G39:L39"/>
    <mergeCell ref="Q39:S39"/>
    <mergeCell ref="T39:AL39"/>
    <mergeCell ref="G41:L41"/>
    <mergeCell ref="Q41:AL41"/>
    <mergeCell ref="G43:I43"/>
    <mergeCell ref="N43:T43"/>
    <mergeCell ref="X43:AC43"/>
    <mergeCell ref="AH43:AL43"/>
    <mergeCell ref="G45:L45"/>
    <mergeCell ref="S45:U45"/>
    <mergeCell ref="Y45:AL45"/>
    <mergeCell ref="D47:E47"/>
    <mergeCell ref="K47:V47"/>
    <mergeCell ref="W47:AA47"/>
    <mergeCell ref="AB47:AL47"/>
    <mergeCell ref="A49:S49"/>
    <mergeCell ref="E51:S51"/>
    <mergeCell ref="W51:AL51"/>
    <mergeCell ref="E53:J53"/>
    <mergeCell ref="L53:O53"/>
    <mergeCell ref="P53:S53"/>
    <mergeCell ref="T53:AB53"/>
    <mergeCell ref="AI53:AL53"/>
    <mergeCell ref="E57:H57"/>
    <mergeCell ref="N57:Q57"/>
    <mergeCell ref="Z57:AC57"/>
    <mergeCell ref="AI57:AL57"/>
    <mergeCell ref="A59:E59"/>
    <mergeCell ref="F59:J59"/>
    <mergeCell ref="V59:Z59"/>
    <mergeCell ref="AA59:AE59"/>
    <mergeCell ref="A61:D61"/>
    <mergeCell ref="E61:H61"/>
    <mergeCell ref="J61:M61"/>
    <mergeCell ref="N61:Q61"/>
    <mergeCell ref="V61:Y61"/>
    <mergeCell ref="Z61:AC61"/>
    <mergeCell ref="AE61:AH61"/>
    <mergeCell ref="A75:H75"/>
    <mergeCell ref="J75:Q75"/>
    <mergeCell ref="V75:AC75"/>
    <mergeCell ref="AI61:AL61"/>
    <mergeCell ref="E63:H63"/>
    <mergeCell ref="I63:Q63"/>
    <mergeCell ref="Z63:AC63"/>
    <mergeCell ref="AD63:AL63"/>
    <mergeCell ref="E65:H65"/>
    <mergeCell ref="I65:Q65"/>
    <mergeCell ref="Z65:AC65"/>
    <mergeCell ref="AD65:AL65"/>
    <mergeCell ref="AB140:AF140"/>
    <mergeCell ref="AH140:AL140"/>
    <mergeCell ref="G85:H85"/>
    <mergeCell ref="I85:Y85"/>
    <mergeCell ref="AG85:AL85"/>
    <mergeCell ref="AE79:AL79"/>
    <mergeCell ref="G89:L89"/>
    <mergeCell ref="T89:Y89"/>
    <mergeCell ref="AG89:AL89"/>
    <mergeCell ref="AJ87:AL87"/>
    <mergeCell ref="G83:Y83"/>
    <mergeCell ref="A79:H79"/>
    <mergeCell ref="AG83:AL83"/>
    <mergeCell ref="G87:Y87"/>
    <mergeCell ref="AA87:AB87"/>
    <mergeCell ref="AC87:AF87"/>
    <mergeCell ref="A91:F91"/>
    <mergeCell ref="J79:Q79"/>
    <mergeCell ref="V79:AC79"/>
    <mergeCell ref="T27:Y27"/>
    <mergeCell ref="AG27:AL27"/>
    <mergeCell ref="AE75:AL75"/>
    <mergeCell ref="A77:H77"/>
    <mergeCell ref="J77:Q77"/>
    <mergeCell ref="V77:AC77"/>
    <mergeCell ref="AE77:AL77"/>
    <mergeCell ref="V71:AC71"/>
    <mergeCell ref="AE71:AL71"/>
    <mergeCell ref="A33:D33"/>
    <mergeCell ref="J33:M33"/>
    <mergeCell ref="N33:Q33"/>
    <mergeCell ref="S33:T33"/>
    <mergeCell ref="V33:X33"/>
    <mergeCell ref="A71:H71"/>
    <mergeCell ref="J71:Q71"/>
    <mergeCell ref="A69:H69"/>
    <mergeCell ref="J69:Q69"/>
    <mergeCell ref="V69:AC69"/>
    <mergeCell ref="AE69:AL69"/>
    <mergeCell ref="A73:H73"/>
    <mergeCell ref="J73:Q73"/>
    <mergeCell ref="V73:AC73"/>
    <mergeCell ref="AE73:AL73"/>
  </mergeCells>
  <phoneticPr fontId="4" type="noConversion"/>
  <conditionalFormatting sqref="G5:L5">
    <cfRule type="containsText" dxfId="12" priority="14" operator="containsText" text="FALSE">
      <formula>NOT(ISERROR(SEARCH("FALSE",G5)))</formula>
    </cfRule>
  </conditionalFormatting>
  <conditionalFormatting sqref="T5:Y5">
    <cfRule type="containsText" dxfId="11" priority="13" operator="containsText" text="FALSE">
      <formula>NOT(ISERROR(SEARCH("FALSE",T5)))</formula>
    </cfRule>
  </conditionalFormatting>
  <conditionalFormatting sqref="I65:Q65">
    <cfRule type="containsText" dxfId="10" priority="12" operator="containsText" text="FALSE">
      <formula>NOT(ISERROR(SEARCH("FALSE",I65)))</formula>
    </cfRule>
  </conditionalFormatting>
  <conditionalFormatting sqref="I63:Q63">
    <cfRule type="containsText" dxfId="9" priority="11" operator="containsText" text="FALSE">
      <formula>NOT(ISERROR(SEARCH("FALSE",I63)))</formula>
    </cfRule>
  </conditionalFormatting>
  <conditionalFormatting sqref="AD65:AL65">
    <cfRule type="containsText" dxfId="8" priority="10" operator="containsText" text="FALSE">
      <formula>NOT(ISERROR(SEARCH("FALSE",AD65)))</formula>
    </cfRule>
  </conditionalFormatting>
  <conditionalFormatting sqref="AD63:AL63">
    <cfRule type="containsText" dxfId="7" priority="9" operator="containsText" text="FALSE">
      <formula>NOT(ISERROR(SEARCH("FALSE",AD63)))</formula>
    </cfRule>
  </conditionalFormatting>
  <conditionalFormatting sqref="J15">
    <cfRule type="containsErrors" dxfId="6" priority="15">
      <formula>ISERROR(J15)</formula>
    </cfRule>
  </conditionalFormatting>
  <conditionalFormatting sqref="Q37:S37">
    <cfRule type="containsText" dxfId="5" priority="6" operator="containsText" text="Enter distance">
      <formula>NOT(ISERROR(SEARCH("Enter distance",Q37)))</formula>
    </cfRule>
  </conditionalFormatting>
  <conditionalFormatting sqref="Q41:AL41 AB47">
    <cfRule type="containsText" dxfId="4" priority="5" operator="containsText" text="Enter position and distance">
      <formula>NOT(ISERROR(SEARCH("Enter position and distance",Q41)))</formula>
    </cfRule>
  </conditionalFormatting>
  <conditionalFormatting sqref="K47">
    <cfRule type="containsText" dxfId="3" priority="4" operator="containsText" text="Enter position and distance">
      <formula>NOT(ISERROR(SEARCH("Enter position and distance",K47)))</formula>
    </cfRule>
  </conditionalFormatting>
  <conditionalFormatting sqref="T53:AB53">
    <cfRule type="containsText" dxfId="2" priority="2" operator="containsText" text="Enter material here">
      <formula>NOT(ISERROR(SEARCH("Enter material here",T53)))</formula>
    </cfRule>
    <cfRule type="containsText" dxfId="1" priority="3" operator="containsText" text="N/A">
      <formula>NOT(ISERROR(SEARCH("N/A",T53)))</formula>
    </cfRule>
  </conditionalFormatting>
  <conditionalFormatting sqref="E57:H57 N57:Q57 Z57:AC57 AI57:AL57">
    <cfRule type="containsText" dxfId="0" priority="1" operator="containsText" text="Enter Size">
      <formula>NOT(ISERROR(SEARCH("Enter Size",E57)))</formula>
    </cfRule>
  </conditionalFormatting>
  <dataValidations count="8">
    <dataValidation type="decimal" allowBlank="1" showInputMessage="1" showErrorMessage="1" sqref="T27:Y27">
      <formula1>300</formula1>
      <formula2>800</formula2>
    </dataValidation>
    <dataValidation type="list" allowBlank="1" showErrorMessage="1" prompt="Please confirm entry." sqref="P53:S53">
      <formula1>"Clear, White, Metalized, N/A, Other:"</formula1>
    </dataValidation>
    <dataValidation type="textLength" allowBlank="1" showInputMessage="1" showErrorMessage="1" sqref="AG13:AL13 AG5:AL5 AG85:AL85">
      <formula1>0</formula1>
      <formula2>15</formula2>
    </dataValidation>
    <dataValidation type="list" allowBlank="1" showInputMessage="1" showErrorMessage="1" sqref="G5:L5">
      <formula1>"Match prev PO, All new plates"</formula1>
    </dataValidation>
    <dataValidation type="list" allowBlank="1" showInputMessage="1" showErrorMessage="1" sqref="T5:Y5">
      <formula1>"Please Confirm, All, N/A, 1, 2, 3 , 4, 5, 6, 7, 8, 9, 10, 11, 12"</formula1>
    </dataValidation>
    <dataValidation type="list" allowBlank="1" showInputMessage="1" showErrorMessage="1" sqref="I17:AL17 G87:Y87">
      <formula1>"N/A, 1 up PDF, REVISED 1 up PDF, Contract Proof, REVISED Contract Proof, 100% Content Proof, REVISED 100% Content Proof, Other (see comments)"</formula1>
    </dataValidation>
    <dataValidation type="list" allowBlank="1" showInputMessage="1" showErrorMessage="1" sqref="AJ15:AL15 AJ87:AL87">
      <formula1>"BH, Isa, Larry, Victoria"</formula1>
    </dataValidation>
    <dataValidation type="list" allowBlank="1" showInputMessage="1" showErrorMessage="1" sqref="J15:L15">
      <formula1>"611,621"</formula1>
    </dataValidation>
  </dataValidations>
  <pageMargins left="0.39" right="0.39" top="0.2" bottom="0.2" header="0.2" footer="0.05"/>
  <pageSetup orientation="portrait" horizontalDpi="4294967292" verticalDpi="4294967292" r:id="rId1"/>
  <headerFooter alignWithMargins="0">
    <oddFooter>&amp;L&amp;9&amp;K000000Issue Date: 1 Feb 2016&amp;C&amp;9Revision No.: 0&amp;R&amp;9&amp;K000000Revision Date: N/A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reset_pd_Click">
                <anchor moveWithCells="1" sizeWithCells="1">
                  <from>
                    <xdr:col>17</xdr:col>
                    <xdr:colOff>161925</xdr:colOff>
                    <xdr:row>52</xdr:row>
                    <xdr:rowOff>180975</xdr:rowOff>
                  </from>
                  <to>
                    <xdr:col>20</xdr:col>
                    <xdr:colOff>0</xdr:colOff>
                    <xdr:row>54</xdr:row>
                    <xdr:rowOff>133350</xdr:rowOff>
                  </to>
                </anchor>
              </controlPr>
            </control>
          </mc:Choice>
        </mc:AlternateContent>
        <mc:AlternateContent xmlns:mc="http://schemas.openxmlformats.org/markup-compatibility/2006">
          <mc:Choice Requires="x14">
            <control shapeId="68125" r:id="rId5" name="Check Box 13853">
              <controlPr defaultSize="0" autoFill="0" autoLine="0" autoPict="0">
                <anchor moveWithCells="1">
                  <from>
                    <xdr:col>29</xdr:col>
                    <xdr:colOff>66675</xdr:colOff>
                    <xdr:row>31</xdr:row>
                    <xdr:rowOff>19050</xdr:rowOff>
                  </from>
                  <to>
                    <xdr:col>31</xdr:col>
                    <xdr:colOff>95250</xdr:colOff>
                    <xdr:row>32</xdr:row>
                    <xdr:rowOff>219075</xdr:rowOff>
                  </to>
                </anchor>
              </controlPr>
            </control>
          </mc:Choice>
        </mc:AlternateContent>
        <mc:AlternateContent xmlns:mc="http://schemas.openxmlformats.org/markup-compatibility/2006">
          <mc:Choice Requires="x14">
            <control shapeId="68126" r:id="rId6" name="Check Box 13854">
              <controlPr defaultSize="0" autoFill="0" autoLine="0" autoPict="0">
                <anchor moveWithCells="1">
                  <from>
                    <xdr:col>34</xdr:col>
                    <xdr:colOff>0</xdr:colOff>
                    <xdr:row>31</xdr:row>
                    <xdr:rowOff>19050</xdr:rowOff>
                  </from>
                  <to>
                    <xdr:col>36</xdr:col>
                    <xdr:colOff>28575</xdr:colOff>
                    <xdr:row>32</xdr:row>
                    <xdr:rowOff>190500</xdr:rowOff>
                  </to>
                </anchor>
              </controlPr>
            </control>
          </mc:Choice>
        </mc:AlternateContent>
        <mc:AlternateContent xmlns:mc="http://schemas.openxmlformats.org/markup-compatibility/2006">
          <mc:Choice Requires="x14">
            <control shapeId="68127" r:id="rId7" name="Check Box 13855">
              <controlPr defaultSize="0" autoFill="0" autoLine="0" autoPict="0">
                <anchor moveWithCells="1">
                  <from>
                    <xdr:col>24</xdr:col>
                    <xdr:colOff>104775</xdr:colOff>
                    <xdr:row>32</xdr:row>
                    <xdr:rowOff>0</xdr:rowOff>
                  </from>
                  <to>
                    <xdr:col>26</xdr:col>
                    <xdr:colOff>66675</xdr:colOff>
                    <xdr:row>32</xdr:row>
                    <xdr:rowOff>190500</xdr:rowOff>
                  </to>
                </anchor>
              </controlPr>
            </control>
          </mc:Choice>
        </mc:AlternateContent>
        <mc:AlternateContent xmlns:mc="http://schemas.openxmlformats.org/markup-compatibility/2006">
          <mc:Choice Requires="x14">
            <control shapeId="84817" r:id="rId8" name="Check Box 26449">
              <controlPr defaultSize="0" autoFill="0" autoLine="0" autoPict="0">
                <anchor moveWithCells="1">
                  <from>
                    <xdr:col>4</xdr:col>
                    <xdr:colOff>57150</xdr:colOff>
                    <xdr:row>88</xdr:row>
                    <xdr:rowOff>123825</xdr:rowOff>
                  </from>
                  <to>
                    <xdr:col>6</xdr:col>
                    <xdr:colOff>85725</xdr:colOff>
                    <xdr:row>90</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Enter seal size - either top or bottom. See list.">
          <x14:formula1>
            <xm:f>'General Data'!$C$21:$C$35</xm:f>
          </x14:formula1>
          <xm:sqref>E33:H33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00FF"/>
  </sheetPr>
  <dimension ref="A1:AL66"/>
  <sheetViews>
    <sheetView showGridLines="0" view="pageLayout" zoomScaleNormal="120" workbookViewId="0">
      <selection activeCell="G3" sqref="G3:L3"/>
    </sheetView>
  </sheetViews>
  <sheetFormatPr defaultColWidth="10.85546875" defaultRowHeight="12.75" x14ac:dyDescent="0.2"/>
  <cols>
    <col min="1" max="38" width="2.28515625" style="55" customWidth="1"/>
    <col min="39" max="16384" width="10.85546875" style="55"/>
  </cols>
  <sheetData>
    <row r="1" spans="1:38" ht="15.95" customHeight="1" x14ac:dyDescent="0.2">
      <c r="A1" s="80" t="s">
        <v>419</v>
      </c>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row>
    <row r="2" spans="1:38" ht="3.95" customHeight="1" x14ac:dyDescent="0.2"/>
    <row r="3" spans="1:38" ht="15.95" customHeight="1" x14ac:dyDescent="0.2">
      <c r="A3" s="155" t="s">
        <v>266</v>
      </c>
      <c r="B3" s="73"/>
      <c r="C3" s="73"/>
      <c r="D3" s="73"/>
      <c r="E3" s="73"/>
      <c r="F3" s="73"/>
      <c r="G3" s="276"/>
      <c r="H3" s="276"/>
      <c r="I3" s="276"/>
      <c r="J3" s="276"/>
      <c r="K3" s="276"/>
      <c r="L3" s="277"/>
      <c r="N3" s="155" t="s">
        <v>69</v>
      </c>
      <c r="O3" s="73"/>
      <c r="P3" s="73"/>
      <c r="Q3" s="73"/>
      <c r="R3" s="73"/>
      <c r="S3" s="73"/>
      <c r="T3" s="392" t="b">
        <f>ICM!G5</f>
        <v>0</v>
      </c>
      <c r="U3" s="392"/>
      <c r="V3" s="392"/>
      <c r="W3" s="392"/>
      <c r="X3" s="392"/>
      <c r="Y3" s="393"/>
      <c r="AA3" s="78" t="s">
        <v>68</v>
      </c>
      <c r="AB3" s="73"/>
      <c r="AC3" s="73"/>
      <c r="AD3" s="73"/>
      <c r="AE3" s="73"/>
      <c r="AF3" s="73"/>
      <c r="AG3" s="396">
        <f>ICM!AG3</f>
        <v>0</v>
      </c>
      <c r="AH3" s="396"/>
      <c r="AI3" s="396"/>
      <c r="AJ3" s="396"/>
      <c r="AK3" s="396"/>
      <c r="AL3" s="397"/>
    </row>
    <row r="4" spans="1:38" ht="3.95" customHeight="1" x14ac:dyDescent="0.2"/>
    <row r="5" spans="1:38" ht="15.95" customHeight="1" x14ac:dyDescent="0.2">
      <c r="A5" s="155" t="s">
        <v>2</v>
      </c>
      <c r="B5" s="73"/>
      <c r="C5" s="73"/>
      <c r="D5" s="73"/>
      <c r="E5" s="73"/>
      <c r="F5" s="73"/>
      <c r="G5" s="398"/>
      <c r="H5" s="398"/>
      <c r="I5" s="398"/>
      <c r="J5" s="398"/>
      <c r="K5" s="398"/>
      <c r="L5" s="399"/>
      <c r="N5" s="155" t="s">
        <v>63</v>
      </c>
      <c r="O5" s="73"/>
      <c r="P5" s="73"/>
      <c r="Q5" s="73"/>
      <c r="R5" s="73"/>
      <c r="S5" s="73"/>
      <c r="T5" s="303"/>
      <c r="U5" s="303"/>
      <c r="V5" s="303"/>
      <c r="W5" s="303"/>
      <c r="X5" s="303"/>
      <c r="Y5" s="304"/>
      <c r="AA5" s="155" t="s">
        <v>406</v>
      </c>
      <c r="AB5" s="73"/>
      <c r="AC5" s="73"/>
      <c r="AD5" s="73"/>
      <c r="AE5" s="73"/>
      <c r="AF5" s="73"/>
      <c r="AG5" s="305"/>
      <c r="AH5" s="305"/>
      <c r="AI5" s="305"/>
      <c r="AJ5" s="305"/>
      <c r="AK5" s="305"/>
      <c r="AL5" s="306"/>
    </row>
    <row r="6" spans="1:38" ht="3.95" customHeight="1" x14ac:dyDescent="0.2"/>
    <row r="7" spans="1:38" ht="15.95" customHeight="1" x14ac:dyDescent="0.2">
      <c r="A7" s="155" t="s">
        <v>156</v>
      </c>
      <c r="B7" s="73"/>
      <c r="C7" s="73"/>
      <c r="D7" s="73"/>
      <c r="E7" s="73"/>
      <c r="F7" s="73"/>
      <c r="G7" s="390">
        <f>'Gusset Pouch'!C7</f>
        <v>0</v>
      </c>
      <c r="H7" s="390"/>
      <c r="I7" s="390"/>
      <c r="J7" s="390"/>
      <c r="K7" s="390"/>
      <c r="L7" s="390"/>
      <c r="M7" s="390"/>
      <c r="N7" s="390"/>
      <c r="O7" s="390"/>
      <c r="P7" s="390"/>
      <c r="Q7" s="390"/>
      <c r="R7" s="390"/>
      <c r="S7" s="390"/>
      <c r="T7" s="390"/>
      <c r="U7" s="390"/>
      <c r="V7" s="390"/>
      <c r="W7" s="390"/>
      <c r="X7" s="390"/>
      <c r="Y7" s="391"/>
      <c r="AA7" s="155" t="s">
        <v>5</v>
      </c>
      <c r="AB7" s="73"/>
      <c r="AC7" s="73"/>
      <c r="AD7" s="73"/>
      <c r="AE7" s="73"/>
      <c r="AF7" s="73"/>
      <c r="AG7" s="380">
        <f>'Gusset Pouch'!C5</f>
        <v>0</v>
      </c>
      <c r="AH7" s="380"/>
      <c r="AI7" s="380"/>
      <c r="AJ7" s="380"/>
      <c r="AK7" s="380"/>
      <c r="AL7" s="381"/>
    </row>
    <row r="8" spans="1:38" ht="3.95" customHeight="1" x14ac:dyDescent="0.2"/>
    <row r="9" spans="1:38" ht="15.95" customHeight="1" x14ac:dyDescent="0.2">
      <c r="A9" s="155" t="s">
        <v>267</v>
      </c>
      <c r="B9" s="73"/>
      <c r="C9" s="73"/>
      <c r="D9" s="73"/>
      <c r="E9" s="73"/>
      <c r="F9" s="73"/>
      <c r="G9" s="380">
        <f>ICM!G11</f>
        <v>0</v>
      </c>
      <c r="H9" s="380"/>
      <c r="I9" s="392">
        <f>ICM!J11</f>
        <v>0</v>
      </c>
      <c r="J9" s="392"/>
      <c r="K9" s="392"/>
      <c r="L9" s="392"/>
      <c r="M9" s="392"/>
      <c r="N9" s="392"/>
      <c r="O9" s="392"/>
      <c r="P9" s="392"/>
      <c r="Q9" s="392"/>
      <c r="R9" s="392"/>
      <c r="S9" s="392"/>
      <c r="T9" s="392"/>
      <c r="U9" s="392"/>
      <c r="V9" s="392"/>
      <c r="W9" s="392"/>
      <c r="X9" s="392"/>
      <c r="Y9" s="393"/>
      <c r="AA9" s="155" t="s">
        <v>72</v>
      </c>
      <c r="AB9" s="73"/>
      <c r="AC9" s="73"/>
      <c r="AD9" s="73"/>
      <c r="AE9" s="73"/>
      <c r="AF9" s="73"/>
      <c r="AG9" s="276">
        <f>'Gusset Pouch'!I9</f>
        <v>0</v>
      </c>
      <c r="AH9" s="276"/>
      <c r="AI9" s="276"/>
      <c r="AJ9" s="276"/>
      <c r="AK9" s="276"/>
      <c r="AL9" s="277"/>
    </row>
    <row r="10" spans="1:38" ht="3.95" customHeight="1" x14ac:dyDescent="0.2"/>
    <row r="11" spans="1:38" ht="15.95" customHeight="1" x14ac:dyDescent="0.2">
      <c r="A11" s="155" t="s">
        <v>208</v>
      </c>
      <c r="B11" s="73"/>
      <c r="C11" s="73"/>
      <c r="D11" s="73"/>
      <c r="E11" s="73"/>
      <c r="F11" s="73"/>
      <c r="G11" s="392">
        <f>ICM!W51</f>
        <v>0</v>
      </c>
      <c r="H11" s="392"/>
      <c r="I11" s="392"/>
      <c r="J11" s="392"/>
      <c r="K11" s="392"/>
      <c r="L11" s="392"/>
      <c r="M11" s="392"/>
      <c r="N11" s="392"/>
      <c r="O11" s="392"/>
      <c r="P11" s="392"/>
      <c r="Q11" s="392"/>
      <c r="R11" s="392"/>
      <c r="S11" s="392"/>
      <c r="T11" s="392"/>
      <c r="U11" s="392"/>
      <c r="V11" s="392"/>
      <c r="W11" s="392"/>
      <c r="X11" s="392"/>
      <c r="Y11" s="393"/>
      <c r="AA11" s="155" t="s">
        <v>207</v>
      </c>
      <c r="AB11" s="73"/>
      <c r="AC11" s="73"/>
      <c r="AD11" s="73"/>
      <c r="AE11" s="73"/>
      <c r="AF11" s="73"/>
      <c r="AG11" s="394" t="b">
        <f>IF(AG9=1,"No")</f>
        <v>0</v>
      </c>
      <c r="AH11" s="394"/>
      <c r="AI11" s="394"/>
      <c r="AJ11" s="394"/>
      <c r="AK11" s="394"/>
      <c r="AL11" s="395"/>
    </row>
    <row r="12" spans="1:38" ht="3.95" customHeight="1" x14ac:dyDescent="0.2"/>
    <row r="13" spans="1:38" ht="15.95" customHeight="1" x14ac:dyDescent="0.2">
      <c r="A13" s="313" t="s">
        <v>103</v>
      </c>
      <c r="B13" s="314"/>
      <c r="C13" s="314"/>
      <c r="D13" s="314"/>
      <c r="E13" s="314"/>
      <c r="F13" s="314"/>
      <c r="G13" s="276"/>
      <c r="H13" s="276"/>
      <c r="I13" s="276"/>
      <c r="J13" s="276"/>
      <c r="K13" s="276"/>
      <c r="L13" s="277"/>
      <c r="M13"/>
      <c r="N13" s="313" t="s">
        <v>104</v>
      </c>
      <c r="O13" s="314"/>
      <c r="P13" s="314"/>
      <c r="Q13" s="314"/>
      <c r="R13" s="314"/>
      <c r="S13" s="314"/>
      <c r="T13" s="276"/>
      <c r="U13" s="276"/>
      <c r="V13" s="276"/>
      <c r="W13" s="276"/>
      <c r="X13" s="276"/>
      <c r="Y13" s="277"/>
      <c r="Z13"/>
      <c r="AA13"/>
      <c r="AB13"/>
      <c r="AC13"/>
      <c r="AD13"/>
      <c r="AE13"/>
      <c r="AF13"/>
      <c r="AG13" s="155" t="s">
        <v>205</v>
      </c>
      <c r="AH13" s="73"/>
      <c r="AI13" s="73"/>
      <c r="AJ13" s="276"/>
      <c r="AK13" s="276"/>
      <c r="AL13" s="277"/>
    </row>
    <row r="14" spans="1:38" ht="3.95" customHeight="1" x14ac:dyDescent="0.2"/>
    <row r="15" spans="1:38" ht="15.95" customHeight="1" x14ac:dyDescent="0.2">
      <c r="A15" s="80" t="s">
        <v>273</v>
      </c>
      <c r="B15" s="71"/>
      <c r="C15" s="71"/>
      <c r="D15" s="71"/>
      <c r="E15" s="71"/>
      <c r="F15" s="71"/>
      <c r="G15" s="71"/>
      <c r="H15" s="71"/>
      <c r="I15" s="71"/>
      <c r="J15" s="71"/>
      <c r="K15" s="71"/>
      <c r="L15" s="71"/>
      <c r="M15" s="157"/>
      <c r="N15" s="379"/>
      <c r="O15" s="379"/>
      <c r="P15" s="379"/>
      <c r="Q15" s="379"/>
      <c r="R15" s="379"/>
      <c r="S15" s="379"/>
      <c r="T15" s="379"/>
      <c r="U15" s="379"/>
      <c r="V15" s="379"/>
      <c r="W15" s="379"/>
      <c r="X15" s="379"/>
      <c r="Y15" s="379"/>
      <c r="Z15" s="157"/>
      <c r="AA15" s="71"/>
      <c r="AB15" s="71"/>
      <c r="AC15" s="71"/>
      <c r="AD15" s="71"/>
      <c r="AE15" s="71"/>
      <c r="AF15" s="71"/>
      <c r="AG15" s="71"/>
      <c r="AH15" s="71"/>
      <c r="AI15" s="71"/>
      <c r="AJ15" s="71"/>
      <c r="AK15" s="71"/>
      <c r="AL15" s="71"/>
    </row>
    <row r="16" spans="1:38" ht="3.95" customHeight="1" x14ac:dyDescent="0.2"/>
    <row r="17" spans="1:38" ht="15.95" customHeight="1" x14ac:dyDescent="0.2">
      <c r="A17" s="360" t="s">
        <v>412</v>
      </c>
      <c r="B17" s="361"/>
      <c r="C17" s="361"/>
      <c r="D17" s="361"/>
      <c r="E17" s="361"/>
      <c r="F17" s="361"/>
      <c r="G17" s="373" t="b">
        <f>IF('Gusset Pouch'!J18=1,"Side Gusset",IF('Gusset Pouch'!J18=2,"Side Gusset",IF('Gusset Pouch'!J18=3,"Side Gusset",IF('Gusset Pouch'!J18=4,"Bottom Gusset",IF('Gusset Pouch'!J18=5,"Bottom Gusset",IF('Gusset Pouch'!J18=6,"Bottom Gusset"))))))</f>
        <v>0</v>
      </c>
      <c r="H17" s="373"/>
      <c r="I17" s="373"/>
      <c r="J17" s="373"/>
      <c r="K17" s="373"/>
      <c r="L17" s="374"/>
      <c r="M17" s="75"/>
      <c r="N17" s="360" t="s">
        <v>304</v>
      </c>
      <c r="O17" s="361"/>
      <c r="P17" s="361"/>
      <c r="Q17" s="361"/>
      <c r="R17" s="361"/>
      <c r="S17" s="361"/>
      <c r="T17" s="373" t="b">
        <f>'Gusset Pouch'!C25</f>
        <v>0</v>
      </c>
      <c r="U17" s="373"/>
      <c r="V17" s="373"/>
      <c r="W17" s="373"/>
      <c r="X17" s="373"/>
      <c r="Y17" s="374"/>
      <c r="AA17" s="155" t="s">
        <v>11</v>
      </c>
      <c r="AB17" s="73"/>
      <c r="AC17" s="73"/>
      <c r="AD17" s="73"/>
      <c r="AE17" s="73"/>
      <c r="AF17" s="73"/>
      <c r="AG17" s="380">
        <f>ICM!T27</f>
        <v>0</v>
      </c>
      <c r="AH17" s="380"/>
      <c r="AI17" s="380"/>
      <c r="AJ17" s="380"/>
      <c r="AK17" s="380"/>
      <c r="AL17" s="381"/>
    </row>
    <row r="18" spans="1:38" ht="3.95" customHeight="1" x14ac:dyDescent="0.2"/>
    <row r="19" spans="1:38" ht="15.95" customHeight="1" x14ac:dyDescent="0.2">
      <c r="A19" s="155" t="s">
        <v>407</v>
      </c>
      <c r="B19" s="73"/>
      <c r="C19" s="73"/>
      <c r="D19" s="73"/>
      <c r="E19" s="73"/>
      <c r="F19" s="73"/>
      <c r="G19" s="388"/>
      <c r="H19" s="388"/>
      <c r="I19" s="388"/>
      <c r="J19" s="388"/>
      <c r="K19" s="388"/>
      <c r="L19" s="389"/>
      <c r="N19" s="155" t="s">
        <v>408</v>
      </c>
      <c r="O19" s="73"/>
      <c r="P19" s="73"/>
      <c r="Q19" s="73"/>
      <c r="R19" s="73"/>
      <c r="S19" s="73"/>
      <c r="T19" s="276"/>
      <c r="U19" s="276"/>
      <c r="V19" s="276"/>
      <c r="W19" s="276"/>
      <c r="X19" s="276"/>
      <c r="Y19" s="277"/>
      <c r="AA19" s="155" t="s">
        <v>262</v>
      </c>
      <c r="AB19" s="73"/>
      <c r="AC19" s="73"/>
      <c r="AD19" s="73"/>
      <c r="AE19" s="73"/>
      <c r="AF19" s="73"/>
      <c r="AG19" s="382" t="e">
        <f>(((9.8806/AG17)*100)-100)-(((9.8806/AG17)*100)-100)-(((9.8806/AG17)*100)-100)</f>
        <v>#DIV/0!</v>
      </c>
      <c r="AH19" s="382"/>
      <c r="AI19" s="382"/>
      <c r="AJ19" s="382"/>
      <c r="AK19" s="382"/>
      <c r="AL19" s="383"/>
    </row>
    <row r="20" spans="1:38" ht="3.95" customHeight="1" x14ac:dyDescent="0.2"/>
    <row r="21" spans="1:38" ht="15.95" customHeight="1" x14ac:dyDescent="0.2">
      <c r="A21" s="84" t="s">
        <v>233</v>
      </c>
      <c r="B21" s="98"/>
      <c r="C21" s="98"/>
      <c r="D21" s="98"/>
      <c r="E21" s="98"/>
      <c r="F21" s="98"/>
      <c r="G21" s="384" t="s">
        <v>413</v>
      </c>
      <c r="H21" s="384"/>
      <c r="I21" s="384"/>
      <c r="J21" s="384"/>
      <c r="K21" s="384"/>
      <c r="L21" s="385"/>
      <c r="N21" s="155" t="s">
        <v>12</v>
      </c>
      <c r="O21" s="73"/>
      <c r="P21" s="73"/>
      <c r="Q21" s="73"/>
      <c r="R21" s="73"/>
      <c r="S21" s="73"/>
      <c r="T21" s="386" t="e">
        <f>AG17/T19</f>
        <v>#DIV/0!</v>
      </c>
      <c r="U21" s="386"/>
      <c r="V21" s="386"/>
      <c r="W21" s="386"/>
      <c r="X21" s="386"/>
      <c r="Y21" s="387"/>
      <c r="AA21" s="155" t="s">
        <v>86</v>
      </c>
      <c r="AB21" s="73"/>
      <c r="AC21" s="89"/>
      <c r="AD21" s="89"/>
      <c r="AE21" s="89"/>
      <c r="AF21" s="158"/>
      <c r="AG21" s="276"/>
      <c r="AH21" s="276"/>
      <c r="AI21" s="276"/>
      <c r="AJ21" s="276"/>
      <c r="AK21" s="276"/>
      <c r="AL21" s="277"/>
    </row>
    <row r="22" spans="1:38" ht="3.95" customHeight="1" x14ac:dyDescent="0.2"/>
    <row r="23" spans="1:38" ht="15.95" customHeight="1" x14ac:dyDescent="0.2">
      <c r="A23" s="155" t="s">
        <v>290</v>
      </c>
      <c r="B23" s="73"/>
      <c r="C23" s="73"/>
      <c r="D23" s="73"/>
      <c r="E23" s="89"/>
      <c r="F23" s="89"/>
      <c r="G23" s="276"/>
      <c r="H23" s="276"/>
      <c r="I23" s="276"/>
      <c r="J23" s="276"/>
      <c r="K23" s="276"/>
      <c r="L23" s="277"/>
      <c r="M23"/>
      <c r="N23" s="84" t="s">
        <v>268</v>
      </c>
      <c r="O23" s="98"/>
      <c r="P23" s="99"/>
      <c r="Q23" s="99"/>
      <c r="R23" s="99"/>
      <c r="S23" s="153"/>
      <c r="T23" s="375" t="b">
        <f>IF(G23="No","N/A")</f>
        <v>0</v>
      </c>
      <c r="U23" s="375"/>
      <c r="V23" s="375"/>
      <c r="W23" s="375"/>
      <c r="X23" s="375"/>
      <c r="Y23" s="376"/>
      <c r="Z23"/>
      <c r="AA23" s="84" t="s">
        <v>269</v>
      </c>
      <c r="AB23" s="98"/>
      <c r="AC23" s="98"/>
      <c r="AD23" s="98"/>
      <c r="AE23" s="95"/>
      <c r="AF23" s="158"/>
      <c r="AG23" s="276" t="b">
        <f>IF(G23="No","N/A")</f>
        <v>0</v>
      </c>
      <c r="AH23" s="276"/>
      <c r="AI23" s="276"/>
      <c r="AJ23" s="276"/>
      <c r="AK23" s="276"/>
      <c r="AL23" s="277"/>
    </row>
    <row r="24" spans="1:38" ht="15.95" hidden="1" customHeight="1" x14ac:dyDescent="0.2">
      <c r="A24" s="92"/>
      <c r="B24" s="92"/>
      <c r="C24" s="92"/>
      <c r="D24" s="92"/>
      <c r="E24" s="93"/>
      <c r="F24" s="93"/>
      <c r="G24"/>
      <c r="H24"/>
      <c r="I24"/>
      <c r="J24"/>
      <c r="K24"/>
      <c r="L24"/>
      <c r="M24"/>
      <c r="N24" s="92"/>
      <c r="O24" s="92"/>
      <c r="P24" s="92"/>
      <c r="Q24" s="92"/>
      <c r="S24" s="93"/>
      <c r="Z24"/>
      <c r="AA24"/>
      <c r="AB24"/>
      <c r="AC24"/>
      <c r="AD24"/>
      <c r="AG24" s="159" t="s">
        <v>79</v>
      </c>
      <c r="AH24" s="160"/>
      <c r="AI24" s="161"/>
      <c r="AJ24" s="161"/>
      <c r="AK24" s="161"/>
      <c r="AL24" s="161"/>
    </row>
    <row r="25" spans="1:38" ht="15.95" hidden="1" customHeight="1" x14ac:dyDescent="0.2">
      <c r="A25" s="92"/>
      <c r="B25" s="92"/>
      <c r="C25" s="92"/>
      <c r="D25" s="92"/>
      <c r="E25" s="93"/>
      <c r="F25" s="93"/>
      <c r="G25"/>
      <c r="H25"/>
      <c r="I25"/>
      <c r="J25"/>
      <c r="K25"/>
      <c r="L25"/>
      <c r="M25"/>
      <c r="N25" s="92"/>
      <c r="O25" s="92"/>
      <c r="P25" s="92"/>
      <c r="Q25" s="92"/>
      <c r="S25" s="93"/>
      <c r="Z25"/>
      <c r="AA25"/>
      <c r="AB25"/>
      <c r="AC25"/>
      <c r="AD25"/>
      <c r="AG25" s="159" t="s">
        <v>183</v>
      </c>
      <c r="AH25" s="160"/>
      <c r="AI25" s="161"/>
      <c r="AJ25" s="161"/>
      <c r="AK25" s="161"/>
      <c r="AL25" s="161"/>
    </row>
    <row r="26" spans="1:38" ht="15.95" hidden="1" customHeight="1" x14ac:dyDescent="0.2">
      <c r="A26" s="92"/>
      <c r="B26" s="92"/>
      <c r="C26" s="92"/>
      <c r="D26" s="92"/>
      <c r="E26" s="93"/>
      <c r="F26" s="93"/>
      <c r="G26"/>
      <c r="H26"/>
      <c r="I26"/>
      <c r="J26"/>
      <c r="K26"/>
      <c r="L26"/>
      <c r="M26"/>
      <c r="N26" s="92"/>
      <c r="O26" s="92"/>
      <c r="P26" s="92"/>
      <c r="Q26" s="92"/>
      <c r="S26" s="93"/>
      <c r="Z26"/>
      <c r="AA26"/>
      <c r="AB26"/>
      <c r="AC26"/>
      <c r="AD26"/>
      <c r="AG26" s="159" t="s">
        <v>184</v>
      </c>
      <c r="AH26" s="160"/>
      <c r="AI26" s="161"/>
      <c r="AJ26" s="161"/>
      <c r="AK26" s="161"/>
      <c r="AL26" s="161"/>
    </row>
    <row r="27" spans="1:38" ht="3.95" customHeight="1" x14ac:dyDescent="0.2"/>
    <row r="28" spans="1:38" customFormat="1" ht="15.95" customHeight="1" x14ac:dyDescent="0.2">
      <c r="A28" s="154" t="s">
        <v>270</v>
      </c>
      <c r="B28" s="156"/>
      <c r="C28" s="156"/>
      <c r="D28" s="156"/>
      <c r="E28" s="156"/>
      <c r="F28" s="276" t="b">
        <f>IF(G23="No","N/A")</f>
        <v>0</v>
      </c>
      <c r="G28" s="276"/>
      <c r="H28" s="276"/>
      <c r="I28" s="277"/>
      <c r="K28" s="154" t="s">
        <v>271</v>
      </c>
      <c r="L28" s="156"/>
      <c r="M28" s="156"/>
      <c r="N28" s="156"/>
      <c r="O28" s="156"/>
      <c r="P28" s="276" t="b">
        <f>IF(G23="No","N/A")</f>
        <v>0</v>
      </c>
      <c r="Q28" s="276"/>
      <c r="R28" s="276"/>
      <c r="S28" s="276"/>
      <c r="T28" s="277"/>
      <c r="U28" s="55"/>
      <c r="V28" s="154" t="s">
        <v>128</v>
      </c>
      <c r="W28" s="156"/>
      <c r="X28" s="156"/>
      <c r="Y28" s="156"/>
      <c r="Z28" s="156"/>
      <c r="AA28" s="276" t="b">
        <f>IF(G23="No","N/A")</f>
        <v>0</v>
      </c>
      <c r="AB28" s="276"/>
      <c r="AC28" s="276"/>
      <c r="AD28" s="277"/>
      <c r="AE28" s="55"/>
      <c r="AF28" s="154" t="s">
        <v>272</v>
      </c>
      <c r="AG28" s="156"/>
      <c r="AH28" s="156"/>
      <c r="AI28" s="276" t="b">
        <f>IF(AA28="N/A","N/A",IF(AA28="Std (3mm)","N/A",IF(AA28="1mm","N/A",IF(AA28="2mm","N/A",IF(AA28="Centered","N/A",IF(AA28="See Layout","N/A"))))))</f>
        <v>0</v>
      </c>
      <c r="AJ28" s="276"/>
      <c r="AK28" s="276"/>
      <c r="AL28" s="277"/>
    </row>
    <row r="29" spans="1:38" ht="3.95" customHeight="1" x14ac:dyDescent="0.2"/>
    <row r="30" spans="1:38" ht="15.95" customHeight="1" x14ac:dyDescent="0.2">
      <c r="A30" s="155" t="s">
        <v>181</v>
      </c>
      <c r="B30" s="73"/>
      <c r="C30" s="73"/>
      <c r="D30" s="73"/>
      <c r="E30" s="73"/>
      <c r="F30" s="276"/>
      <c r="G30" s="276"/>
      <c r="H30" s="276"/>
      <c r="I30" s="276"/>
      <c r="J30" s="276"/>
      <c r="K30" s="276"/>
      <c r="L30" s="276"/>
      <c r="M30" s="276"/>
      <c r="N30" s="276"/>
      <c r="O30" s="276"/>
      <c r="P30" s="276"/>
      <c r="Q30" s="276"/>
      <c r="R30" s="276"/>
      <c r="S30" s="276"/>
      <c r="T30" s="276"/>
      <c r="U30" s="276"/>
      <c r="V30" s="276"/>
      <c r="W30" s="276"/>
      <c r="X30" s="276"/>
      <c r="Y30" s="276"/>
      <c r="Z30" s="276"/>
      <c r="AA30" s="276"/>
      <c r="AB30" s="276"/>
      <c r="AC30" s="276"/>
      <c r="AD30" s="277"/>
      <c r="AE30" s="90"/>
      <c r="AF30" s="377" t="s">
        <v>260</v>
      </c>
      <c r="AG30" s="377"/>
      <c r="AH30" s="377"/>
      <c r="AI30" s="377"/>
      <c r="AJ30" s="377"/>
      <c r="AK30" s="377"/>
      <c r="AL30" s="377"/>
    </row>
    <row r="31" spans="1:38" ht="3.95" customHeight="1" x14ac:dyDescent="0.2"/>
    <row r="32" spans="1:38" ht="15.95" customHeight="1" x14ac:dyDescent="0.2">
      <c r="A32" s="80" t="s">
        <v>274</v>
      </c>
      <c r="B32" s="71"/>
      <c r="C32" s="71"/>
      <c r="D32" s="71"/>
      <c r="E32" s="71"/>
      <c r="F32" s="71"/>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c r="AI32" s="71"/>
      <c r="AJ32" s="71"/>
      <c r="AK32" s="71"/>
      <c r="AL32" s="71"/>
    </row>
    <row r="33" spans="1:38" s="91" customFormat="1" ht="3.95" customHeight="1" x14ac:dyDescent="0.2"/>
    <row r="34" spans="1:38" ht="15.95" customHeight="1" x14ac:dyDescent="0.2">
      <c r="A34" s="187" t="s">
        <v>62</v>
      </c>
      <c r="B34" s="73"/>
      <c r="C34" s="73"/>
      <c r="D34" s="73"/>
      <c r="E34" s="73"/>
      <c r="F34" s="73"/>
      <c r="G34" s="296">
        <f>ICM!AG5</f>
        <v>0</v>
      </c>
      <c r="H34" s="296"/>
      <c r="I34" s="296"/>
      <c r="J34" s="296"/>
      <c r="K34" s="296"/>
      <c r="L34" s="378"/>
      <c r="M34" s="91"/>
      <c r="N34" s="91"/>
      <c r="O34" s="91"/>
      <c r="P34" s="91"/>
      <c r="Q34" s="91"/>
      <c r="R34" s="91"/>
      <c r="S34" s="91"/>
      <c r="T34" s="91"/>
      <c r="U34" s="91"/>
      <c r="V34" s="91"/>
      <c r="W34" s="91"/>
      <c r="X34" s="91"/>
      <c r="Y34" s="91"/>
      <c r="Z34" s="91"/>
      <c r="AA34" s="91"/>
      <c r="AB34" s="91"/>
      <c r="AC34" s="91"/>
      <c r="AD34" s="91"/>
      <c r="AE34" s="91"/>
      <c r="AF34" s="91"/>
      <c r="AG34" s="91"/>
      <c r="AH34" s="91"/>
      <c r="AI34" s="91"/>
      <c r="AJ34" s="91"/>
      <c r="AK34" s="91"/>
      <c r="AL34" s="91"/>
    </row>
    <row r="35" spans="1:38" ht="12" customHeight="1" x14ac:dyDescent="0.2">
      <c r="A35" s="188"/>
      <c r="B35" s="188"/>
      <c r="C35" s="188"/>
      <c r="D35" s="188"/>
      <c r="E35" s="188"/>
      <c r="F35" s="188"/>
      <c r="G35" s="188"/>
      <c r="H35" s="188"/>
      <c r="I35" s="188"/>
      <c r="J35" s="188"/>
      <c r="K35" s="188"/>
      <c r="L35" s="188"/>
      <c r="M35" s="188"/>
      <c r="N35" s="188"/>
      <c r="O35" s="188"/>
      <c r="P35" s="188"/>
      <c r="Q35" s="188"/>
      <c r="R35" s="188"/>
      <c r="S35" s="188"/>
      <c r="T35" s="188"/>
      <c r="U35" s="188"/>
      <c r="V35" s="188"/>
      <c r="W35" s="188"/>
      <c r="X35" s="188"/>
      <c r="Y35" s="188"/>
      <c r="Z35" s="188"/>
      <c r="AA35" s="188"/>
      <c r="AB35" s="188"/>
      <c r="AC35" s="188"/>
      <c r="AD35" s="188"/>
      <c r="AE35" s="188"/>
      <c r="AF35" s="188"/>
      <c r="AG35" s="188"/>
      <c r="AH35" s="188"/>
      <c r="AI35" s="188"/>
      <c r="AJ35" s="188"/>
      <c r="AK35" s="188"/>
      <c r="AL35" s="188"/>
    </row>
    <row r="36" spans="1:38" ht="12" customHeight="1" x14ac:dyDescent="0.2">
      <c r="A36" s="100"/>
      <c r="B36" s="100"/>
      <c r="C36" s="100"/>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0"/>
      <c r="AB36" s="100"/>
      <c r="AC36" s="100"/>
      <c r="AD36" s="100"/>
      <c r="AE36" s="100"/>
      <c r="AF36" s="100"/>
      <c r="AG36" s="100"/>
      <c r="AH36" s="100"/>
      <c r="AI36" s="100"/>
      <c r="AJ36" s="100"/>
      <c r="AK36" s="100"/>
      <c r="AL36" s="100"/>
    </row>
    <row r="37" spans="1:38" ht="12" customHeight="1" x14ac:dyDescent="0.2">
      <c r="A37" s="100"/>
      <c r="B37" s="100"/>
      <c r="C37" s="100"/>
      <c r="D37" s="100"/>
      <c r="E37" s="100"/>
      <c r="F37" s="100"/>
      <c r="G37" s="100"/>
      <c r="H37" s="100"/>
      <c r="I37" s="100"/>
      <c r="J37" s="100"/>
      <c r="K37" s="100"/>
      <c r="L37" s="100"/>
      <c r="M37" s="100"/>
      <c r="N37" s="100"/>
      <c r="O37" s="100"/>
      <c r="P37" s="100"/>
      <c r="Q37" s="100"/>
      <c r="R37" s="100"/>
      <c r="S37" s="100"/>
      <c r="T37" s="100"/>
      <c r="U37" s="100"/>
      <c r="V37" s="100"/>
      <c r="W37" s="100"/>
      <c r="X37" s="100"/>
      <c r="Y37" s="100"/>
      <c r="Z37" s="100"/>
      <c r="AA37" s="100"/>
      <c r="AB37" s="100"/>
      <c r="AC37" s="100"/>
      <c r="AD37" s="100"/>
      <c r="AE37" s="100"/>
      <c r="AF37" s="100"/>
      <c r="AG37" s="100"/>
      <c r="AH37" s="100"/>
      <c r="AI37" s="100"/>
      <c r="AJ37" s="100"/>
      <c r="AK37" s="100"/>
      <c r="AL37" s="100"/>
    </row>
    <row r="38" spans="1:38" ht="12" customHeight="1" x14ac:dyDescent="0.2">
      <c r="A38" s="100"/>
      <c r="B38" s="100"/>
      <c r="C38" s="100"/>
      <c r="D38" s="100"/>
      <c r="E38" s="100"/>
      <c r="F38" s="100"/>
      <c r="G38" s="100"/>
      <c r="H38" s="100"/>
      <c r="I38" s="100"/>
      <c r="J38" s="100"/>
      <c r="K38" s="100"/>
      <c r="L38" s="100"/>
      <c r="M38" s="100"/>
      <c r="N38" s="100"/>
      <c r="O38" s="100"/>
      <c r="P38" s="100"/>
      <c r="Q38" s="100"/>
      <c r="R38" s="100"/>
      <c r="S38" s="100"/>
      <c r="T38" s="100"/>
      <c r="U38" s="100"/>
      <c r="V38" s="100"/>
      <c r="W38" s="100"/>
      <c r="X38" s="100"/>
      <c r="Y38" s="100"/>
      <c r="Z38" s="100"/>
      <c r="AA38" s="100"/>
      <c r="AB38" s="100"/>
      <c r="AC38" s="100"/>
      <c r="AD38" s="100"/>
      <c r="AE38" s="100"/>
      <c r="AF38" s="100"/>
      <c r="AG38" s="100"/>
      <c r="AH38" s="100"/>
      <c r="AI38" s="100"/>
      <c r="AJ38" s="100"/>
      <c r="AK38" s="100"/>
      <c r="AL38" s="100"/>
    </row>
    <row r="39" spans="1:38" ht="12" customHeight="1" x14ac:dyDescent="0.2">
      <c r="A39" s="100"/>
      <c r="B39" s="100"/>
      <c r="C39" s="100"/>
      <c r="D39" s="100"/>
      <c r="E39" s="100"/>
      <c r="F39" s="100"/>
      <c r="G39" s="100"/>
      <c r="H39" s="100"/>
      <c r="I39" s="100"/>
      <c r="J39" s="100"/>
      <c r="K39" s="100"/>
      <c r="L39" s="100"/>
      <c r="M39" s="100"/>
      <c r="N39" s="100"/>
      <c r="O39" s="100"/>
      <c r="P39" s="100"/>
      <c r="Q39" s="100"/>
      <c r="R39" s="100"/>
      <c r="S39" s="100"/>
      <c r="T39" s="100"/>
      <c r="U39" s="100"/>
      <c r="V39" s="100"/>
      <c r="W39" s="100"/>
      <c r="X39" s="100"/>
      <c r="Y39" s="100"/>
      <c r="Z39" s="100"/>
      <c r="AA39" s="100"/>
      <c r="AB39" s="100"/>
      <c r="AC39" s="100"/>
      <c r="AD39" s="100"/>
      <c r="AE39" s="100"/>
      <c r="AF39" s="100"/>
      <c r="AG39" s="100"/>
      <c r="AH39" s="100"/>
      <c r="AI39" s="100"/>
      <c r="AJ39" s="100"/>
      <c r="AK39" s="100"/>
      <c r="AL39" s="100"/>
    </row>
    <row r="40" spans="1:38" ht="12" customHeight="1" x14ac:dyDescent="0.2">
      <c r="A40" s="100"/>
      <c r="B40" s="100"/>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100"/>
      <c r="AI40" s="100"/>
      <c r="AJ40" s="100"/>
      <c r="AK40" s="100"/>
      <c r="AL40" s="100"/>
    </row>
    <row r="41" spans="1:38" ht="12" customHeight="1" x14ac:dyDescent="0.2">
      <c r="A41" s="100"/>
      <c r="B41" s="100"/>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100"/>
      <c r="AI41" s="100"/>
      <c r="AJ41" s="100"/>
      <c r="AK41" s="100"/>
      <c r="AL41" s="100"/>
    </row>
    <row r="42" spans="1:38" s="91" customFormat="1" ht="12" customHeight="1" x14ac:dyDescent="0.2"/>
    <row r="43" spans="1:38" ht="15.95" customHeight="1" x14ac:dyDescent="0.2">
      <c r="A43" s="80" t="s">
        <v>37</v>
      </c>
      <c r="B43" s="71"/>
      <c r="C43" s="71"/>
      <c r="D43" s="71"/>
      <c r="E43" s="71"/>
      <c r="F43" s="71"/>
      <c r="G43" s="71"/>
      <c r="H43" s="71"/>
      <c r="I43" s="71"/>
      <c r="J43" s="71"/>
      <c r="K43" s="71"/>
      <c r="L43" s="71"/>
      <c r="M43" s="71"/>
      <c r="N43" s="71"/>
      <c r="O43" s="71"/>
      <c r="P43" s="71"/>
      <c r="Q43" s="71"/>
      <c r="R43" s="71"/>
      <c r="S43" s="71"/>
      <c r="T43" s="71"/>
      <c r="U43" s="71"/>
      <c r="V43" s="71"/>
      <c r="W43" s="71"/>
      <c r="X43" s="71"/>
      <c r="Y43" s="71"/>
      <c r="Z43" s="71"/>
      <c r="AA43" s="71"/>
      <c r="AB43" s="71"/>
      <c r="AC43" s="71"/>
      <c r="AD43" s="71"/>
      <c r="AE43" s="71"/>
      <c r="AF43" s="71"/>
      <c r="AG43" s="71"/>
      <c r="AH43" s="71"/>
      <c r="AI43" s="71"/>
      <c r="AJ43" s="71"/>
      <c r="AK43" s="71"/>
      <c r="AL43" s="71"/>
    </row>
    <row r="44" spans="1:38" ht="12" customHeight="1" x14ac:dyDescent="0.2">
      <c r="A44" s="102"/>
      <c r="B44" s="102"/>
      <c r="C44" s="102"/>
      <c r="D44" s="102"/>
      <c r="E44" s="102"/>
      <c r="F44" s="102"/>
      <c r="G44" s="102"/>
      <c r="H44" s="102"/>
      <c r="I44" s="102"/>
      <c r="J44" s="102"/>
      <c r="K44" s="102"/>
      <c r="L44" s="102"/>
      <c r="M44" s="102"/>
      <c r="N44" s="102"/>
      <c r="O44" s="102"/>
      <c r="P44" s="102"/>
      <c r="Q44" s="102"/>
      <c r="R44" s="102"/>
      <c r="S44" s="102"/>
      <c r="T44" s="102"/>
      <c r="U44" s="102"/>
      <c r="V44" s="102"/>
      <c r="W44" s="102"/>
      <c r="X44" s="102"/>
      <c r="Y44" s="102"/>
      <c r="Z44" s="102"/>
      <c r="AA44" s="102"/>
      <c r="AB44" s="102"/>
      <c r="AC44" s="102"/>
      <c r="AD44" s="102"/>
      <c r="AE44" s="102"/>
      <c r="AF44" s="102"/>
      <c r="AG44" s="102"/>
      <c r="AH44" s="102"/>
      <c r="AI44" s="102"/>
      <c r="AJ44" s="102"/>
      <c r="AK44" s="102"/>
      <c r="AL44" s="102"/>
    </row>
    <row r="45" spans="1:38" ht="12" customHeight="1" x14ac:dyDescent="0.2">
      <c r="A45" s="102"/>
      <c r="B45" s="102"/>
      <c r="C45" s="102"/>
      <c r="D45" s="102"/>
      <c r="E45" s="102"/>
      <c r="F45" s="102"/>
      <c r="G45" s="102"/>
      <c r="H45" s="102"/>
      <c r="I45" s="102"/>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c r="AG45" s="102"/>
      <c r="AH45" s="102"/>
      <c r="AI45" s="102"/>
      <c r="AJ45" s="102"/>
      <c r="AK45" s="102"/>
      <c r="AL45" s="102"/>
    </row>
    <row r="46" spans="1:38" ht="12" customHeight="1" x14ac:dyDescent="0.2">
      <c r="A46" s="102"/>
      <c r="B46" s="102"/>
      <c r="C46" s="10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c r="AG46" s="102"/>
      <c r="AH46" s="102"/>
      <c r="AI46" s="102"/>
      <c r="AJ46" s="102"/>
      <c r="AK46" s="102"/>
      <c r="AL46" s="102"/>
    </row>
    <row r="47" spans="1:38" ht="12" customHeight="1" x14ac:dyDescent="0.2">
      <c r="A47" s="102"/>
      <c r="B47" s="102"/>
      <c r="C47" s="102"/>
      <c r="D47" s="102"/>
      <c r="E47" s="102"/>
      <c r="F47" s="102"/>
      <c r="G47" s="102"/>
      <c r="H47" s="102"/>
      <c r="I47" s="102"/>
      <c r="J47" s="102"/>
      <c r="K47" s="102"/>
      <c r="L47" s="102"/>
      <c r="M47" s="102"/>
      <c r="N47" s="102"/>
      <c r="O47" s="102"/>
      <c r="P47" s="102"/>
      <c r="Q47" s="102"/>
      <c r="R47" s="102"/>
      <c r="S47" s="102"/>
      <c r="T47" s="102"/>
      <c r="U47" s="102"/>
      <c r="V47" s="102"/>
      <c r="W47" s="102"/>
      <c r="X47" s="102"/>
      <c r="Y47" s="102"/>
      <c r="Z47" s="102"/>
      <c r="AA47" s="102"/>
      <c r="AB47" s="102"/>
      <c r="AC47" s="102"/>
      <c r="AD47" s="102"/>
      <c r="AE47" s="102"/>
      <c r="AF47" s="102"/>
      <c r="AG47" s="102"/>
      <c r="AH47" s="102"/>
      <c r="AI47" s="102"/>
      <c r="AJ47" s="102"/>
      <c r="AK47" s="102"/>
      <c r="AL47" s="102"/>
    </row>
    <row r="48" spans="1:38" ht="12" customHeight="1" x14ac:dyDescent="0.2">
      <c r="A48" s="102"/>
      <c r="B48" s="102"/>
      <c r="C48" s="102"/>
      <c r="D48" s="102"/>
      <c r="E48" s="102"/>
      <c r="F48" s="102"/>
      <c r="G48" s="102"/>
      <c r="H48" s="102"/>
      <c r="I48" s="102"/>
      <c r="J48" s="102"/>
      <c r="K48" s="102"/>
      <c r="L48" s="102"/>
      <c r="M48" s="102"/>
      <c r="N48" s="102"/>
      <c r="O48" s="102"/>
      <c r="P48" s="102"/>
      <c r="Q48" s="102"/>
      <c r="R48" s="102"/>
      <c r="S48" s="102"/>
      <c r="T48" s="102"/>
      <c r="U48" s="102"/>
      <c r="V48" s="102"/>
      <c r="W48" s="102"/>
      <c r="X48" s="102"/>
      <c r="Y48" s="102"/>
      <c r="Z48" s="102"/>
      <c r="AA48" s="102"/>
      <c r="AB48" s="102"/>
      <c r="AC48" s="102"/>
      <c r="AD48" s="102"/>
      <c r="AE48" s="102"/>
      <c r="AF48" s="102"/>
      <c r="AG48" s="102"/>
      <c r="AH48" s="102"/>
      <c r="AI48" s="102"/>
      <c r="AJ48" s="102"/>
      <c r="AK48" s="102"/>
      <c r="AL48" s="102"/>
    </row>
    <row r="49" spans="1:38" ht="14.1" customHeight="1" x14ac:dyDescent="0.2">
      <c r="A49" s="102"/>
      <c r="B49" s="102"/>
      <c r="C49" s="102"/>
      <c r="D49" s="102"/>
      <c r="E49" s="102"/>
      <c r="F49" s="102"/>
      <c r="G49" s="102"/>
      <c r="H49" s="102"/>
      <c r="I49" s="102"/>
      <c r="J49" s="102"/>
      <c r="K49" s="102"/>
      <c r="L49" s="102"/>
      <c r="M49" s="102"/>
      <c r="N49" s="102"/>
      <c r="O49" s="102"/>
      <c r="P49" s="102"/>
      <c r="Q49" s="102"/>
      <c r="R49" s="102"/>
      <c r="S49" s="102"/>
      <c r="T49" s="102"/>
      <c r="U49" s="102"/>
      <c r="V49" s="102"/>
      <c r="W49" s="102"/>
      <c r="X49" s="102"/>
      <c r="Y49" s="102"/>
      <c r="Z49" s="102"/>
      <c r="AA49" s="102"/>
      <c r="AB49" s="102"/>
      <c r="AC49" s="102"/>
      <c r="AD49" s="102"/>
      <c r="AE49" s="102"/>
      <c r="AF49" s="102"/>
      <c r="AG49" s="102"/>
      <c r="AH49" s="102"/>
      <c r="AI49" s="102"/>
      <c r="AJ49" s="102"/>
      <c r="AK49" s="102"/>
      <c r="AL49" s="102"/>
    </row>
    <row r="50" spans="1:38" ht="14.1" customHeight="1" x14ac:dyDescent="0.2">
      <c r="A50" s="102"/>
      <c r="B50" s="102"/>
      <c r="C50" s="102"/>
      <c r="D50" s="102"/>
      <c r="E50" s="102"/>
      <c r="F50" s="102"/>
      <c r="G50" s="102"/>
      <c r="H50" s="102"/>
      <c r="I50" s="102"/>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c r="AG50" s="102"/>
      <c r="AH50" s="102"/>
      <c r="AI50" s="102"/>
      <c r="AJ50" s="102"/>
      <c r="AK50" s="102"/>
      <c r="AL50" s="102"/>
    </row>
    <row r="51" spans="1:38" ht="14.1" customHeight="1" x14ac:dyDescent="0.2">
      <c r="A51" s="102"/>
      <c r="B51" s="102"/>
      <c r="C51" s="102"/>
      <c r="D51" s="102"/>
      <c r="E51" s="102"/>
      <c r="F51" s="102"/>
      <c r="G51" s="102"/>
      <c r="H51" s="102"/>
      <c r="I51" s="102"/>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c r="AK51" s="102"/>
      <c r="AL51" s="102"/>
    </row>
    <row r="52" spans="1:38" ht="14.1" customHeight="1" x14ac:dyDescent="0.2">
      <c r="A52" s="102"/>
      <c r="B52" s="102"/>
      <c r="C52" s="102"/>
      <c r="D52" s="102"/>
      <c r="E52" s="102"/>
      <c r="F52" s="102"/>
      <c r="G52" s="102"/>
      <c r="H52" s="102"/>
      <c r="I52" s="102"/>
      <c r="J52" s="102"/>
      <c r="K52" s="102"/>
      <c r="L52" s="102"/>
      <c r="M52" s="102"/>
      <c r="N52" s="102"/>
      <c r="O52" s="102"/>
      <c r="P52" s="102"/>
      <c r="Q52" s="102"/>
      <c r="R52" s="102"/>
      <c r="S52" s="102"/>
      <c r="T52" s="102"/>
      <c r="U52" s="102"/>
      <c r="V52" s="102"/>
      <c r="W52" s="102"/>
      <c r="X52" s="102"/>
      <c r="Y52" s="102"/>
      <c r="Z52" s="102"/>
      <c r="AA52" s="102"/>
      <c r="AB52" s="102"/>
      <c r="AC52" s="102"/>
      <c r="AD52" s="102"/>
      <c r="AE52" s="102"/>
      <c r="AF52" s="102"/>
      <c r="AG52" s="102"/>
      <c r="AH52" s="102"/>
      <c r="AI52" s="102"/>
      <c r="AJ52" s="102"/>
      <c r="AK52" s="102"/>
      <c r="AL52" s="102"/>
    </row>
    <row r="53" spans="1:38" ht="14.1" customHeight="1" x14ac:dyDescent="0.2">
      <c r="A53" s="102"/>
      <c r="B53" s="102"/>
      <c r="C53" s="102"/>
      <c r="D53" s="102"/>
      <c r="E53" s="102"/>
      <c r="F53" s="102"/>
      <c r="G53" s="102"/>
      <c r="H53" s="102"/>
      <c r="I53" s="102"/>
      <c r="J53" s="102"/>
      <c r="K53" s="102"/>
      <c r="L53" s="102"/>
      <c r="M53" s="102"/>
      <c r="N53" s="102"/>
      <c r="O53" s="102"/>
      <c r="P53" s="102"/>
      <c r="Q53" s="102"/>
      <c r="R53" s="102"/>
      <c r="S53" s="102"/>
      <c r="T53" s="102"/>
      <c r="U53" s="102"/>
      <c r="V53" s="102"/>
      <c r="W53" s="102"/>
      <c r="X53" s="102"/>
      <c r="Y53" s="102"/>
      <c r="Z53" s="102"/>
      <c r="AA53" s="102"/>
      <c r="AB53" s="102"/>
      <c r="AC53" s="102"/>
      <c r="AD53" s="102"/>
      <c r="AE53" s="102"/>
      <c r="AF53" s="102"/>
      <c r="AG53" s="102"/>
      <c r="AH53" s="102"/>
      <c r="AI53" s="102"/>
      <c r="AJ53" s="102"/>
      <c r="AK53" s="102"/>
      <c r="AL53" s="102"/>
    </row>
    <row r="54" spans="1:38" ht="14.1" customHeight="1" x14ac:dyDescent="0.2">
      <c r="A54" s="102"/>
      <c r="B54" s="102"/>
      <c r="C54" s="102"/>
      <c r="D54" s="102"/>
      <c r="E54" s="102"/>
      <c r="F54" s="102"/>
      <c r="G54" s="102"/>
      <c r="H54" s="102"/>
      <c r="I54" s="102"/>
      <c r="J54" s="102"/>
      <c r="K54" s="102"/>
      <c r="L54" s="102"/>
      <c r="M54" s="102"/>
      <c r="N54" s="102"/>
      <c r="O54" s="102"/>
      <c r="P54" s="102"/>
      <c r="Q54" s="102"/>
      <c r="R54" s="102"/>
      <c r="S54" s="102"/>
      <c r="T54" s="102"/>
      <c r="U54" s="102"/>
      <c r="V54" s="102"/>
      <c r="W54" s="102"/>
      <c r="X54" s="102"/>
      <c r="Y54" s="102"/>
      <c r="Z54" s="102"/>
      <c r="AA54" s="102"/>
      <c r="AB54" s="102"/>
      <c r="AC54" s="102"/>
      <c r="AD54" s="102"/>
      <c r="AE54" s="102"/>
      <c r="AF54" s="102"/>
      <c r="AG54" s="102"/>
      <c r="AH54" s="102"/>
      <c r="AI54" s="102"/>
      <c r="AJ54" s="102"/>
      <c r="AK54" s="102"/>
      <c r="AL54" s="102"/>
    </row>
    <row r="55" spans="1:38" ht="14.1" customHeight="1" x14ac:dyDescent="0.2">
      <c r="A55" s="102"/>
      <c r="B55" s="102"/>
      <c r="C55" s="102"/>
      <c r="D55" s="102"/>
      <c r="E55" s="102"/>
      <c r="F55" s="102"/>
      <c r="G55" s="102"/>
      <c r="H55" s="102"/>
      <c r="I55" s="102"/>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c r="AG55" s="102"/>
      <c r="AH55" s="102"/>
      <c r="AI55" s="102"/>
      <c r="AJ55" s="102"/>
      <c r="AK55" s="102"/>
      <c r="AL55" s="102"/>
    </row>
    <row r="56" spans="1:38" ht="14.1" customHeight="1" x14ac:dyDescent="0.2">
      <c r="A56" s="102"/>
      <c r="B56" s="102"/>
      <c r="C56" s="102"/>
      <c r="D56" s="102"/>
      <c r="E56" s="102"/>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row>
    <row r="57" spans="1:38" ht="14.1" customHeight="1" x14ac:dyDescent="0.2">
      <c r="A57" s="102"/>
      <c r="B57" s="102"/>
      <c r="C57" s="102"/>
      <c r="D57" s="102"/>
      <c r="E57" s="102"/>
      <c r="F57" s="102"/>
      <c r="G57" s="102"/>
      <c r="H57" s="102"/>
      <c r="I57" s="102"/>
      <c r="J57" s="102"/>
      <c r="K57" s="102"/>
      <c r="L57" s="102"/>
      <c r="M57" s="102"/>
      <c r="N57" s="102"/>
      <c r="O57" s="102"/>
      <c r="P57" s="102"/>
      <c r="Q57" s="102"/>
      <c r="R57" s="102"/>
      <c r="S57" s="102"/>
      <c r="T57" s="102"/>
      <c r="U57" s="102"/>
      <c r="V57" s="102"/>
      <c r="W57" s="102"/>
      <c r="X57" s="102"/>
      <c r="Y57" s="102"/>
      <c r="Z57" s="102"/>
      <c r="AA57" s="102"/>
      <c r="AB57" s="102"/>
      <c r="AC57" s="102"/>
      <c r="AD57" s="102"/>
      <c r="AE57" s="102"/>
      <c r="AF57" s="102"/>
      <c r="AG57" s="102"/>
      <c r="AH57" s="102"/>
      <c r="AI57" s="102"/>
      <c r="AJ57" s="102"/>
      <c r="AK57" s="102"/>
      <c r="AL57" s="102"/>
    </row>
    <row r="58" spans="1:38" ht="14.1" customHeight="1" x14ac:dyDescent="0.2">
      <c r="A58" s="102"/>
      <c r="B58" s="102"/>
      <c r="C58" s="102"/>
      <c r="D58" s="102"/>
      <c r="E58" s="102"/>
      <c r="F58" s="102"/>
      <c r="G58" s="102"/>
      <c r="H58" s="102"/>
      <c r="I58" s="102"/>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c r="AL58" s="102"/>
    </row>
    <row r="59" spans="1:38" ht="14.1" customHeight="1" x14ac:dyDescent="0.2">
      <c r="A59" s="102"/>
      <c r="B59" s="102"/>
      <c r="C59" s="102"/>
      <c r="D59" s="102"/>
      <c r="E59" s="102"/>
      <c r="F59" s="102"/>
      <c r="G59" s="102"/>
      <c r="H59" s="102"/>
      <c r="I59" s="102"/>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c r="AG59" s="102"/>
      <c r="AH59" s="102"/>
      <c r="AI59" s="102"/>
      <c r="AJ59" s="102"/>
      <c r="AK59" s="102"/>
      <c r="AL59" s="102"/>
    </row>
    <row r="60" spans="1:38" ht="14.1" customHeight="1" x14ac:dyDescent="0.2">
      <c r="A60" s="102"/>
      <c r="B60" s="102"/>
      <c r="C60" s="102"/>
      <c r="D60" s="102"/>
      <c r="E60" s="102"/>
      <c r="F60" s="102"/>
      <c r="G60" s="102"/>
      <c r="H60" s="102"/>
      <c r="I60" s="102"/>
      <c r="J60" s="102"/>
      <c r="K60" s="102"/>
      <c r="L60" s="102"/>
      <c r="M60" s="102"/>
      <c r="N60" s="102"/>
      <c r="O60" s="102"/>
      <c r="P60" s="102"/>
      <c r="Q60" s="102"/>
      <c r="R60" s="102"/>
      <c r="S60" s="102"/>
      <c r="T60" s="102"/>
      <c r="U60" s="102"/>
      <c r="V60" s="102"/>
      <c r="W60" s="102"/>
      <c r="X60" s="102"/>
      <c r="Y60" s="102"/>
      <c r="Z60" s="102"/>
      <c r="AA60" s="102"/>
      <c r="AB60" s="102"/>
      <c r="AC60" s="102"/>
      <c r="AD60" s="102"/>
      <c r="AE60" s="102"/>
      <c r="AF60" s="102"/>
      <c r="AG60" s="102"/>
      <c r="AH60" s="102"/>
      <c r="AI60" s="102"/>
      <c r="AJ60" s="102"/>
      <c r="AK60" s="102"/>
      <c r="AL60" s="102"/>
    </row>
    <row r="61" spans="1:38" ht="14.1" customHeight="1" x14ac:dyDescent="0.2">
      <c r="A61" s="102"/>
      <c r="B61" s="102"/>
      <c r="C61" s="102"/>
      <c r="D61" s="102"/>
      <c r="E61" s="102"/>
      <c r="F61" s="102"/>
      <c r="G61" s="102"/>
      <c r="H61" s="102"/>
      <c r="I61" s="102"/>
      <c r="J61" s="102"/>
      <c r="K61" s="102"/>
      <c r="L61" s="102"/>
      <c r="M61" s="102"/>
      <c r="N61" s="102"/>
      <c r="O61" s="102"/>
      <c r="P61" s="102"/>
      <c r="Q61" s="102"/>
      <c r="R61" s="102"/>
      <c r="S61" s="102"/>
      <c r="T61" s="102"/>
      <c r="U61" s="102"/>
      <c r="V61" s="102"/>
      <c r="W61" s="102"/>
      <c r="X61" s="102"/>
      <c r="Y61" s="102"/>
      <c r="Z61" s="102"/>
      <c r="AA61" s="102"/>
      <c r="AB61" s="102"/>
      <c r="AC61" s="102"/>
      <c r="AD61" s="102"/>
      <c r="AE61" s="102"/>
      <c r="AF61" s="102"/>
      <c r="AG61" s="102"/>
      <c r="AH61" s="102"/>
      <c r="AI61" s="102"/>
      <c r="AJ61" s="102"/>
      <c r="AK61" s="102"/>
      <c r="AL61" s="102"/>
    </row>
    <row r="62" spans="1:38" ht="14.1" customHeight="1" x14ac:dyDescent="0.2">
      <c r="A62" s="102"/>
      <c r="B62" s="102"/>
      <c r="C62" s="102"/>
      <c r="D62" s="102"/>
      <c r="E62" s="102"/>
      <c r="F62" s="102"/>
      <c r="G62" s="102"/>
      <c r="H62" s="102"/>
      <c r="I62" s="102"/>
      <c r="J62" s="102"/>
      <c r="K62" s="102"/>
      <c r="L62" s="102"/>
      <c r="M62" s="102"/>
      <c r="N62" s="102"/>
      <c r="O62" s="102"/>
      <c r="P62" s="102"/>
      <c r="Q62" s="102"/>
      <c r="R62" s="102"/>
      <c r="S62" s="102"/>
      <c r="T62" s="102"/>
      <c r="U62" s="102"/>
      <c r="V62" s="102"/>
      <c r="W62" s="102"/>
      <c r="X62" s="102"/>
      <c r="Y62" s="102"/>
      <c r="Z62" s="102"/>
      <c r="AA62" s="102"/>
      <c r="AB62" s="102"/>
      <c r="AC62" s="102"/>
      <c r="AD62" s="102"/>
      <c r="AE62" s="102"/>
      <c r="AF62" s="102"/>
      <c r="AG62" s="102"/>
      <c r="AH62" s="102"/>
      <c r="AI62" s="102"/>
      <c r="AJ62" s="102"/>
      <c r="AK62" s="102"/>
      <c r="AL62" s="102"/>
    </row>
    <row r="63" spans="1:38" ht="14.1" customHeight="1" x14ac:dyDescent="0.2">
      <c r="A63" s="102"/>
      <c r="B63" s="102"/>
      <c r="C63" s="102"/>
      <c r="D63" s="102"/>
      <c r="E63" s="102"/>
      <c r="F63" s="102"/>
      <c r="G63" s="102"/>
      <c r="H63" s="102"/>
      <c r="I63" s="102"/>
      <c r="J63" s="102"/>
      <c r="K63" s="102"/>
      <c r="L63" s="102"/>
      <c r="M63" s="102"/>
      <c r="N63" s="102"/>
      <c r="O63" s="102"/>
      <c r="P63" s="102"/>
      <c r="Q63" s="102"/>
      <c r="R63" s="102"/>
      <c r="S63" s="102"/>
      <c r="T63" s="102"/>
      <c r="U63" s="102"/>
      <c r="V63" s="102"/>
      <c r="W63" s="102"/>
      <c r="X63" s="102"/>
      <c r="Y63" s="102"/>
      <c r="Z63" s="102"/>
      <c r="AA63" s="102"/>
      <c r="AB63" s="102"/>
      <c r="AC63" s="102"/>
      <c r="AD63" s="102"/>
      <c r="AE63" s="102"/>
      <c r="AF63" s="102"/>
      <c r="AG63" s="102"/>
      <c r="AH63" s="102"/>
      <c r="AI63" s="102"/>
      <c r="AJ63" s="102"/>
      <c r="AK63" s="102"/>
      <c r="AL63" s="102"/>
    </row>
    <row r="64" spans="1:38" ht="14.1" customHeight="1" x14ac:dyDescent="0.2">
      <c r="A64" s="102"/>
      <c r="B64" s="102"/>
      <c r="C64" s="102"/>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row>
    <row r="65" spans="1:38" ht="14.1" customHeight="1" x14ac:dyDescent="0.2">
      <c r="A65" s="102"/>
      <c r="B65" s="102"/>
      <c r="C65" s="102"/>
      <c r="D65" s="102"/>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3"/>
      <c r="AC65" s="103"/>
      <c r="AD65" s="103"/>
      <c r="AE65" s="103"/>
      <c r="AF65" s="103"/>
      <c r="AG65" s="102"/>
      <c r="AH65" s="103"/>
      <c r="AI65" s="103"/>
      <c r="AJ65" s="103"/>
      <c r="AK65" s="103"/>
      <c r="AL65" s="103"/>
    </row>
    <row r="66" spans="1:38" ht="24" customHeight="1" x14ac:dyDescent="0.2">
      <c r="A66" s="91"/>
      <c r="B66" s="91"/>
      <c r="C66" s="91"/>
      <c r="D66" s="91"/>
      <c r="E66" s="91"/>
      <c r="F66" s="91"/>
      <c r="G66" s="91"/>
      <c r="H66" s="91"/>
      <c r="I66" s="91"/>
      <c r="J66" s="91"/>
      <c r="K66" s="91"/>
      <c r="L66" s="91"/>
      <c r="M66" s="91"/>
      <c r="N66" s="91"/>
      <c r="O66" s="91"/>
      <c r="P66" s="91"/>
      <c r="Q66" s="91"/>
      <c r="R66" s="91"/>
      <c r="S66" s="91"/>
      <c r="T66" s="91"/>
      <c r="U66" s="91"/>
      <c r="V66" s="377"/>
      <c r="W66" s="377"/>
      <c r="X66" s="377"/>
      <c r="Y66" s="377"/>
      <c r="Z66" s="377"/>
      <c r="AA66" s="101"/>
      <c r="AB66" s="293" t="s">
        <v>258</v>
      </c>
      <c r="AC66" s="294"/>
      <c r="AD66" s="294"/>
      <c r="AE66" s="294"/>
      <c r="AF66" s="295"/>
      <c r="AH66" s="293" t="s">
        <v>257</v>
      </c>
      <c r="AI66" s="294"/>
      <c r="AJ66" s="294"/>
      <c r="AK66" s="294"/>
      <c r="AL66" s="295"/>
    </row>
  </sheetData>
  <sheetProtection sheet="1" objects="1" scenarios="1"/>
  <mergeCells count="43">
    <mergeCell ref="G3:L3"/>
    <mergeCell ref="T3:Y3"/>
    <mergeCell ref="AG3:AL3"/>
    <mergeCell ref="G5:L5"/>
    <mergeCell ref="T5:Y5"/>
    <mergeCell ref="AG5:AL5"/>
    <mergeCell ref="G7:Y7"/>
    <mergeCell ref="G9:H9"/>
    <mergeCell ref="I9:Y9"/>
    <mergeCell ref="AG9:AL9"/>
    <mergeCell ref="G11:Y11"/>
    <mergeCell ref="AG11:AL11"/>
    <mergeCell ref="AG7:AL7"/>
    <mergeCell ref="A13:F13"/>
    <mergeCell ref="G13:L13"/>
    <mergeCell ref="N13:S13"/>
    <mergeCell ref="T13:Y13"/>
    <mergeCell ref="AJ13:AL13"/>
    <mergeCell ref="N15:Y15"/>
    <mergeCell ref="AG17:AL17"/>
    <mergeCell ref="AG19:AL19"/>
    <mergeCell ref="G21:L21"/>
    <mergeCell ref="T21:Y21"/>
    <mergeCell ref="AG21:AL21"/>
    <mergeCell ref="G19:L19"/>
    <mergeCell ref="T19:Y19"/>
    <mergeCell ref="V66:Z66"/>
    <mergeCell ref="AB66:AF66"/>
    <mergeCell ref="AG23:AL23"/>
    <mergeCell ref="AH66:AL66"/>
    <mergeCell ref="F28:I28"/>
    <mergeCell ref="P28:T28"/>
    <mergeCell ref="AA28:AD28"/>
    <mergeCell ref="AI28:AL28"/>
    <mergeCell ref="G34:L34"/>
    <mergeCell ref="AF30:AL30"/>
    <mergeCell ref="F30:AD30"/>
    <mergeCell ref="A17:F17"/>
    <mergeCell ref="G17:L17"/>
    <mergeCell ref="N17:S17"/>
    <mergeCell ref="T17:Y17"/>
    <mergeCell ref="G23:L23"/>
    <mergeCell ref="T23:Y23"/>
  </mergeCells>
  <phoneticPr fontId="4" type="noConversion"/>
  <dataValidations count="15">
    <dataValidation type="list" allowBlank="1" showInputMessage="1" showErrorMessage="1" sqref="T19:Y19">
      <formula1>"1,2,3,4"</formula1>
    </dataValidation>
    <dataValidation type="list" allowBlank="1" showInputMessage="1" showErrorMessage="1" sqref="F30:AD30">
      <formula1>"N/A,5mm top + bottom, 2mm left + right, 5mm top + bottom and 2mm left + right,5mm top + bottom and fill in web and 2mm left + right,Other (see comments and/or layout sketch)"</formula1>
    </dataValidation>
    <dataValidation type="list" allowBlank="1" showInputMessage="1" showErrorMessage="1" sqref="T23:Y23">
      <formula1>"N/A, Black,Black / White,Black / OL,Black / White / OL,Spot Black,Spot Black / White,Spot Black / OL,Spot Black / White / OL,Blue,Brown,Burgundy,Green,White, Clear,See Comments "</formula1>
    </dataValidation>
    <dataValidation type="list" allowBlank="1" showInputMessage="1" showErrorMessage="1" sqref="AG21:AL21">
      <formula1>"N/A, Black, Spot Black, Blue, Brown, Burgundy, Green, Red, White, See Comments"</formula1>
    </dataValidation>
    <dataValidation type="list" allowBlank="1" showInputMessage="1" showErrorMessage="1" sqref="G13:L13 T13:Y13">
      <formula1>"0,1,2,3,4,5,6,7,8,9,10,11,12,13,14,15,16,17,18,19,20"</formula1>
    </dataValidation>
    <dataValidation type="textLength" allowBlank="1" showInputMessage="1" showErrorMessage="1" prompt="Enter &quot;other&quot; distance if applicable." sqref="AI28:AL28">
      <formula1>0</formula1>
      <formula2>10</formula2>
    </dataValidation>
    <dataValidation type="list" allowBlank="1" showInputMessage="1" showErrorMessage="1" prompt="Select distance from eyespot to web edge. Select &quot;other&quot; for other distance and tab to next field. For unique positions, select &quot;see layout&quot;." sqref="AA28:AD28">
      <formula1>"N/A, Std (3mm), 2mm, 1.5mm, 1mm, Other, See Layout"</formula1>
    </dataValidation>
    <dataValidation type="list" allowBlank="1" showInputMessage="1" showErrorMessage="1" prompt="Select # of repeats between eyespots." sqref="P28:T28">
      <formula1>"Every Repeat, Every 2 Rpts, Every 3 Rpts, Every 4 Rpts, See Layout"</formula1>
    </dataValidation>
    <dataValidation type="list" allowBlank="1" showInputMessage="1" showErrorMessage="1" sqref="F28:I28">
      <formula1>"1,2,3,4,See Layout"</formula1>
    </dataValidation>
    <dataValidation type="list" allowBlank="1" showInputMessage="1" showErrorMessage="1" sqref="G23:L23">
      <formula1>"Yes, No"</formula1>
    </dataValidation>
    <dataValidation type="list" allowBlank="1" showInputMessage="1" showErrorMessage="1" sqref="AG11:AL11">
      <formula1>"N/A, No, Yes (See Layout)"</formula1>
    </dataValidation>
    <dataValidation type="list" allowBlank="1" showInputMessage="1" showErrorMessage="1" sqref="G3:L3">
      <formula1>"Close, Leave Open"</formula1>
    </dataValidation>
    <dataValidation type="list" allowBlank="1" showInputMessage="1" showErrorMessage="1" sqref="AJ13:AL13">
      <formula1>"BH, Isa, Larry, Victoria"</formula1>
    </dataValidation>
    <dataValidation type="textLength" allowBlank="1" showInputMessage="1" showErrorMessage="1" sqref="AG9:AL9 G34:L34">
      <formula1>0</formula1>
      <formula2>15</formula2>
    </dataValidation>
    <dataValidation type="list" allowBlank="1" showInputMessage="1" showErrorMessage="1" sqref="G19:L19">
      <formula1>"1 Pouch, 2 Pouches"</formula1>
    </dataValidation>
  </dataValidations>
  <pageMargins left="0.39000000000000007" right="0.39000000000000007" top="0.39000000000000007" bottom="0.2" header="0.2" footer="0.05"/>
  <pageSetup orientation="portrait" horizontalDpi="4294967292" verticalDpi="4294967292" r:id="rId1"/>
  <headerFooter alignWithMargins="0">
    <oddFooter>&amp;L&amp;9&amp;K000000Issue Date: 1 Feb 2016&amp;C&amp;9Revision No.: 0&amp;R&amp;8&amp;K000000Revision Date: N/A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6561" r:id="rId4" name="Check Box 1">
              <controlPr defaultSize="0" autoFill="0" autoLine="0" autoPict="0">
                <anchor moveWithCells="1">
                  <from>
                    <xdr:col>35</xdr:col>
                    <xdr:colOff>19050</xdr:colOff>
                    <xdr:row>28</xdr:row>
                    <xdr:rowOff>9525</xdr:rowOff>
                  </from>
                  <to>
                    <xdr:col>37</xdr:col>
                    <xdr:colOff>66675</xdr:colOff>
                    <xdr:row>30</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zoomScale="220" zoomScaleNormal="220" workbookViewId="0"/>
  </sheetViews>
  <sheetFormatPr defaultColWidth="1" defaultRowHeight="6" customHeight="1" x14ac:dyDescent="0.2"/>
  <sheetData/>
  <pageMargins left="0.75" right="0.75" top="1" bottom="1" header="0.5" footer="0.5"/>
  <pageSetup paperSize="0" orientation="portrait" horizontalDpi="4294967292" verticalDpi="429496729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tint="0.39997558519241921"/>
  </sheetPr>
  <dimension ref="A1:H174"/>
  <sheetViews>
    <sheetView zoomScale="125" workbookViewId="0">
      <selection activeCell="F1" sqref="F1:H1"/>
    </sheetView>
  </sheetViews>
  <sheetFormatPr defaultColWidth="8.85546875" defaultRowHeight="12.75" x14ac:dyDescent="0.2"/>
  <cols>
    <col min="1" max="1" width="8.140625" style="58" customWidth="1"/>
    <col min="2" max="2" width="29.140625" style="59" customWidth="1"/>
    <col min="3" max="3" width="7" style="58" customWidth="1"/>
    <col min="4" max="4" width="6.42578125" customWidth="1"/>
    <col min="5" max="5" width="13.85546875" customWidth="1"/>
    <col min="6" max="6" width="6.140625" customWidth="1"/>
    <col min="7" max="7" width="6.85546875" customWidth="1"/>
    <col min="8" max="8" width="14" customWidth="1"/>
    <col min="9" max="9" width="5.42578125" customWidth="1"/>
    <col min="10" max="10" width="7.28515625" customWidth="1"/>
    <col min="11" max="11" width="12.140625" customWidth="1"/>
    <col min="12" max="12" width="6" customWidth="1"/>
  </cols>
  <sheetData>
    <row r="1" spans="1:8" ht="18" customHeight="1" x14ac:dyDescent="0.2">
      <c r="A1" s="190" t="s">
        <v>297</v>
      </c>
      <c r="B1" s="191" t="s">
        <v>298</v>
      </c>
      <c r="C1" s="192">
        <v>621</v>
      </c>
      <c r="D1" s="55"/>
      <c r="E1" s="199" t="s">
        <v>215</v>
      </c>
      <c r="F1" s="400" t="s">
        <v>559</v>
      </c>
      <c r="G1" s="400"/>
      <c r="H1" s="400"/>
    </row>
    <row r="2" spans="1:8" s="69" customFormat="1" ht="18" customHeight="1" x14ac:dyDescent="0.2">
      <c r="A2" s="53" t="s">
        <v>82</v>
      </c>
      <c r="B2" s="54" t="s">
        <v>442</v>
      </c>
      <c r="C2" s="56">
        <v>621</v>
      </c>
      <c r="D2" s="76"/>
      <c r="E2" s="76"/>
      <c r="F2" s="76"/>
      <c r="G2" s="76"/>
      <c r="H2" s="76"/>
    </row>
    <row r="3" spans="1:8" ht="18" customHeight="1" x14ac:dyDescent="0.2">
      <c r="A3" s="190" t="s">
        <v>59</v>
      </c>
      <c r="B3" s="191" t="s">
        <v>65</v>
      </c>
      <c r="C3" s="192">
        <v>621</v>
      </c>
      <c r="D3" s="55"/>
      <c r="E3" s="55"/>
      <c r="F3" s="55"/>
      <c r="G3" s="55"/>
      <c r="H3" s="55"/>
    </row>
    <row r="4" spans="1:8" s="69" customFormat="1" ht="18" customHeight="1" x14ac:dyDescent="0.2">
      <c r="A4" s="53" t="s">
        <v>66</v>
      </c>
      <c r="B4" s="54" t="s">
        <v>28</v>
      </c>
      <c r="C4" s="56">
        <v>621</v>
      </c>
      <c r="D4" s="76"/>
      <c r="E4" s="76"/>
      <c r="F4" s="76"/>
      <c r="G4" s="76"/>
      <c r="H4" s="76"/>
    </row>
    <row r="5" spans="1:8" ht="18" customHeight="1" x14ac:dyDescent="0.2">
      <c r="A5" s="190" t="s">
        <v>29</v>
      </c>
      <c r="B5" s="191" t="s">
        <v>0</v>
      </c>
      <c r="C5" s="192">
        <v>611</v>
      </c>
      <c r="D5" s="55"/>
      <c r="E5" s="55"/>
      <c r="F5" s="55"/>
      <c r="G5" s="55"/>
      <c r="H5" s="55"/>
    </row>
    <row r="6" spans="1:8" s="69" customFormat="1" ht="18" customHeight="1" x14ac:dyDescent="0.2">
      <c r="A6" s="53" t="s">
        <v>1</v>
      </c>
      <c r="B6" s="54" t="s">
        <v>443</v>
      </c>
      <c r="C6" s="56">
        <v>621</v>
      </c>
      <c r="D6" s="76"/>
      <c r="E6" s="76"/>
      <c r="F6" s="76"/>
      <c r="G6" s="76"/>
      <c r="H6" s="76"/>
    </row>
    <row r="7" spans="1:8" ht="18" customHeight="1" x14ac:dyDescent="0.2">
      <c r="A7" s="190" t="s">
        <v>98</v>
      </c>
      <c r="B7" s="191" t="s">
        <v>444</v>
      </c>
      <c r="C7" s="192">
        <v>611</v>
      </c>
      <c r="D7" s="55"/>
      <c r="E7" s="55"/>
      <c r="F7" s="55"/>
      <c r="G7" s="55"/>
      <c r="H7" s="55"/>
    </row>
    <row r="8" spans="1:8" s="69" customFormat="1" ht="18" customHeight="1" x14ac:dyDescent="0.2">
      <c r="A8" s="53" t="s">
        <v>185</v>
      </c>
      <c r="B8" s="54" t="s">
        <v>558</v>
      </c>
      <c r="C8" s="56">
        <v>621</v>
      </c>
      <c r="D8" s="76"/>
      <c r="E8" s="76"/>
      <c r="F8" s="76"/>
      <c r="G8" s="76"/>
      <c r="H8" s="76"/>
    </row>
    <row r="9" spans="1:8" s="69" customFormat="1" ht="18" customHeight="1" x14ac:dyDescent="0.2">
      <c r="A9" s="190" t="s">
        <v>135</v>
      </c>
      <c r="B9" s="191" t="s">
        <v>21</v>
      </c>
      <c r="C9" s="192">
        <v>621</v>
      </c>
      <c r="D9" s="76"/>
      <c r="E9" s="76"/>
      <c r="F9" s="76"/>
      <c r="G9" s="76"/>
      <c r="H9" s="76"/>
    </row>
    <row r="10" spans="1:8" s="69" customFormat="1" ht="18" customHeight="1" x14ac:dyDescent="0.2">
      <c r="A10" s="53" t="s">
        <v>94</v>
      </c>
      <c r="B10" s="54" t="s">
        <v>95</v>
      </c>
      <c r="C10" s="56">
        <v>621</v>
      </c>
      <c r="D10" s="76"/>
      <c r="E10" s="76"/>
      <c r="F10" s="76"/>
      <c r="G10" s="76"/>
      <c r="H10" s="76"/>
    </row>
    <row r="11" spans="1:8" s="69" customFormat="1" ht="18" customHeight="1" x14ac:dyDescent="0.2">
      <c r="A11" s="190" t="s">
        <v>191</v>
      </c>
      <c r="B11" s="191" t="s">
        <v>445</v>
      </c>
      <c r="C11" s="192">
        <v>621</v>
      </c>
      <c r="D11" s="76"/>
      <c r="E11" s="76"/>
      <c r="F11" s="76"/>
      <c r="G11" s="76"/>
      <c r="H11" s="76"/>
    </row>
    <row r="12" spans="1:8" s="69" customFormat="1" ht="18" customHeight="1" x14ac:dyDescent="0.2">
      <c r="A12" s="53" t="s">
        <v>70</v>
      </c>
      <c r="B12" s="54" t="s">
        <v>540</v>
      </c>
      <c r="C12" s="56">
        <v>621</v>
      </c>
      <c r="D12" s="76"/>
      <c r="E12" s="76"/>
      <c r="F12" s="76"/>
      <c r="G12" s="76"/>
      <c r="H12" s="76"/>
    </row>
    <row r="13" spans="1:8" s="69" customFormat="1" ht="18" customHeight="1" x14ac:dyDescent="0.2">
      <c r="A13" s="190" t="s">
        <v>83</v>
      </c>
      <c r="B13" s="191" t="s">
        <v>151</v>
      </c>
      <c r="C13" s="192">
        <v>621</v>
      </c>
      <c r="D13" s="76"/>
      <c r="E13" s="76"/>
      <c r="F13" s="76"/>
      <c r="G13" s="76"/>
      <c r="H13" s="76"/>
    </row>
    <row r="14" spans="1:8" s="69" customFormat="1" ht="18" customHeight="1" x14ac:dyDescent="0.2">
      <c r="A14" s="53" t="s">
        <v>145</v>
      </c>
      <c r="B14" s="54" t="s">
        <v>446</v>
      </c>
      <c r="C14" s="56">
        <v>611</v>
      </c>
      <c r="D14" s="76"/>
      <c r="E14" s="76"/>
      <c r="F14" s="76"/>
      <c r="G14" s="76"/>
      <c r="H14" s="76"/>
    </row>
    <row r="15" spans="1:8" s="69" customFormat="1" ht="18" customHeight="1" x14ac:dyDescent="0.2">
      <c r="A15" s="190"/>
      <c r="B15" s="191"/>
      <c r="C15" s="192"/>
      <c r="D15" s="76"/>
      <c r="E15" s="76"/>
      <c r="F15" s="76"/>
      <c r="G15" s="76"/>
      <c r="H15" s="76"/>
    </row>
    <row r="16" spans="1:8" s="69" customFormat="1" ht="18" customHeight="1" x14ac:dyDescent="0.2">
      <c r="A16" s="53" t="s">
        <v>216</v>
      </c>
      <c r="B16" s="54" t="s">
        <v>217</v>
      </c>
      <c r="C16" s="56">
        <v>621</v>
      </c>
      <c r="D16" s="76"/>
      <c r="E16" s="76"/>
      <c r="F16" s="76"/>
      <c r="G16" s="76"/>
      <c r="H16" s="76"/>
    </row>
    <row r="17" spans="1:8" s="69" customFormat="1" ht="18" customHeight="1" x14ac:dyDescent="0.2">
      <c r="A17" s="190" t="s">
        <v>91</v>
      </c>
      <c r="B17" s="191" t="s">
        <v>541</v>
      </c>
      <c r="C17" s="192">
        <v>621</v>
      </c>
      <c r="D17" s="76"/>
      <c r="E17" s="76"/>
      <c r="F17" s="76"/>
      <c r="G17" s="76"/>
      <c r="H17" s="76"/>
    </row>
    <row r="18" spans="1:8" s="69" customFormat="1" ht="18" customHeight="1" x14ac:dyDescent="0.2">
      <c r="A18" s="53" t="s">
        <v>218</v>
      </c>
      <c r="B18" s="54" t="s">
        <v>447</v>
      </c>
      <c r="C18" s="56">
        <v>621</v>
      </c>
      <c r="D18" s="76"/>
      <c r="E18" s="76"/>
      <c r="F18" s="76"/>
      <c r="G18" s="76"/>
      <c r="H18" s="76"/>
    </row>
    <row r="19" spans="1:8" s="69" customFormat="1" ht="18" customHeight="1" x14ac:dyDescent="0.2">
      <c r="A19" s="190" t="s">
        <v>139</v>
      </c>
      <c r="B19" s="191" t="s">
        <v>529</v>
      </c>
      <c r="C19" s="192">
        <v>621</v>
      </c>
      <c r="D19" s="76"/>
      <c r="E19" s="76"/>
      <c r="F19" s="76"/>
      <c r="G19" s="76"/>
      <c r="H19" s="76"/>
    </row>
    <row r="20" spans="1:8" s="69" customFormat="1" ht="18" customHeight="1" x14ac:dyDescent="0.2">
      <c r="A20" s="53" t="s">
        <v>521</v>
      </c>
      <c r="B20" s="54" t="s">
        <v>522</v>
      </c>
      <c r="C20" s="56">
        <v>621</v>
      </c>
      <c r="D20" s="76"/>
      <c r="E20" s="76"/>
      <c r="F20" s="76"/>
      <c r="G20" s="76"/>
      <c r="H20" s="76"/>
    </row>
    <row r="21" spans="1:8" s="69" customFormat="1" ht="18" customHeight="1" x14ac:dyDescent="0.2">
      <c r="A21" s="190" t="s">
        <v>219</v>
      </c>
      <c r="B21" s="191" t="s">
        <v>448</v>
      </c>
      <c r="C21" s="192">
        <v>621</v>
      </c>
      <c r="D21" s="76"/>
      <c r="E21" s="76"/>
      <c r="F21" s="76"/>
      <c r="G21" s="76"/>
      <c r="H21" s="76"/>
    </row>
    <row r="22" spans="1:8" s="69" customFormat="1" ht="18" customHeight="1" x14ac:dyDescent="0.2">
      <c r="A22" s="53" t="s">
        <v>362</v>
      </c>
      <c r="B22" s="54" t="s">
        <v>363</v>
      </c>
      <c r="C22" s="56">
        <v>621</v>
      </c>
      <c r="D22" s="76"/>
      <c r="E22" s="76"/>
      <c r="F22" s="76"/>
      <c r="G22" s="76"/>
      <c r="H22" s="76"/>
    </row>
    <row r="23" spans="1:8" s="69" customFormat="1" ht="18" customHeight="1" x14ac:dyDescent="0.2">
      <c r="A23" s="190" t="s">
        <v>528</v>
      </c>
      <c r="B23" s="191" t="s">
        <v>542</v>
      </c>
      <c r="C23" s="192">
        <v>621</v>
      </c>
      <c r="D23" s="76"/>
      <c r="E23" s="76"/>
      <c r="F23" s="76"/>
      <c r="G23" s="76"/>
      <c r="H23" s="76"/>
    </row>
    <row r="24" spans="1:8" s="69" customFormat="1" ht="18" customHeight="1" x14ac:dyDescent="0.2">
      <c r="A24" s="190" t="s">
        <v>538</v>
      </c>
      <c r="B24" s="191" t="s">
        <v>539</v>
      </c>
      <c r="C24" s="192">
        <v>611</v>
      </c>
      <c r="D24" s="76"/>
      <c r="E24" s="76"/>
      <c r="F24" s="76"/>
      <c r="G24" s="76"/>
      <c r="H24" s="76"/>
    </row>
    <row r="25" spans="1:8" s="69" customFormat="1" ht="18" customHeight="1" x14ac:dyDescent="0.2">
      <c r="A25" s="53" t="s">
        <v>140</v>
      </c>
      <c r="B25" s="54" t="s">
        <v>170</v>
      </c>
      <c r="C25" s="56">
        <v>621</v>
      </c>
      <c r="D25" s="76"/>
      <c r="E25" s="76"/>
      <c r="F25" s="76"/>
      <c r="G25" s="76"/>
      <c r="H25" s="76"/>
    </row>
    <row r="26" spans="1:8" s="69" customFormat="1" ht="18" customHeight="1" x14ac:dyDescent="0.2">
      <c r="A26" s="190" t="s">
        <v>17</v>
      </c>
      <c r="B26" s="191" t="s">
        <v>449</v>
      </c>
      <c r="C26" s="192">
        <v>621</v>
      </c>
      <c r="D26" s="76"/>
      <c r="E26" s="76"/>
      <c r="F26" s="76"/>
      <c r="G26" s="76"/>
      <c r="H26" s="76"/>
    </row>
    <row r="27" spans="1:8" s="69" customFormat="1" ht="18" customHeight="1" x14ac:dyDescent="0.2">
      <c r="A27" s="53" t="s">
        <v>534</v>
      </c>
      <c r="B27" s="54" t="s">
        <v>532</v>
      </c>
      <c r="C27" s="56">
        <v>621</v>
      </c>
      <c r="D27" s="76"/>
      <c r="E27" s="76"/>
      <c r="F27" s="76"/>
      <c r="G27" s="76"/>
      <c r="H27" s="76"/>
    </row>
    <row r="28" spans="1:8" s="69" customFormat="1" ht="18" customHeight="1" x14ac:dyDescent="0.2">
      <c r="A28" s="190" t="s">
        <v>30</v>
      </c>
      <c r="B28" s="191" t="s">
        <v>100</v>
      </c>
      <c r="C28" s="192">
        <v>621</v>
      </c>
      <c r="D28" s="76"/>
      <c r="E28" s="76"/>
      <c r="F28" s="76"/>
      <c r="G28" s="76"/>
      <c r="H28" s="76"/>
    </row>
    <row r="29" spans="1:8" s="69" customFormat="1" ht="18" customHeight="1" x14ac:dyDescent="0.2">
      <c r="A29" s="53" t="s">
        <v>101</v>
      </c>
      <c r="B29" s="54" t="s">
        <v>193</v>
      </c>
      <c r="C29" s="56">
        <v>621</v>
      </c>
      <c r="D29" s="76"/>
      <c r="E29" s="76"/>
      <c r="F29" s="76"/>
      <c r="G29" s="76"/>
      <c r="H29" s="76"/>
    </row>
    <row r="30" spans="1:8" s="69" customFormat="1" ht="18" customHeight="1" x14ac:dyDescent="0.2">
      <c r="A30" s="190" t="s">
        <v>194</v>
      </c>
      <c r="B30" s="191" t="s">
        <v>77</v>
      </c>
      <c r="C30" s="192">
        <v>621</v>
      </c>
      <c r="D30" s="76"/>
      <c r="E30" s="76"/>
      <c r="F30" s="76"/>
      <c r="G30" s="76"/>
      <c r="H30" s="76"/>
    </row>
    <row r="31" spans="1:8" s="69" customFormat="1" ht="18" customHeight="1" x14ac:dyDescent="0.2">
      <c r="A31" s="53" t="s">
        <v>102</v>
      </c>
      <c r="B31" s="54" t="s">
        <v>450</v>
      </c>
      <c r="C31" s="56">
        <v>621</v>
      </c>
      <c r="D31" s="76"/>
      <c r="E31" s="76"/>
      <c r="F31" s="76"/>
      <c r="G31" s="76"/>
      <c r="H31" s="76"/>
    </row>
    <row r="32" spans="1:8" s="69" customFormat="1" ht="18" customHeight="1" x14ac:dyDescent="0.2">
      <c r="A32" s="190" t="s">
        <v>90</v>
      </c>
      <c r="B32" s="191" t="s">
        <v>533</v>
      </c>
      <c r="C32" s="192">
        <v>621</v>
      </c>
      <c r="D32" s="76"/>
      <c r="E32" s="76"/>
      <c r="F32" s="76"/>
      <c r="G32" s="76"/>
      <c r="H32" s="76"/>
    </row>
    <row r="33" spans="1:8" s="69" customFormat="1" ht="18" customHeight="1" x14ac:dyDescent="0.2">
      <c r="A33" s="53" t="s">
        <v>45</v>
      </c>
      <c r="B33" s="54" t="s">
        <v>451</v>
      </c>
      <c r="C33" s="56">
        <v>621</v>
      </c>
      <c r="D33" s="76"/>
      <c r="E33" s="76"/>
      <c r="F33" s="76"/>
      <c r="G33" s="76"/>
      <c r="H33" s="76"/>
    </row>
    <row r="34" spans="1:8" s="69" customFormat="1" ht="18" customHeight="1" x14ac:dyDescent="0.2">
      <c r="A34" s="190" t="s">
        <v>67</v>
      </c>
      <c r="B34" s="191" t="s">
        <v>452</v>
      </c>
      <c r="C34" s="192">
        <v>621</v>
      </c>
      <c r="D34" s="76"/>
      <c r="E34" s="76"/>
      <c r="F34" s="76"/>
      <c r="G34" s="76"/>
      <c r="H34" s="76"/>
    </row>
    <row r="35" spans="1:8" s="69" customFormat="1" ht="18" customHeight="1" x14ac:dyDescent="0.2">
      <c r="A35" s="53" t="s">
        <v>148</v>
      </c>
      <c r="B35" s="54" t="s">
        <v>187</v>
      </c>
      <c r="C35" s="56">
        <v>621</v>
      </c>
      <c r="D35" s="76"/>
      <c r="E35" s="76"/>
      <c r="F35" s="76"/>
      <c r="G35" s="76"/>
      <c r="H35" s="76"/>
    </row>
    <row r="36" spans="1:8" s="69" customFormat="1" ht="18" customHeight="1" x14ac:dyDescent="0.2">
      <c r="A36" s="190" t="s">
        <v>7</v>
      </c>
      <c r="B36" s="191" t="s">
        <v>8</v>
      </c>
      <c r="C36" s="192">
        <v>621</v>
      </c>
      <c r="D36" s="76"/>
      <c r="E36" s="76"/>
      <c r="F36" s="76"/>
      <c r="G36" s="76"/>
      <c r="H36" s="76"/>
    </row>
    <row r="37" spans="1:8" s="69" customFormat="1" ht="18" customHeight="1" x14ac:dyDescent="0.2">
      <c r="A37" s="53" t="s">
        <v>9</v>
      </c>
      <c r="B37" s="54" t="s">
        <v>453</v>
      </c>
      <c r="C37" s="56">
        <v>621</v>
      </c>
      <c r="D37" s="76"/>
      <c r="E37" s="76"/>
      <c r="F37" s="76"/>
      <c r="G37" s="76"/>
      <c r="H37" s="76"/>
    </row>
    <row r="38" spans="1:8" s="69" customFormat="1" ht="18" customHeight="1" x14ac:dyDescent="0.2">
      <c r="A38" s="190" t="s">
        <v>105</v>
      </c>
      <c r="B38" s="191" t="s">
        <v>454</v>
      </c>
      <c r="C38" s="192">
        <v>611</v>
      </c>
      <c r="D38" s="76"/>
      <c r="E38" s="76"/>
      <c r="F38" s="76"/>
      <c r="G38" s="76"/>
      <c r="H38" s="76"/>
    </row>
    <row r="39" spans="1:8" s="69" customFormat="1" ht="18" customHeight="1" x14ac:dyDescent="0.2">
      <c r="A39" s="53" t="s">
        <v>46</v>
      </c>
      <c r="B39" s="54" t="s">
        <v>47</v>
      </c>
      <c r="C39" s="56">
        <v>621</v>
      </c>
      <c r="D39" s="76"/>
      <c r="E39" s="76"/>
      <c r="F39" s="76"/>
      <c r="G39" s="76"/>
      <c r="H39" s="76"/>
    </row>
    <row r="40" spans="1:8" s="69" customFormat="1" ht="18" customHeight="1" x14ac:dyDescent="0.2">
      <c r="A40" s="190" t="s">
        <v>3</v>
      </c>
      <c r="B40" s="191" t="s">
        <v>456</v>
      </c>
      <c r="C40" s="192">
        <v>611</v>
      </c>
      <c r="D40" s="76"/>
      <c r="E40" s="76"/>
      <c r="F40" s="76"/>
      <c r="G40" s="76"/>
      <c r="H40" s="76"/>
    </row>
    <row r="41" spans="1:8" s="69" customFormat="1" ht="18" customHeight="1" x14ac:dyDescent="0.2">
      <c r="A41" s="53" t="s">
        <v>118</v>
      </c>
      <c r="B41" s="54" t="s">
        <v>455</v>
      </c>
      <c r="C41" s="56">
        <v>621</v>
      </c>
      <c r="D41" s="76"/>
      <c r="E41" s="76"/>
      <c r="F41" s="76"/>
      <c r="G41" s="76"/>
      <c r="H41" s="76"/>
    </row>
    <row r="42" spans="1:8" s="69" customFormat="1" ht="18" customHeight="1" x14ac:dyDescent="0.2">
      <c r="A42" s="190" t="s">
        <v>80</v>
      </c>
      <c r="B42" s="191" t="s">
        <v>457</v>
      </c>
      <c r="C42" s="192">
        <v>611</v>
      </c>
      <c r="D42" s="76"/>
      <c r="E42" s="76"/>
      <c r="F42" s="76"/>
      <c r="G42" s="76"/>
      <c r="H42" s="76"/>
    </row>
    <row r="43" spans="1:8" s="69" customFormat="1" ht="18" customHeight="1" x14ac:dyDescent="0.2">
      <c r="A43" s="53" t="s">
        <v>115</v>
      </c>
      <c r="B43" s="54" t="s">
        <v>458</v>
      </c>
      <c r="C43" s="56">
        <v>611</v>
      </c>
      <c r="D43" s="76"/>
      <c r="E43" s="76"/>
      <c r="F43" s="76"/>
      <c r="G43" s="76"/>
      <c r="H43" s="76"/>
    </row>
    <row r="44" spans="1:8" s="69" customFormat="1" ht="18" customHeight="1" x14ac:dyDescent="0.2">
      <c r="A44" s="190" t="s">
        <v>10</v>
      </c>
      <c r="B44" s="191" t="s">
        <v>459</v>
      </c>
      <c r="C44" s="192">
        <v>611</v>
      </c>
      <c r="D44" s="76"/>
      <c r="E44" s="76"/>
      <c r="F44" s="76"/>
      <c r="G44" s="76"/>
      <c r="H44" s="76"/>
    </row>
    <row r="45" spans="1:8" s="69" customFormat="1" ht="18" customHeight="1" x14ac:dyDescent="0.2">
      <c r="A45" s="53" t="s">
        <v>43</v>
      </c>
      <c r="B45" s="54" t="s">
        <v>460</v>
      </c>
      <c r="C45" s="56">
        <v>611</v>
      </c>
      <c r="D45" s="76"/>
      <c r="E45" s="76"/>
      <c r="F45" s="76"/>
      <c r="G45" s="76"/>
      <c r="H45" s="76"/>
    </row>
    <row r="46" spans="1:8" s="69" customFormat="1" ht="18" customHeight="1" x14ac:dyDescent="0.2">
      <c r="A46" s="190" t="s">
        <v>55</v>
      </c>
      <c r="B46" s="191" t="s">
        <v>461</v>
      </c>
      <c r="C46" s="192">
        <v>611</v>
      </c>
      <c r="D46" s="76"/>
      <c r="E46" s="76"/>
      <c r="F46" s="76"/>
      <c r="G46" s="76"/>
      <c r="H46" s="76"/>
    </row>
    <row r="47" spans="1:8" s="69" customFormat="1" ht="18" customHeight="1" x14ac:dyDescent="0.2">
      <c r="A47" s="53" t="s">
        <v>124</v>
      </c>
      <c r="B47" s="54" t="s">
        <v>40</v>
      </c>
      <c r="C47" s="56">
        <v>621</v>
      </c>
      <c r="D47" s="76"/>
      <c r="E47" s="76"/>
      <c r="F47" s="76"/>
      <c r="G47" s="76"/>
      <c r="H47" s="76"/>
    </row>
    <row r="48" spans="1:8" s="69" customFormat="1" ht="18" customHeight="1" x14ac:dyDescent="0.2">
      <c r="A48" s="190" t="s">
        <v>149</v>
      </c>
      <c r="B48" s="191" t="s">
        <v>543</v>
      </c>
      <c r="C48" s="192">
        <v>621</v>
      </c>
      <c r="D48" s="76"/>
      <c r="E48" s="76"/>
      <c r="F48" s="76"/>
      <c r="G48" s="76"/>
      <c r="H48" s="76"/>
    </row>
    <row r="49" spans="1:8" s="69" customFormat="1" ht="18" customHeight="1" x14ac:dyDescent="0.2">
      <c r="A49" s="53" t="s">
        <v>162</v>
      </c>
      <c r="B49" s="54" t="s">
        <v>462</v>
      </c>
      <c r="C49" s="56">
        <v>611</v>
      </c>
      <c r="D49" s="76"/>
      <c r="E49" s="76"/>
      <c r="F49" s="76"/>
      <c r="G49" s="76"/>
      <c r="H49" s="76"/>
    </row>
    <row r="50" spans="1:8" s="69" customFormat="1" ht="18" customHeight="1" x14ac:dyDescent="0.2">
      <c r="A50" s="190" t="s">
        <v>73</v>
      </c>
      <c r="B50" s="191" t="s">
        <v>74</v>
      </c>
      <c r="C50" s="192">
        <v>621</v>
      </c>
      <c r="D50" s="76"/>
      <c r="E50" s="76"/>
      <c r="F50" s="76"/>
      <c r="G50" s="76"/>
      <c r="H50" s="76"/>
    </row>
    <row r="51" spans="1:8" s="69" customFormat="1" ht="18" customHeight="1" x14ac:dyDescent="0.2">
      <c r="A51" s="53" t="s">
        <v>75</v>
      </c>
      <c r="B51" s="54" t="s">
        <v>76</v>
      </c>
      <c r="C51" s="56">
        <v>611</v>
      </c>
      <c r="D51" s="76"/>
      <c r="E51" s="76"/>
      <c r="F51" s="76"/>
      <c r="G51" s="76"/>
      <c r="H51" s="76"/>
    </row>
    <row r="52" spans="1:8" s="69" customFormat="1" ht="18" customHeight="1" x14ac:dyDescent="0.2">
      <c r="A52" s="190" t="s">
        <v>20</v>
      </c>
      <c r="B52" s="191" t="s">
        <v>463</v>
      </c>
      <c r="C52" s="192">
        <v>611</v>
      </c>
      <c r="D52" s="76"/>
      <c r="E52" s="76"/>
      <c r="F52" s="76"/>
      <c r="G52" s="76"/>
      <c r="H52" s="76"/>
    </row>
    <row r="53" spans="1:8" s="69" customFormat="1" ht="18" customHeight="1" x14ac:dyDescent="0.2">
      <c r="A53" s="53" t="s">
        <v>89</v>
      </c>
      <c r="B53" s="54" t="s">
        <v>136</v>
      </c>
      <c r="C53" s="56">
        <v>621</v>
      </c>
      <c r="D53" s="76"/>
      <c r="E53" s="76"/>
      <c r="F53" s="76"/>
      <c r="G53" s="76"/>
      <c r="H53" s="76"/>
    </row>
    <row r="54" spans="1:8" s="69" customFormat="1" ht="18" customHeight="1" x14ac:dyDescent="0.2">
      <c r="A54" s="190" t="s">
        <v>125</v>
      </c>
      <c r="B54" s="191" t="s">
        <v>168</v>
      </c>
      <c r="C54" s="192">
        <v>621</v>
      </c>
      <c r="D54" s="76"/>
      <c r="E54" s="76"/>
      <c r="F54" s="76"/>
      <c r="G54" s="76"/>
      <c r="H54" s="76"/>
    </row>
    <row r="55" spans="1:8" s="69" customFormat="1" ht="18" customHeight="1" x14ac:dyDescent="0.2">
      <c r="A55" s="53" t="s">
        <v>122</v>
      </c>
      <c r="B55" s="54" t="s">
        <v>544</v>
      </c>
      <c r="C55" s="56">
        <v>621</v>
      </c>
      <c r="D55" s="76"/>
      <c r="E55" s="76"/>
      <c r="F55" s="76"/>
      <c r="G55" s="76"/>
      <c r="H55" s="76"/>
    </row>
    <row r="56" spans="1:8" s="69" customFormat="1" ht="18" customHeight="1" x14ac:dyDescent="0.2">
      <c r="A56" s="190" t="s">
        <v>133</v>
      </c>
      <c r="B56" s="191" t="s">
        <v>195</v>
      </c>
      <c r="C56" s="192">
        <v>611</v>
      </c>
      <c r="D56" s="76"/>
      <c r="E56" s="76"/>
      <c r="F56" s="76"/>
      <c r="G56" s="76"/>
      <c r="H56" s="76"/>
    </row>
    <row r="57" spans="1:8" s="69" customFormat="1" ht="18" customHeight="1" x14ac:dyDescent="0.2">
      <c r="A57" s="53" t="s">
        <v>173</v>
      </c>
      <c r="B57" s="54" t="s">
        <v>209</v>
      </c>
      <c r="C57" s="56">
        <v>621</v>
      </c>
      <c r="D57" s="76"/>
      <c r="E57" s="76"/>
      <c r="F57" s="76"/>
      <c r="G57" s="76"/>
      <c r="H57" s="76"/>
    </row>
    <row r="58" spans="1:8" s="69" customFormat="1" ht="18" customHeight="1" x14ac:dyDescent="0.2">
      <c r="A58" s="190" t="s">
        <v>129</v>
      </c>
      <c r="B58" s="191" t="s">
        <v>464</v>
      </c>
      <c r="C58" s="192">
        <v>611</v>
      </c>
      <c r="D58" s="76"/>
      <c r="E58" s="76"/>
      <c r="F58" s="76"/>
      <c r="G58" s="76"/>
      <c r="H58" s="76"/>
    </row>
    <row r="59" spans="1:8" s="69" customFormat="1" ht="18" customHeight="1" x14ac:dyDescent="0.2">
      <c r="A59" s="53" t="s">
        <v>33</v>
      </c>
      <c r="B59" s="54" t="s">
        <v>465</v>
      </c>
      <c r="C59" s="56">
        <v>611</v>
      </c>
      <c r="D59" s="76"/>
      <c r="E59" s="76"/>
      <c r="F59" s="76"/>
      <c r="G59" s="76"/>
      <c r="H59" s="76"/>
    </row>
    <row r="60" spans="1:8" s="69" customFormat="1" ht="18" customHeight="1" x14ac:dyDescent="0.2">
      <c r="A60" s="190" t="s">
        <v>110</v>
      </c>
      <c r="B60" s="191" t="s">
        <v>220</v>
      </c>
      <c r="C60" s="192">
        <v>621</v>
      </c>
      <c r="D60" s="76"/>
      <c r="E60" s="76"/>
      <c r="F60" s="76"/>
      <c r="G60" s="76"/>
      <c r="H60" s="76"/>
    </row>
    <row r="61" spans="1:8" s="69" customFormat="1" ht="18" customHeight="1" x14ac:dyDescent="0.2">
      <c r="A61" s="53" t="s">
        <v>153</v>
      </c>
      <c r="B61" s="54" t="s">
        <v>154</v>
      </c>
      <c r="C61" s="56">
        <v>621</v>
      </c>
      <c r="D61" s="76"/>
      <c r="E61" s="76"/>
      <c r="F61" s="76"/>
      <c r="G61" s="76"/>
      <c r="H61" s="76"/>
    </row>
    <row r="62" spans="1:8" s="69" customFormat="1" ht="18" customHeight="1" x14ac:dyDescent="0.2">
      <c r="A62" s="190" t="s">
        <v>13</v>
      </c>
      <c r="B62" s="191" t="s">
        <v>213</v>
      </c>
      <c r="C62" s="192">
        <v>621</v>
      </c>
      <c r="D62" s="76"/>
      <c r="E62" s="76"/>
      <c r="F62" s="76"/>
      <c r="G62" s="76"/>
      <c r="H62" s="76"/>
    </row>
    <row r="63" spans="1:8" s="69" customFormat="1" ht="18" customHeight="1" x14ac:dyDescent="0.2">
      <c r="A63" s="53" t="s">
        <v>150</v>
      </c>
      <c r="B63" s="54" t="s">
        <v>466</v>
      </c>
      <c r="C63" s="56">
        <v>621</v>
      </c>
      <c r="D63" s="76"/>
      <c r="E63" s="76"/>
      <c r="F63" s="76"/>
      <c r="G63" s="76"/>
      <c r="H63" s="76"/>
    </row>
    <row r="64" spans="1:8" s="69" customFormat="1" ht="18" customHeight="1" x14ac:dyDescent="0.2">
      <c r="A64" s="190" t="s">
        <v>18</v>
      </c>
      <c r="B64" s="191" t="s">
        <v>467</v>
      </c>
      <c r="C64" s="192">
        <v>611</v>
      </c>
      <c r="D64" s="76"/>
      <c r="E64" s="76"/>
      <c r="F64" s="76"/>
      <c r="G64" s="76"/>
      <c r="H64" s="76"/>
    </row>
    <row r="65" spans="1:8" s="69" customFormat="1" ht="18" customHeight="1" x14ac:dyDescent="0.2">
      <c r="A65" s="53" t="s">
        <v>99</v>
      </c>
      <c r="B65" s="54" t="s">
        <v>468</v>
      </c>
      <c r="C65" s="56">
        <v>621</v>
      </c>
      <c r="D65" s="76"/>
      <c r="E65" s="76"/>
      <c r="F65" s="76"/>
      <c r="G65" s="76"/>
      <c r="H65" s="76"/>
    </row>
    <row r="66" spans="1:8" s="69" customFormat="1" ht="18" customHeight="1" x14ac:dyDescent="0.2">
      <c r="A66" s="190" t="s">
        <v>117</v>
      </c>
      <c r="B66" s="191" t="s">
        <v>469</v>
      </c>
      <c r="C66" s="192">
        <v>611</v>
      </c>
      <c r="D66" s="76"/>
      <c r="E66" s="76"/>
      <c r="F66" s="76"/>
      <c r="G66" s="76"/>
      <c r="H66" s="76"/>
    </row>
    <row r="67" spans="1:8" s="69" customFormat="1" ht="18" customHeight="1" x14ac:dyDescent="0.2">
      <c r="A67" s="53" t="s">
        <v>134</v>
      </c>
      <c r="B67" s="54" t="s">
        <v>130</v>
      </c>
      <c r="C67" s="56">
        <v>621</v>
      </c>
      <c r="D67" s="76"/>
      <c r="E67" s="76"/>
      <c r="F67" s="76"/>
      <c r="G67" s="76"/>
      <c r="H67" s="76"/>
    </row>
    <row r="68" spans="1:8" s="69" customFormat="1" ht="18" customHeight="1" x14ac:dyDescent="0.2">
      <c r="A68" s="190" t="s">
        <v>174</v>
      </c>
      <c r="B68" s="191" t="s">
        <v>470</v>
      </c>
      <c r="C68" s="192">
        <v>621</v>
      </c>
      <c r="D68" s="76"/>
      <c r="E68" s="76"/>
      <c r="F68" s="76"/>
      <c r="G68" s="76"/>
      <c r="H68" s="76"/>
    </row>
    <row r="69" spans="1:8" s="69" customFormat="1" ht="18" customHeight="1" x14ac:dyDescent="0.2">
      <c r="A69" s="53" t="s">
        <v>132</v>
      </c>
      <c r="B69" s="54" t="s">
        <v>545</v>
      </c>
      <c r="C69" s="56">
        <v>621</v>
      </c>
      <c r="D69" s="76"/>
      <c r="E69" s="76"/>
      <c r="F69" s="76"/>
      <c r="G69" s="76"/>
      <c r="H69" s="76"/>
    </row>
    <row r="70" spans="1:8" ht="18" customHeight="1" x14ac:dyDescent="0.2">
      <c r="A70" s="190" t="s">
        <v>210</v>
      </c>
      <c r="B70" s="191" t="s">
        <v>546</v>
      </c>
      <c r="C70" s="192">
        <v>611</v>
      </c>
      <c r="D70" s="55"/>
      <c r="E70" s="55"/>
      <c r="F70" s="55"/>
      <c r="G70" s="55"/>
      <c r="H70" s="55"/>
    </row>
    <row r="71" spans="1:8" s="69" customFormat="1" ht="18" customHeight="1" x14ac:dyDescent="0.2">
      <c r="A71" s="53" t="s">
        <v>144</v>
      </c>
      <c r="B71" s="54" t="s">
        <v>547</v>
      </c>
      <c r="C71" s="56">
        <v>621</v>
      </c>
      <c r="D71" s="76"/>
      <c r="E71" s="76"/>
      <c r="F71" s="76"/>
      <c r="G71" s="76"/>
      <c r="H71" s="76"/>
    </row>
    <row r="72" spans="1:8" ht="18" customHeight="1" x14ac:dyDescent="0.2">
      <c r="A72" s="190" t="s">
        <v>158</v>
      </c>
      <c r="B72" s="191" t="s">
        <v>548</v>
      </c>
      <c r="C72" s="192">
        <v>621</v>
      </c>
      <c r="D72" s="55"/>
      <c r="E72" s="55"/>
      <c r="F72" s="55"/>
      <c r="G72" s="55"/>
      <c r="H72" s="55"/>
    </row>
    <row r="73" spans="1:8" s="69" customFormat="1" ht="18" customHeight="1" x14ac:dyDescent="0.2">
      <c r="A73" s="53" t="s">
        <v>177</v>
      </c>
      <c r="B73" s="54" t="s">
        <v>549</v>
      </c>
      <c r="C73" s="56">
        <v>611</v>
      </c>
      <c r="D73" s="76"/>
      <c r="E73" s="76"/>
      <c r="F73" s="76"/>
      <c r="G73" s="76"/>
      <c r="H73" s="76"/>
    </row>
    <row r="74" spans="1:8" ht="18" customHeight="1" x14ac:dyDescent="0.2">
      <c r="A74" s="190" t="s">
        <v>6</v>
      </c>
      <c r="B74" s="191" t="s">
        <v>550</v>
      </c>
      <c r="C74" s="192">
        <v>611</v>
      </c>
      <c r="D74" s="55"/>
      <c r="E74" s="55"/>
      <c r="F74" s="55"/>
      <c r="G74" s="55"/>
      <c r="H74" s="55"/>
    </row>
    <row r="75" spans="1:8" s="69" customFormat="1" ht="18" customHeight="1" x14ac:dyDescent="0.2">
      <c r="A75" s="53" t="s">
        <v>157</v>
      </c>
      <c r="B75" s="54" t="s">
        <v>471</v>
      </c>
      <c r="C75" s="56">
        <v>611</v>
      </c>
      <c r="D75" s="76"/>
      <c r="E75" s="76"/>
      <c r="F75" s="76"/>
      <c r="G75" s="76"/>
      <c r="H75" s="76"/>
    </row>
    <row r="76" spans="1:8" ht="18" customHeight="1" x14ac:dyDescent="0.2">
      <c r="A76" s="190" t="s">
        <v>31</v>
      </c>
      <c r="B76" s="191" t="s">
        <v>472</v>
      </c>
      <c r="C76" s="192">
        <v>621</v>
      </c>
      <c r="D76" s="55"/>
      <c r="E76" s="55"/>
      <c r="F76" s="55"/>
      <c r="G76" s="55"/>
      <c r="H76" s="55"/>
    </row>
    <row r="77" spans="1:8" s="69" customFormat="1" ht="18" customHeight="1" x14ac:dyDescent="0.2">
      <c r="A77" s="53" t="s">
        <v>4</v>
      </c>
      <c r="B77" s="54" t="s">
        <v>147</v>
      </c>
      <c r="C77" s="56">
        <v>621</v>
      </c>
      <c r="D77" s="76"/>
      <c r="E77" s="76"/>
      <c r="F77" s="76"/>
      <c r="G77" s="76"/>
      <c r="H77" s="76"/>
    </row>
    <row r="78" spans="1:8" ht="18" customHeight="1" x14ac:dyDescent="0.2">
      <c r="A78" s="190" t="s">
        <v>146</v>
      </c>
      <c r="B78" s="191" t="s">
        <v>473</v>
      </c>
      <c r="C78" s="192">
        <v>621</v>
      </c>
      <c r="D78" s="55"/>
      <c r="E78" s="55"/>
      <c r="F78" s="55"/>
      <c r="G78" s="55"/>
      <c r="H78" s="55"/>
    </row>
    <row r="79" spans="1:8" s="69" customFormat="1" ht="18" customHeight="1" x14ac:dyDescent="0.2">
      <c r="A79" s="53" t="s">
        <v>71</v>
      </c>
      <c r="B79" s="54" t="s">
        <v>180</v>
      </c>
      <c r="C79" s="56">
        <v>621</v>
      </c>
      <c r="D79" s="76"/>
      <c r="E79" s="76"/>
      <c r="F79" s="76"/>
      <c r="G79" s="76"/>
      <c r="H79" s="76"/>
    </row>
    <row r="80" spans="1:8" ht="18" customHeight="1" x14ac:dyDescent="0.2">
      <c r="A80" s="190"/>
      <c r="B80" s="191"/>
      <c r="C80" s="192"/>
      <c r="D80" s="55"/>
      <c r="E80" s="55"/>
      <c r="F80" s="55"/>
      <c r="G80" s="55"/>
      <c r="H80" s="55"/>
    </row>
    <row r="81" spans="1:8" s="69" customFormat="1" ht="18" customHeight="1" x14ac:dyDescent="0.2">
      <c r="A81" s="53" t="s">
        <v>178</v>
      </c>
      <c r="B81" s="54" t="s">
        <v>474</v>
      </c>
      <c r="C81" s="56">
        <v>621</v>
      </c>
      <c r="D81" s="76"/>
      <c r="E81" s="76"/>
      <c r="F81" s="76"/>
      <c r="G81" s="76"/>
      <c r="H81" s="76"/>
    </row>
    <row r="82" spans="1:8" ht="18" customHeight="1" x14ac:dyDescent="0.2">
      <c r="A82" s="190" t="s">
        <v>54</v>
      </c>
      <c r="B82" s="191" t="s">
        <v>475</v>
      </c>
      <c r="C82" s="192">
        <v>621</v>
      </c>
      <c r="D82" s="55"/>
      <c r="E82" s="55"/>
      <c r="F82" s="55"/>
      <c r="G82" s="55"/>
      <c r="H82" s="55"/>
    </row>
    <row r="83" spans="1:8" s="69" customFormat="1" ht="18" customHeight="1" x14ac:dyDescent="0.2">
      <c r="A83" s="53" t="s">
        <v>58</v>
      </c>
      <c r="B83" s="54" t="s">
        <v>476</v>
      </c>
      <c r="C83" s="56">
        <v>611</v>
      </c>
      <c r="D83" s="76"/>
      <c r="E83" s="76"/>
      <c r="F83" s="76"/>
      <c r="G83" s="76"/>
      <c r="H83" s="76"/>
    </row>
    <row r="84" spans="1:8" ht="18" customHeight="1" x14ac:dyDescent="0.2">
      <c r="A84" s="190" t="s">
        <v>25</v>
      </c>
      <c r="B84" s="191" t="s">
        <v>477</v>
      </c>
      <c r="C84" s="192">
        <v>611</v>
      </c>
      <c r="D84" s="55"/>
      <c r="E84" s="55"/>
      <c r="F84" s="55"/>
      <c r="G84" s="55"/>
      <c r="H84" s="55"/>
    </row>
    <row r="85" spans="1:8" s="69" customFormat="1" ht="18" customHeight="1" x14ac:dyDescent="0.2">
      <c r="A85" s="53" t="s">
        <v>14</v>
      </c>
      <c r="B85" s="54" t="s">
        <v>478</v>
      </c>
      <c r="C85" s="56">
        <v>621</v>
      </c>
      <c r="D85" s="76"/>
      <c r="E85" s="76"/>
      <c r="F85" s="76"/>
      <c r="G85" s="76"/>
      <c r="H85" s="76"/>
    </row>
    <row r="86" spans="1:8" ht="18" customHeight="1" x14ac:dyDescent="0.2">
      <c r="A86" s="190" t="s">
        <v>120</v>
      </c>
      <c r="B86" s="191" t="s">
        <v>221</v>
      </c>
      <c r="C86" s="192">
        <v>621</v>
      </c>
      <c r="D86" s="55"/>
      <c r="E86" s="55"/>
      <c r="F86" s="55"/>
      <c r="G86" s="55"/>
      <c r="H86" s="55"/>
    </row>
    <row r="87" spans="1:8" s="69" customFormat="1" ht="18" customHeight="1" x14ac:dyDescent="0.2">
      <c r="A87" s="53" t="s">
        <v>41</v>
      </c>
      <c r="B87" s="54" t="s">
        <v>479</v>
      </c>
      <c r="C87" s="56">
        <v>611</v>
      </c>
      <c r="D87" s="76"/>
      <c r="E87" s="76"/>
      <c r="F87" s="76"/>
      <c r="G87" s="76"/>
      <c r="H87" s="76"/>
    </row>
    <row r="88" spans="1:8" ht="18" customHeight="1" x14ac:dyDescent="0.2">
      <c r="A88" s="190" t="s">
        <v>116</v>
      </c>
      <c r="B88" s="193" t="s">
        <v>481</v>
      </c>
      <c r="C88" s="192">
        <v>621</v>
      </c>
      <c r="D88" s="55"/>
      <c r="E88" s="55"/>
      <c r="F88" s="55"/>
      <c r="G88" s="55"/>
      <c r="H88" s="55"/>
    </row>
    <row r="89" spans="1:8" s="69" customFormat="1" ht="18" customHeight="1" x14ac:dyDescent="0.2">
      <c r="A89" s="53" t="s">
        <v>106</v>
      </c>
      <c r="B89" s="57" t="s">
        <v>480</v>
      </c>
      <c r="C89" s="56">
        <v>621</v>
      </c>
      <c r="D89" s="76"/>
      <c r="E89" s="76"/>
      <c r="F89" s="76"/>
      <c r="G89" s="76"/>
      <c r="H89" s="76"/>
    </row>
    <row r="90" spans="1:8" ht="18" customHeight="1" x14ac:dyDescent="0.2">
      <c r="A90" s="190" t="s">
        <v>192</v>
      </c>
      <c r="B90" s="193" t="s">
        <v>537</v>
      </c>
      <c r="C90" s="192">
        <v>611</v>
      </c>
      <c r="D90" s="55"/>
      <c r="E90" s="55"/>
      <c r="F90" s="55"/>
      <c r="G90" s="55"/>
      <c r="H90" s="55"/>
    </row>
    <row r="91" spans="1:8" s="69" customFormat="1" ht="18" customHeight="1" x14ac:dyDescent="0.2">
      <c r="A91" s="53" t="s">
        <v>167</v>
      </c>
      <c r="B91" s="57" t="s">
        <v>551</v>
      </c>
      <c r="C91" s="56">
        <v>621</v>
      </c>
      <c r="D91" s="76"/>
      <c r="E91" s="76"/>
      <c r="F91" s="76"/>
      <c r="G91" s="76"/>
      <c r="H91" s="76"/>
    </row>
    <row r="92" spans="1:8" ht="18" customHeight="1" x14ac:dyDescent="0.2">
      <c r="A92" s="190"/>
      <c r="B92" s="193"/>
      <c r="C92" s="192"/>
      <c r="D92" s="55"/>
      <c r="E92" s="55"/>
      <c r="F92" s="55"/>
      <c r="G92" s="55"/>
      <c r="H92" s="55"/>
    </row>
    <row r="93" spans="1:8" s="69" customFormat="1" ht="18" customHeight="1" x14ac:dyDescent="0.2">
      <c r="A93" s="53" t="s">
        <v>35</v>
      </c>
      <c r="B93" s="57" t="s">
        <v>482</v>
      </c>
      <c r="C93" s="56">
        <v>621</v>
      </c>
      <c r="D93" s="76"/>
      <c r="E93" s="76"/>
      <c r="F93" s="76"/>
      <c r="G93" s="76"/>
      <c r="H93" s="76"/>
    </row>
    <row r="94" spans="1:8" ht="18" customHeight="1" x14ac:dyDescent="0.2">
      <c r="A94" s="190" t="s">
        <v>165</v>
      </c>
      <c r="B94" s="193" t="s">
        <v>483</v>
      </c>
      <c r="C94" s="192">
        <v>621</v>
      </c>
      <c r="D94" s="55"/>
      <c r="E94" s="55"/>
      <c r="F94" s="55"/>
      <c r="G94" s="55"/>
      <c r="H94" s="55"/>
    </row>
    <row r="95" spans="1:8" s="69" customFormat="1" ht="18" customHeight="1" x14ac:dyDescent="0.2">
      <c r="A95" s="53" t="s">
        <v>166</v>
      </c>
      <c r="B95" s="57" t="s">
        <v>484</v>
      </c>
      <c r="C95" s="56">
        <v>621</v>
      </c>
      <c r="D95" s="76"/>
      <c r="E95" s="76"/>
      <c r="F95" s="76"/>
      <c r="G95" s="76"/>
      <c r="H95" s="76"/>
    </row>
    <row r="96" spans="1:8" ht="18" customHeight="1" x14ac:dyDescent="0.2">
      <c r="A96" s="190" t="s">
        <v>485</v>
      </c>
      <c r="B96" s="193" t="s">
        <v>486</v>
      </c>
      <c r="C96" s="192">
        <v>621</v>
      </c>
      <c r="D96" s="55"/>
      <c r="E96" s="55"/>
      <c r="F96" s="55"/>
      <c r="G96" s="55"/>
      <c r="H96" s="55"/>
    </row>
    <row r="97" spans="1:8" s="69" customFormat="1" ht="18" customHeight="1" x14ac:dyDescent="0.2">
      <c r="A97" s="53" t="s">
        <v>222</v>
      </c>
      <c r="B97" s="57" t="s">
        <v>487</v>
      </c>
      <c r="C97" s="56">
        <v>621</v>
      </c>
      <c r="D97" s="76"/>
      <c r="E97" s="76"/>
      <c r="F97" s="76"/>
      <c r="G97" s="76"/>
      <c r="H97" s="76"/>
    </row>
    <row r="98" spans="1:8" ht="18" customHeight="1" x14ac:dyDescent="0.2">
      <c r="A98" s="190" t="s">
        <v>202</v>
      </c>
      <c r="B98" s="193" t="s">
        <v>361</v>
      </c>
      <c r="C98" s="192">
        <v>621</v>
      </c>
      <c r="D98" s="55"/>
      <c r="E98" s="55"/>
      <c r="F98" s="55"/>
      <c r="G98" s="55"/>
      <c r="H98" s="55"/>
    </row>
    <row r="99" spans="1:8" s="69" customFormat="1" ht="18" customHeight="1" x14ac:dyDescent="0.2">
      <c r="A99" s="53" t="s">
        <v>24</v>
      </c>
      <c r="B99" s="57" t="s">
        <v>525</v>
      </c>
      <c r="C99" s="56">
        <v>621</v>
      </c>
      <c r="D99" s="76"/>
      <c r="E99" s="76"/>
      <c r="F99" s="76"/>
      <c r="G99" s="76"/>
      <c r="H99" s="76"/>
    </row>
    <row r="100" spans="1:8" ht="18" customHeight="1" x14ac:dyDescent="0.2">
      <c r="A100" s="190" t="s">
        <v>52</v>
      </c>
      <c r="B100" s="193" t="s">
        <v>552</v>
      </c>
      <c r="C100" s="192">
        <v>621</v>
      </c>
      <c r="D100" s="55"/>
      <c r="E100" s="55"/>
      <c r="F100" s="55"/>
      <c r="G100" s="55"/>
      <c r="H100" s="55"/>
    </row>
    <row r="101" spans="1:8" s="69" customFormat="1" ht="18" customHeight="1" x14ac:dyDescent="0.2">
      <c r="A101" s="53" t="s">
        <v>53</v>
      </c>
      <c r="B101" s="57" t="s">
        <v>488</v>
      </c>
      <c r="C101" s="56">
        <v>621</v>
      </c>
      <c r="D101" s="76"/>
      <c r="E101" s="76"/>
      <c r="F101" s="76"/>
      <c r="G101" s="76"/>
      <c r="H101" s="76"/>
    </row>
    <row r="102" spans="1:8" ht="18" customHeight="1" x14ac:dyDescent="0.2">
      <c r="A102" s="190" t="s">
        <v>92</v>
      </c>
      <c r="B102" s="193" t="s">
        <v>489</v>
      </c>
      <c r="C102" s="192">
        <v>621</v>
      </c>
      <c r="D102" s="55"/>
      <c r="E102" s="55"/>
      <c r="F102" s="55"/>
      <c r="G102" s="55"/>
      <c r="H102" s="55"/>
    </row>
    <row r="103" spans="1:8" s="69" customFormat="1" ht="18" customHeight="1" x14ac:dyDescent="0.2">
      <c r="A103" s="53" t="s">
        <v>196</v>
      </c>
      <c r="B103" s="57" t="s">
        <v>223</v>
      </c>
      <c r="C103" s="56">
        <v>621</v>
      </c>
      <c r="D103" s="76"/>
      <c r="E103" s="76"/>
      <c r="F103" s="76"/>
      <c r="G103" s="76"/>
      <c r="H103" s="76"/>
    </row>
    <row r="104" spans="1:8" ht="18" customHeight="1" x14ac:dyDescent="0.2">
      <c r="A104" s="190" t="s">
        <v>197</v>
      </c>
      <c r="B104" s="193" t="s">
        <v>553</v>
      </c>
      <c r="C104" s="192">
        <v>621</v>
      </c>
      <c r="D104" s="55"/>
      <c r="E104" s="55"/>
      <c r="F104" s="55"/>
      <c r="G104" s="55"/>
      <c r="H104" s="55"/>
    </row>
    <row r="105" spans="1:8" s="69" customFormat="1" ht="18" customHeight="1" x14ac:dyDescent="0.2">
      <c r="A105" s="53" t="s">
        <v>224</v>
      </c>
      <c r="B105" s="57" t="s">
        <v>490</v>
      </c>
      <c r="C105" s="56">
        <v>611</v>
      </c>
      <c r="D105" s="76"/>
      <c r="E105" s="76"/>
      <c r="F105" s="76"/>
      <c r="G105" s="76"/>
      <c r="H105" s="76"/>
    </row>
    <row r="106" spans="1:8" ht="18" customHeight="1" x14ac:dyDescent="0.2">
      <c r="A106" s="190" t="s">
        <v>85</v>
      </c>
      <c r="B106" s="193" t="s">
        <v>50</v>
      </c>
      <c r="C106" s="192">
        <v>621</v>
      </c>
      <c r="D106" s="55"/>
      <c r="E106" s="55"/>
      <c r="F106" s="55"/>
      <c r="G106" s="55"/>
      <c r="H106" s="55"/>
    </row>
    <row r="107" spans="1:8" s="69" customFormat="1" ht="18" customHeight="1" x14ac:dyDescent="0.2">
      <c r="A107" s="53" t="s">
        <v>225</v>
      </c>
      <c r="B107" s="57" t="s">
        <v>491</v>
      </c>
      <c r="C107" s="56">
        <v>621</v>
      </c>
      <c r="D107" s="76"/>
      <c r="E107" s="76"/>
      <c r="F107" s="76"/>
      <c r="G107" s="76"/>
      <c r="H107" s="76"/>
    </row>
    <row r="108" spans="1:8" s="69" customFormat="1" ht="18" customHeight="1" x14ac:dyDescent="0.2">
      <c r="A108" s="190" t="s">
        <v>530</v>
      </c>
      <c r="B108" s="193" t="s">
        <v>554</v>
      </c>
      <c r="C108" s="192">
        <v>621</v>
      </c>
      <c r="D108" s="76"/>
      <c r="E108" s="76"/>
      <c r="F108" s="76"/>
      <c r="G108" s="76"/>
      <c r="H108" s="76"/>
    </row>
    <row r="109" spans="1:8" s="69" customFormat="1" ht="18" customHeight="1" x14ac:dyDescent="0.2">
      <c r="A109" s="53" t="s">
        <v>291</v>
      </c>
      <c r="B109" s="57" t="s">
        <v>292</v>
      </c>
      <c r="C109" s="56">
        <v>621</v>
      </c>
      <c r="D109" s="76"/>
      <c r="E109" s="76"/>
      <c r="F109" s="76"/>
      <c r="G109" s="76"/>
      <c r="H109" s="76"/>
    </row>
    <row r="110" spans="1:8" s="69" customFormat="1" ht="18" customHeight="1" x14ac:dyDescent="0.2">
      <c r="A110" s="190" t="s">
        <v>492</v>
      </c>
      <c r="B110" s="193" t="s">
        <v>494</v>
      </c>
      <c r="C110" s="192">
        <v>621</v>
      </c>
      <c r="D110" s="76"/>
      <c r="E110" s="76"/>
      <c r="F110" s="76"/>
      <c r="G110" s="76"/>
      <c r="H110" s="76"/>
    </row>
    <row r="111" spans="1:8" s="69" customFormat="1" ht="18" customHeight="1" x14ac:dyDescent="0.2">
      <c r="A111" s="53" t="s">
        <v>493</v>
      </c>
      <c r="B111" s="57" t="s">
        <v>495</v>
      </c>
      <c r="C111" s="56">
        <v>611</v>
      </c>
      <c r="D111" s="76"/>
      <c r="E111" s="76"/>
      <c r="F111" s="76"/>
      <c r="G111" s="76"/>
      <c r="H111" s="76"/>
    </row>
    <row r="112" spans="1:8" s="69" customFormat="1" ht="18" customHeight="1" x14ac:dyDescent="0.2">
      <c r="A112" s="190" t="s">
        <v>226</v>
      </c>
      <c r="B112" s="193" t="s">
        <v>496</v>
      </c>
      <c r="C112" s="192">
        <v>621</v>
      </c>
      <c r="D112" s="76"/>
      <c r="E112" s="76"/>
      <c r="F112" s="76"/>
      <c r="G112" s="76"/>
      <c r="H112" s="76"/>
    </row>
    <row r="113" spans="1:8" s="69" customFormat="1" ht="18" customHeight="1" x14ac:dyDescent="0.2">
      <c r="A113" s="53" t="s">
        <v>227</v>
      </c>
      <c r="B113" s="57" t="s">
        <v>228</v>
      </c>
      <c r="C113" s="56">
        <v>621</v>
      </c>
      <c r="D113" s="76"/>
      <c r="E113" s="76"/>
      <c r="F113" s="76"/>
      <c r="G113" s="76"/>
      <c r="H113" s="76"/>
    </row>
    <row r="114" spans="1:8" ht="18" customHeight="1" x14ac:dyDescent="0.2">
      <c r="A114" s="190" t="s">
        <v>523</v>
      </c>
      <c r="B114" s="193" t="s">
        <v>524</v>
      </c>
      <c r="C114" s="192">
        <v>621</v>
      </c>
      <c r="D114" s="55"/>
      <c r="E114" s="55"/>
      <c r="F114" s="55"/>
      <c r="G114" s="55"/>
      <c r="H114" s="55"/>
    </row>
    <row r="115" spans="1:8" s="69" customFormat="1" ht="18" customHeight="1" x14ac:dyDescent="0.2">
      <c r="A115" s="53" t="s">
        <v>229</v>
      </c>
      <c r="B115" s="57" t="s">
        <v>497</v>
      </c>
      <c r="C115" s="56">
        <v>621</v>
      </c>
      <c r="D115" s="76"/>
      <c r="E115" s="76"/>
      <c r="F115" s="76"/>
      <c r="G115" s="76"/>
      <c r="H115" s="76"/>
    </row>
    <row r="116" spans="1:8" ht="18" customHeight="1" x14ac:dyDescent="0.2">
      <c r="A116" s="190" t="s">
        <v>230</v>
      </c>
      <c r="B116" s="193" t="s">
        <v>498</v>
      </c>
      <c r="C116" s="192">
        <v>621</v>
      </c>
      <c r="D116" s="55"/>
      <c r="E116" s="55"/>
      <c r="F116" s="55"/>
      <c r="G116" s="55"/>
      <c r="H116" s="55"/>
    </row>
    <row r="117" spans="1:8" s="69" customFormat="1" ht="18" customHeight="1" x14ac:dyDescent="0.2">
      <c r="A117" s="53" t="s">
        <v>499</v>
      </c>
      <c r="B117" s="57" t="s">
        <v>555</v>
      </c>
      <c r="C117" s="56">
        <v>621</v>
      </c>
      <c r="D117" s="76"/>
      <c r="E117" s="76"/>
      <c r="F117" s="76"/>
      <c r="G117" s="76"/>
      <c r="H117" s="76"/>
    </row>
    <row r="118" spans="1:8" ht="18" customHeight="1" x14ac:dyDescent="0.2">
      <c r="A118" s="190" t="s">
        <v>500</v>
      </c>
      <c r="B118" s="193" t="s">
        <v>531</v>
      </c>
      <c r="C118" s="192">
        <v>621</v>
      </c>
      <c r="D118" s="55"/>
      <c r="E118" s="55"/>
      <c r="F118" s="55"/>
      <c r="G118" s="55"/>
      <c r="H118" s="55"/>
    </row>
    <row r="119" spans="1:8" s="69" customFormat="1" ht="18" customHeight="1" x14ac:dyDescent="0.2">
      <c r="A119" s="53" t="s">
        <v>501</v>
      </c>
      <c r="B119" s="57" t="s">
        <v>502</v>
      </c>
      <c r="C119" s="56">
        <v>621</v>
      </c>
      <c r="D119" s="76"/>
      <c r="E119" s="76"/>
      <c r="F119" s="76"/>
      <c r="G119" s="76"/>
      <c r="H119" s="76"/>
    </row>
    <row r="120" spans="1:8" s="69" customFormat="1" ht="18" customHeight="1" x14ac:dyDescent="0.2">
      <c r="A120" s="190" t="s">
        <v>526</v>
      </c>
      <c r="B120" s="193" t="s">
        <v>527</v>
      </c>
      <c r="C120" s="192">
        <v>621</v>
      </c>
      <c r="D120" s="76"/>
      <c r="E120" s="76"/>
      <c r="F120" s="76"/>
      <c r="G120" s="76"/>
      <c r="H120" s="76"/>
    </row>
    <row r="121" spans="1:8" s="69" customFormat="1" ht="18" customHeight="1" x14ac:dyDescent="0.2">
      <c r="A121" s="190" t="s">
        <v>556</v>
      </c>
      <c r="B121" s="193" t="s">
        <v>557</v>
      </c>
      <c r="C121" s="192">
        <v>621</v>
      </c>
      <c r="D121" s="76"/>
      <c r="E121" s="76"/>
      <c r="F121" s="76"/>
      <c r="G121" s="76"/>
      <c r="H121" s="76"/>
    </row>
    <row r="122" spans="1:8" s="69" customFormat="1" ht="18" customHeight="1" x14ac:dyDescent="0.2">
      <c r="A122" s="53" t="s">
        <v>188</v>
      </c>
      <c r="B122" s="54" t="s">
        <v>503</v>
      </c>
      <c r="C122" s="56">
        <v>611</v>
      </c>
      <c r="D122" s="76"/>
      <c r="E122" s="76"/>
      <c r="F122" s="76"/>
      <c r="G122" s="76"/>
      <c r="H122" s="76"/>
    </row>
    <row r="123" spans="1:8" s="69" customFormat="1" ht="18" customHeight="1" x14ac:dyDescent="0.2">
      <c r="A123" s="190" t="s">
        <v>179</v>
      </c>
      <c r="B123" s="191" t="s">
        <v>504</v>
      </c>
      <c r="C123" s="192">
        <v>611</v>
      </c>
      <c r="D123" s="76"/>
      <c r="E123" s="76"/>
      <c r="F123" s="76"/>
      <c r="G123" s="76"/>
      <c r="H123" s="76"/>
    </row>
    <row r="124" spans="1:8" s="69" customFormat="1" ht="18" customHeight="1" x14ac:dyDescent="0.2">
      <c r="A124" s="53" t="s">
        <v>160</v>
      </c>
      <c r="B124" s="54" t="s">
        <v>505</v>
      </c>
      <c r="C124" s="56">
        <v>611</v>
      </c>
      <c r="D124" s="76"/>
      <c r="E124" s="76"/>
      <c r="F124" s="76"/>
      <c r="G124" s="76"/>
      <c r="H124" s="76"/>
    </row>
    <row r="125" spans="1:8" s="69" customFormat="1" ht="18" customHeight="1" x14ac:dyDescent="0.2">
      <c r="A125" s="190" t="s">
        <v>161</v>
      </c>
      <c r="B125" s="191" t="s">
        <v>506</v>
      </c>
      <c r="C125" s="192">
        <v>611</v>
      </c>
      <c r="D125" s="76"/>
      <c r="E125" s="76"/>
      <c r="F125" s="76"/>
      <c r="G125" s="76"/>
      <c r="H125" s="76"/>
    </row>
    <row r="126" spans="1:8" s="69" customFormat="1" ht="18" customHeight="1" x14ac:dyDescent="0.2">
      <c r="A126" s="53" t="s">
        <v>159</v>
      </c>
      <c r="B126" s="54" t="s">
        <v>507</v>
      </c>
      <c r="C126" s="56">
        <v>611</v>
      </c>
      <c r="D126" s="76"/>
      <c r="E126" s="76"/>
      <c r="F126" s="76"/>
      <c r="G126" s="76"/>
      <c r="H126" s="76"/>
    </row>
    <row r="127" spans="1:8" s="69" customFormat="1" ht="18" customHeight="1" x14ac:dyDescent="0.2">
      <c r="A127" s="190" t="s">
        <v>22</v>
      </c>
      <c r="B127" s="191" t="s">
        <v>508</v>
      </c>
      <c r="C127" s="192">
        <v>611</v>
      </c>
      <c r="D127" s="76"/>
      <c r="E127" s="76"/>
      <c r="F127" s="76"/>
      <c r="G127" s="76"/>
      <c r="H127" s="76"/>
    </row>
    <row r="128" spans="1:8" s="69" customFormat="1" ht="18" customHeight="1" x14ac:dyDescent="0.2">
      <c r="A128" s="53" t="s">
        <v>60</v>
      </c>
      <c r="B128" s="54" t="s">
        <v>509</v>
      </c>
      <c r="C128" s="56">
        <v>621</v>
      </c>
      <c r="D128" s="76"/>
      <c r="E128" s="76"/>
      <c r="F128" s="76"/>
      <c r="G128" s="76"/>
      <c r="H128" s="76"/>
    </row>
    <row r="129" spans="1:8" s="69" customFormat="1" ht="18" customHeight="1" x14ac:dyDescent="0.2">
      <c r="A129" s="190" t="s">
        <v>19</v>
      </c>
      <c r="B129" s="191" t="s">
        <v>510</v>
      </c>
      <c r="C129" s="192">
        <v>611</v>
      </c>
      <c r="D129" s="76"/>
      <c r="E129" s="76"/>
      <c r="F129" s="76"/>
      <c r="G129" s="76"/>
      <c r="H129" s="76"/>
    </row>
    <row r="130" spans="1:8" s="69" customFormat="1" ht="18" customHeight="1" x14ac:dyDescent="0.2">
      <c r="A130" s="53" t="s">
        <v>27</v>
      </c>
      <c r="B130" s="54" t="s">
        <v>511</v>
      </c>
      <c r="C130" s="56">
        <v>611</v>
      </c>
      <c r="D130" s="76"/>
      <c r="E130" s="76"/>
      <c r="F130" s="76"/>
      <c r="G130" s="76"/>
      <c r="H130" s="76"/>
    </row>
    <row r="131" spans="1:8" s="69" customFormat="1" ht="18" customHeight="1" x14ac:dyDescent="0.2">
      <c r="A131" s="190" t="s">
        <v>182</v>
      </c>
      <c r="B131" s="191" t="s">
        <v>512</v>
      </c>
      <c r="C131" s="192">
        <v>611</v>
      </c>
      <c r="D131" s="76"/>
      <c r="E131" s="76"/>
      <c r="F131" s="76"/>
      <c r="G131" s="76"/>
      <c r="H131" s="76"/>
    </row>
    <row r="132" spans="1:8" s="69" customFormat="1" ht="18" customHeight="1" x14ac:dyDescent="0.2">
      <c r="A132" s="53" t="s">
        <v>131</v>
      </c>
      <c r="B132" s="54" t="s">
        <v>513</v>
      </c>
      <c r="C132" s="56">
        <v>621</v>
      </c>
      <c r="D132" s="76"/>
      <c r="E132" s="76"/>
      <c r="F132" s="76"/>
      <c r="G132" s="76"/>
      <c r="H132" s="76"/>
    </row>
    <row r="133" spans="1:8" s="69" customFormat="1" ht="18" customHeight="1" x14ac:dyDescent="0.2">
      <c r="A133" s="190" t="s">
        <v>34</v>
      </c>
      <c r="B133" s="191" t="s">
        <v>514</v>
      </c>
      <c r="C133" s="192">
        <v>611</v>
      </c>
      <c r="D133" s="76"/>
      <c r="E133" s="76"/>
      <c r="F133" s="76"/>
      <c r="G133" s="76"/>
      <c r="H133" s="76"/>
    </row>
    <row r="134" spans="1:8" s="69" customFormat="1" ht="18" customHeight="1" x14ac:dyDescent="0.2">
      <c r="A134" s="53" t="s">
        <v>56</v>
      </c>
      <c r="B134" s="54" t="s">
        <v>515</v>
      </c>
      <c r="C134" s="56">
        <v>611</v>
      </c>
      <c r="D134" s="76"/>
      <c r="E134" s="76"/>
      <c r="F134" s="76"/>
      <c r="G134" s="76"/>
      <c r="H134" s="76"/>
    </row>
    <row r="135" spans="1:8" s="69" customFormat="1" ht="18" customHeight="1" x14ac:dyDescent="0.2">
      <c r="A135" s="190" t="s">
        <v>15</v>
      </c>
      <c r="B135" s="191" t="s">
        <v>97</v>
      </c>
      <c r="C135" s="192">
        <v>621</v>
      </c>
    </row>
    <row r="136" spans="1:8" s="69" customFormat="1" ht="18" customHeight="1" x14ac:dyDescent="0.2">
      <c r="A136" s="53" t="s">
        <v>87</v>
      </c>
      <c r="B136" s="57" t="s">
        <v>516</v>
      </c>
      <c r="C136" s="56">
        <v>621</v>
      </c>
    </row>
    <row r="137" spans="1:8" s="69" customFormat="1" ht="18" customHeight="1" x14ac:dyDescent="0.2">
      <c r="A137" s="190" t="s">
        <v>517</v>
      </c>
      <c r="B137" s="193" t="s">
        <v>519</v>
      </c>
      <c r="C137" s="192">
        <v>611</v>
      </c>
    </row>
    <row r="138" spans="1:8" s="69" customFormat="1" ht="18" customHeight="1" x14ac:dyDescent="0.2">
      <c r="A138" s="53" t="s">
        <v>518</v>
      </c>
      <c r="B138" s="57" t="s">
        <v>520</v>
      </c>
      <c r="C138" s="56">
        <v>621</v>
      </c>
    </row>
    <row r="139" spans="1:8" ht="18" customHeight="1" x14ac:dyDescent="0.2"/>
    <row r="140" spans="1:8" ht="18" customHeight="1" x14ac:dyDescent="0.2"/>
    <row r="141" spans="1:8" ht="18" customHeight="1" x14ac:dyDescent="0.2"/>
    <row r="142" spans="1:8" ht="18" customHeight="1" x14ac:dyDescent="0.2"/>
    <row r="143" spans="1:8" ht="18" customHeight="1" x14ac:dyDescent="0.2"/>
    <row r="144" spans="1:8" ht="18" customHeight="1" x14ac:dyDescent="0.2"/>
    <row r="145" ht="18" customHeight="1" x14ac:dyDescent="0.2"/>
    <row r="146" ht="18" customHeight="1" x14ac:dyDescent="0.2"/>
    <row r="147" ht="18" customHeight="1" x14ac:dyDescent="0.2"/>
    <row r="148" ht="18" customHeight="1" x14ac:dyDescent="0.2"/>
    <row r="149" ht="18" customHeight="1" x14ac:dyDescent="0.2"/>
    <row r="150" ht="18" customHeight="1" x14ac:dyDescent="0.2"/>
    <row r="151" ht="18" customHeight="1" x14ac:dyDescent="0.2"/>
    <row r="152" ht="18" customHeight="1" x14ac:dyDescent="0.2"/>
    <row r="153" ht="18" customHeight="1" x14ac:dyDescent="0.2"/>
    <row r="154" ht="18" customHeight="1" x14ac:dyDescent="0.2"/>
    <row r="155" ht="18" customHeight="1" x14ac:dyDescent="0.2"/>
    <row r="156" ht="18" customHeight="1" x14ac:dyDescent="0.2"/>
    <row r="157" ht="18" customHeight="1" x14ac:dyDescent="0.2"/>
    <row r="158" ht="18" customHeight="1" x14ac:dyDescent="0.2"/>
    <row r="159" ht="18" customHeight="1" x14ac:dyDescent="0.2"/>
    <row r="160" ht="18" customHeight="1" x14ac:dyDescent="0.2"/>
    <row r="161" ht="18" customHeight="1" x14ac:dyDescent="0.2"/>
    <row r="162" ht="18" customHeight="1" x14ac:dyDescent="0.2"/>
    <row r="163" ht="18" customHeight="1" x14ac:dyDescent="0.2"/>
    <row r="164" ht="18" customHeight="1" x14ac:dyDescent="0.2"/>
    <row r="165" ht="18" customHeight="1" x14ac:dyDescent="0.2"/>
    <row r="166" ht="18" customHeight="1" x14ac:dyDescent="0.2"/>
    <row r="167" ht="18" customHeight="1" x14ac:dyDescent="0.2"/>
    <row r="168" ht="18" customHeight="1" x14ac:dyDescent="0.2"/>
    <row r="169" ht="18" customHeight="1" x14ac:dyDescent="0.2"/>
    <row r="170" ht="18" customHeight="1" x14ac:dyDescent="0.2"/>
    <row r="171" ht="18" customHeight="1" x14ac:dyDescent="0.2"/>
    <row r="172" ht="18" customHeight="1" x14ac:dyDescent="0.2"/>
    <row r="173" ht="18" customHeight="1" x14ac:dyDescent="0.2"/>
    <row r="174" ht="18" customHeight="1" x14ac:dyDescent="0.2"/>
  </sheetData>
  <sheetProtection selectLockedCells="1"/>
  <mergeCells count="1">
    <mergeCell ref="F1:H1"/>
  </mergeCells>
  <phoneticPr fontId="4" type="noConversion"/>
  <pageMargins left="0.75" right="0.75" top="1" bottom="1" header="0.5" footer="0.5"/>
  <pageSetup scale="85"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sheetPr>
  <dimension ref="A3:H51"/>
  <sheetViews>
    <sheetView zoomScale="150" zoomScaleNormal="150" workbookViewId="0"/>
  </sheetViews>
  <sheetFormatPr defaultRowHeight="12.75" x14ac:dyDescent="0.2"/>
  <cols>
    <col min="1" max="1" width="12.42578125" style="6" customWidth="1"/>
    <col min="2" max="2" width="18" style="6" customWidth="1"/>
    <col min="3" max="3" width="2.42578125" style="6" customWidth="1"/>
    <col min="4" max="4" width="12.42578125" style="6" customWidth="1"/>
    <col min="5" max="5" width="18" style="6" customWidth="1"/>
    <col min="6" max="6" width="2.42578125" customWidth="1"/>
    <col min="7" max="256" width="11.42578125" customWidth="1"/>
  </cols>
  <sheetData>
    <row r="3" spans="1:8" x14ac:dyDescent="0.2">
      <c r="A3" s="97" t="s">
        <v>261</v>
      </c>
      <c r="B3" s="87"/>
      <c r="C3" s="87"/>
      <c r="D3" s="87"/>
      <c r="E3" s="87"/>
    </row>
    <row r="4" spans="1:8" x14ac:dyDescent="0.2">
      <c r="A4" s="401" t="s">
        <v>434</v>
      </c>
      <c r="B4" s="402"/>
      <c r="D4" s="401" t="s">
        <v>435</v>
      </c>
      <c r="E4" s="402"/>
      <c r="G4" s="401" t="s">
        <v>353</v>
      </c>
      <c r="H4" s="402"/>
    </row>
    <row r="5" spans="1:8" x14ac:dyDescent="0.2">
      <c r="A5" s="65" t="s">
        <v>234</v>
      </c>
      <c r="B5" s="65" t="s">
        <v>235</v>
      </c>
      <c r="D5" s="65" t="s">
        <v>234</v>
      </c>
      <c r="E5" s="65" t="s">
        <v>240</v>
      </c>
      <c r="G5" s="67" t="s">
        <v>238</v>
      </c>
      <c r="H5" s="70">
        <f>'Gusset Pouch'!I21</f>
        <v>0</v>
      </c>
    </row>
    <row r="6" spans="1:8" x14ac:dyDescent="0.2">
      <c r="A6" s="67" t="s">
        <v>237</v>
      </c>
      <c r="B6" s="183">
        <f>'Gusset Pouch'!C21</f>
        <v>0</v>
      </c>
      <c r="D6" s="67" t="s">
        <v>241</v>
      </c>
      <c r="E6" s="70">
        <f>'Gusset Pouch'!F21</f>
        <v>0</v>
      </c>
      <c r="H6" s="121">
        <f>25.4*H5</f>
        <v>0</v>
      </c>
    </row>
    <row r="7" spans="1:8" x14ac:dyDescent="0.2">
      <c r="A7"/>
      <c r="B7">
        <f>B6*25.4</f>
        <v>0</v>
      </c>
      <c r="D7"/>
      <c r="E7">
        <f>E6*25.4</f>
        <v>0</v>
      </c>
      <c r="G7" s="68" t="s">
        <v>433</v>
      </c>
      <c r="H7" s="122">
        <f>ROUND(H6,0)</f>
        <v>0</v>
      </c>
    </row>
    <row r="8" spans="1:8" x14ac:dyDescent="0.2">
      <c r="A8"/>
      <c r="B8">
        <v>3.8</v>
      </c>
      <c r="D8"/>
      <c r="E8">
        <v>3.8</v>
      </c>
    </row>
    <row r="9" spans="1:8" x14ac:dyDescent="0.2">
      <c r="A9"/>
      <c r="B9">
        <f>B7+B8</f>
        <v>3.8</v>
      </c>
      <c r="D9"/>
      <c r="E9">
        <f>E7+E8</f>
        <v>3.8</v>
      </c>
    </row>
    <row r="10" spans="1:8" x14ac:dyDescent="0.2">
      <c r="A10"/>
      <c r="B10">
        <f>B9/5</f>
        <v>0.76</v>
      </c>
      <c r="D10"/>
      <c r="E10">
        <f>E9/5</f>
        <v>0.76</v>
      </c>
    </row>
    <row r="11" spans="1:8" x14ac:dyDescent="0.2">
      <c r="A11"/>
      <c r="B11">
        <f>FLOOR(B10,1)</f>
        <v>0</v>
      </c>
      <c r="D11"/>
      <c r="E11">
        <f>FLOOR(E10,1)</f>
        <v>0</v>
      </c>
    </row>
    <row r="12" spans="1:8" x14ac:dyDescent="0.2">
      <c r="A12" s="68" t="s">
        <v>433</v>
      </c>
      <c r="B12" s="68">
        <f>B11*5</f>
        <v>0</v>
      </c>
      <c r="D12" s="68" t="s">
        <v>433</v>
      </c>
      <c r="E12" s="68">
        <f>E11*5</f>
        <v>0</v>
      </c>
    </row>
    <row r="39" spans="1:4" x14ac:dyDescent="0.2">
      <c r="A39" s="96"/>
      <c r="B39" s="96"/>
      <c r="C39" s="96"/>
      <c r="D39" s="96"/>
    </row>
    <row r="40" spans="1:4" x14ac:dyDescent="0.2">
      <c r="A40" s="94"/>
      <c r="B40" s="94"/>
      <c r="C40" s="94"/>
      <c r="D40" s="94"/>
    </row>
    <row r="41" spans="1:4" x14ac:dyDescent="0.2">
      <c r="A41" s="94"/>
      <c r="B41" s="94"/>
      <c r="C41" s="94"/>
      <c r="D41" s="94"/>
    </row>
    <row r="42" spans="1:4" x14ac:dyDescent="0.2">
      <c r="A42" s="94"/>
      <c r="B42" s="94"/>
      <c r="C42" s="94"/>
      <c r="D42" s="94"/>
    </row>
    <row r="43" spans="1:4" x14ac:dyDescent="0.2">
      <c r="A43" s="94"/>
      <c r="B43" s="94"/>
      <c r="C43" s="94"/>
      <c r="D43" s="94"/>
    </row>
    <row r="44" spans="1:4" x14ac:dyDescent="0.2">
      <c r="A44" s="94"/>
      <c r="B44" s="94"/>
      <c r="C44" s="94"/>
      <c r="D44" s="94"/>
    </row>
    <row r="45" spans="1:4" x14ac:dyDescent="0.2">
      <c r="A45" s="94"/>
      <c r="B45" s="94"/>
      <c r="C45" s="94"/>
      <c r="D45" s="94"/>
    </row>
    <row r="46" spans="1:4" x14ac:dyDescent="0.2">
      <c r="A46" s="94"/>
      <c r="B46" s="94"/>
      <c r="C46" s="94"/>
      <c r="D46" s="94"/>
    </row>
    <row r="47" spans="1:4" x14ac:dyDescent="0.2">
      <c r="A47" s="94"/>
      <c r="B47" s="94"/>
      <c r="C47" s="94"/>
      <c r="D47" s="94"/>
    </row>
    <row r="48" spans="1:4" x14ac:dyDescent="0.2">
      <c r="A48" s="94"/>
      <c r="B48" s="94"/>
      <c r="C48" s="94"/>
      <c r="D48" s="94"/>
    </row>
    <row r="49" spans="1:4" x14ac:dyDescent="0.2">
      <c r="A49" s="94"/>
      <c r="B49" s="94"/>
      <c r="C49" s="94"/>
      <c r="D49" s="94"/>
    </row>
    <row r="50" spans="1:4" x14ac:dyDescent="0.2">
      <c r="A50" s="94"/>
      <c r="B50" s="94"/>
      <c r="C50" s="94"/>
      <c r="D50" s="94"/>
    </row>
    <row r="51" spans="1:4" x14ac:dyDescent="0.2">
      <c r="A51" s="94"/>
      <c r="B51" s="94"/>
      <c r="C51" s="94"/>
      <c r="D51" s="94"/>
    </row>
  </sheetData>
  <mergeCells count="3">
    <mergeCell ref="A4:B4"/>
    <mergeCell ref="D4:E4"/>
    <mergeCell ref="G4:H4"/>
  </mergeCells>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tint="0.39997558519241921"/>
  </sheetPr>
  <dimension ref="A1:H21"/>
  <sheetViews>
    <sheetView zoomScale="150" zoomScaleNormal="150" workbookViewId="0">
      <selection activeCell="A21" sqref="A21"/>
    </sheetView>
  </sheetViews>
  <sheetFormatPr defaultColWidth="8.85546875" defaultRowHeight="12.75" x14ac:dyDescent="0.2"/>
  <cols>
    <col min="1" max="1" width="12.7109375" customWidth="1"/>
    <col min="2" max="2" width="16.85546875" customWidth="1"/>
    <col min="3" max="3" width="1.85546875" customWidth="1"/>
    <col min="4" max="5" width="9.85546875" customWidth="1"/>
    <col min="6" max="6" width="1.85546875" customWidth="1"/>
    <col min="7" max="7" width="9.7109375" customWidth="1"/>
    <col min="8" max="8" width="9.85546875" customWidth="1"/>
  </cols>
  <sheetData>
    <row r="1" spans="1:8" s="64" customFormat="1" x14ac:dyDescent="0.2">
      <c r="A1" s="401" t="s">
        <v>431</v>
      </c>
      <c r="B1" s="402"/>
      <c r="C1"/>
    </row>
    <row r="2" spans="1:8" x14ac:dyDescent="0.2">
      <c r="A2" s="65" t="s">
        <v>234</v>
      </c>
      <c r="B2" s="65" t="s">
        <v>235</v>
      </c>
      <c r="C2" s="66"/>
      <c r="D2" s="401" t="s">
        <v>236</v>
      </c>
      <c r="E2" s="402"/>
      <c r="G2" s="401" t="s">
        <v>353</v>
      </c>
      <c r="H2" s="402"/>
    </row>
    <row r="3" spans="1:8" x14ac:dyDescent="0.2">
      <c r="A3" s="67" t="s">
        <v>237</v>
      </c>
      <c r="B3" s="70">
        <v>10</v>
      </c>
      <c r="D3" s="67" t="s">
        <v>238</v>
      </c>
      <c r="E3" s="70">
        <v>1.6</v>
      </c>
      <c r="G3" s="67" t="s">
        <v>238</v>
      </c>
      <c r="H3" s="67">
        <v>1.6</v>
      </c>
    </row>
    <row r="4" spans="1:8" x14ac:dyDescent="0.2">
      <c r="B4">
        <f>B3*25.4</f>
        <v>254</v>
      </c>
      <c r="E4">
        <f>25.4*E3</f>
        <v>40.64</v>
      </c>
      <c r="H4">
        <f>25.4*H3</f>
        <v>40.64</v>
      </c>
    </row>
    <row r="5" spans="1:8" x14ac:dyDescent="0.2">
      <c r="B5">
        <v>3.8</v>
      </c>
      <c r="D5" s="68" t="s">
        <v>239</v>
      </c>
      <c r="E5" s="68">
        <f>ROUND(E4,0)</f>
        <v>41</v>
      </c>
      <c r="G5" s="68" t="s">
        <v>239</v>
      </c>
      <c r="H5" s="68">
        <f>ROUND(H4,0)</f>
        <v>41</v>
      </c>
    </row>
    <row r="6" spans="1:8" ht="13.5" thickBot="1" x14ac:dyDescent="0.25">
      <c r="B6">
        <f>B4+B5</f>
        <v>257.8</v>
      </c>
    </row>
    <row r="7" spans="1:8" ht="13.5" thickTop="1" x14ac:dyDescent="0.2">
      <c r="B7">
        <f>B6/5</f>
        <v>51.56</v>
      </c>
      <c r="D7" s="403" t="s">
        <v>404</v>
      </c>
      <c r="E7" s="404"/>
    </row>
    <row r="8" spans="1:8" s="66" customFormat="1" ht="13.5" thickBot="1" x14ac:dyDescent="0.25">
      <c r="A8"/>
      <c r="B8">
        <f>FLOOR(B7,1)</f>
        <v>51</v>
      </c>
      <c r="C8"/>
      <c r="D8" s="405"/>
      <c r="E8" s="406"/>
    </row>
    <row r="9" spans="1:8" ht="14.25" thickTop="1" thickBot="1" x14ac:dyDescent="0.25">
      <c r="A9" s="68" t="s">
        <v>433</v>
      </c>
      <c r="B9" s="68">
        <f>B8*5</f>
        <v>255</v>
      </c>
    </row>
    <row r="10" spans="1:8" ht="13.5" thickTop="1" x14ac:dyDescent="0.2">
      <c r="A10" s="69"/>
      <c r="B10" s="69"/>
      <c r="C10" s="69"/>
      <c r="D10" s="403" t="s">
        <v>405</v>
      </c>
      <c r="E10" s="404"/>
    </row>
    <row r="11" spans="1:8" ht="13.5" thickBot="1" x14ac:dyDescent="0.25">
      <c r="A11" s="401" t="s">
        <v>432</v>
      </c>
      <c r="B11" s="402"/>
      <c r="D11" s="405"/>
      <c r="E11" s="406"/>
    </row>
    <row r="12" spans="1:8" ht="14.25" thickTop="1" thickBot="1" x14ac:dyDescent="0.25">
      <c r="A12" s="65" t="s">
        <v>234</v>
      </c>
      <c r="B12" s="65" t="s">
        <v>240</v>
      </c>
      <c r="C12" s="66"/>
    </row>
    <row r="13" spans="1:8" ht="12.95" customHeight="1" thickTop="1" x14ac:dyDescent="0.2">
      <c r="A13" s="67" t="s">
        <v>241</v>
      </c>
      <c r="B13" s="70">
        <v>13.5</v>
      </c>
      <c r="D13" s="403" t="s">
        <v>414</v>
      </c>
      <c r="E13" s="404"/>
    </row>
    <row r="14" spans="1:8" ht="12.95" customHeight="1" thickBot="1" x14ac:dyDescent="0.25">
      <c r="B14">
        <f>B13*25.4</f>
        <v>342.9</v>
      </c>
      <c r="D14" s="405"/>
      <c r="E14" s="406"/>
    </row>
    <row r="15" spans="1:8" ht="13.5" thickTop="1" x14ac:dyDescent="0.2">
      <c r="B15">
        <v>3.8</v>
      </c>
    </row>
    <row r="16" spans="1:8" s="69" customFormat="1" x14ac:dyDescent="0.2">
      <c r="A16"/>
      <c r="B16">
        <f>B14+B15</f>
        <v>346.7</v>
      </c>
      <c r="C16"/>
    </row>
    <row r="17" spans="1:2" x14ac:dyDescent="0.2">
      <c r="B17">
        <f>B16/5</f>
        <v>69.34</v>
      </c>
    </row>
    <row r="18" spans="1:2" x14ac:dyDescent="0.2">
      <c r="B18">
        <f>FLOOR(B17,1)</f>
        <v>69</v>
      </c>
    </row>
    <row r="19" spans="1:2" x14ac:dyDescent="0.2">
      <c r="A19" s="68" t="s">
        <v>433</v>
      </c>
      <c r="B19" s="68">
        <f>B18*5</f>
        <v>345</v>
      </c>
    </row>
    <row r="21" spans="1:2" s="69" customFormat="1" x14ac:dyDescent="0.2"/>
  </sheetData>
  <sheetProtection sheet="1" objects="1" scenarios="1"/>
  <mergeCells count="7">
    <mergeCell ref="G2:H2"/>
    <mergeCell ref="D10:E11"/>
    <mergeCell ref="D7:E8"/>
    <mergeCell ref="D13:E14"/>
    <mergeCell ref="A1:B1"/>
    <mergeCell ref="D2:E2"/>
    <mergeCell ref="A11:B11"/>
  </mergeCells>
  <hyperlinks>
    <hyperlink ref="D10" location="ICM!G21" display="Back to ICM"/>
    <hyperlink ref="D7" location="'Gusset Pouch'!F21" display="Back to Checklist"/>
    <hyperlink ref="D13" location="'S+R'!G3" display="Back to S+R"/>
    <hyperlink ref="E7" location="'Gusset Pouch'!F21" display="Back to Checklist"/>
    <hyperlink ref="D8" location="'Gusset Pouch'!F21" display="Back to Checklist"/>
    <hyperlink ref="E8" location="'Gusset Pouch'!F21" display="Back to Checklist"/>
    <hyperlink ref="E13" location="'S+R'!G3" display="Back to S+R"/>
    <hyperlink ref="D14" location="'S+R'!G3" display="Back to S+R"/>
    <hyperlink ref="E14" location="'S+R'!G3" display="Back to S+R"/>
    <hyperlink ref="E10" location="ICM!G21" display="Back to ICM"/>
    <hyperlink ref="D11" location="ICM!G21" display="Back to ICM"/>
    <hyperlink ref="E11" location="ICM!G21" display="Back to ICM"/>
  </hyperlinks>
  <pageMargins left="0.75" right="0.75" top="1" bottom="1" header="0.5" footer="0.5"/>
  <pageSetup orientation="portrait" horizontalDpi="4294967292" verticalDpi="429496729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2">
    <tabColor theme="7" tint="0.39997558519241921"/>
  </sheetPr>
  <dimension ref="A1:G25"/>
  <sheetViews>
    <sheetView showGridLines="0" zoomScale="125" zoomScaleNormal="100" workbookViewId="0">
      <selection activeCell="A2" sqref="A2:C2"/>
    </sheetView>
  </sheetViews>
  <sheetFormatPr defaultColWidth="8.85546875" defaultRowHeight="12.75" x14ac:dyDescent="0.2"/>
  <sheetData>
    <row r="1" spans="1:3" s="1" customFormat="1" ht="15" x14ac:dyDescent="0.2"/>
    <row r="2" spans="1:3" s="1" customFormat="1" ht="15.75" x14ac:dyDescent="0.25">
      <c r="A2" s="409" t="s">
        <v>107</v>
      </c>
      <c r="B2" s="409"/>
      <c r="C2" s="409"/>
    </row>
    <row r="3" spans="1:3" s="1" customFormat="1" ht="15" x14ac:dyDescent="0.2"/>
    <row r="4" spans="1:3" s="1" customFormat="1" ht="15" x14ac:dyDescent="0.2">
      <c r="B4" s="6"/>
    </row>
    <row r="19" spans="1:7" ht="13.5" thickBot="1" x14ac:dyDescent="0.25"/>
    <row r="20" spans="1:7" ht="17.100000000000001" customHeight="1" thickTop="1" x14ac:dyDescent="0.2">
      <c r="C20" s="410" t="s">
        <v>404</v>
      </c>
      <c r="D20" s="411"/>
      <c r="F20" s="410" t="s">
        <v>405</v>
      </c>
      <c r="G20" s="414"/>
    </row>
    <row r="21" spans="1:7" ht="15" customHeight="1" thickBot="1" x14ac:dyDescent="0.25">
      <c r="C21" s="412"/>
      <c r="D21" s="413"/>
      <c r="F21" s="415"/>
      <c r="G21" s="416"/>
    </row>
    <row r="22" spans="1:7" ht="13.5" thickTop="1" x14ac:dyDescent="0.2">
      <c r="D22" s="407"/>
      <c r="E22" s="407"/>
      <c r="F22" s="407"/>
    </row>
    <row r="23" spans="1:7" ht="18.75" x14ac:dyDescent="0.25">
      <c r="A23" s="408"/>
      <c r="B23" s="408"/>
      <c r="C23" s="408"/>
      <c r="D23" s="407"/>
      <c r="E23" s="407"/>
      <c r="F23" s="407"/>
    </row>
    <row r="25" spans="1:7" ht="18.75" x14ac:dyDescent="0.25">
      <c r="A25" s="408"/>
      <c r="B25" s="408"/>
      <c r="C25" s="408"/>
    </row>
  </sheetData>
  <sheetProtection sheet="1" objects="1" scenarios="1" selectLockedCells="1"/>
  <mergeCells count="6">
    <mergeCell ref="D22:F23"/>
    <mergeCell ref="A23:C23"/>
    <mergeCell ref="A25:C25"/>
    <mergeCell ref="A2:C2"/>
    <mergeCell ref="C20:D21"/>
    <mergeCell ref="F20:G21"/>
  </mergeCells>
  <hyperlinks>
    <hyperlink ref="F20" location="ICM!F55" display="Back to ICM"/>
    <hyperlink ref="G20" location="ICM!F55" display="Back to ICM"/>
    <hyperlink ref="F21" location="ICM!F55" display="Back to ICM"/>
    <hyperlink ref="G21" location="ICM!F55" display="Back to ICM"/>
    <hyperlink ref="C20" location="'Gusset Pouch'!C71" display="Back to Checklist"/>
    <hyperlink ref="D20" location="'Gusset Pouch'!C71" display="Back to Checklist"/>
    <hyperlink ref="C21" location="'Gusset Pouch'!C71" display="Back to Checklist"/>
    <hyperlink ref="D21" location="'Gusset Pouch'!C71" display="Back to Checklist"/>
  </hyperlinks>
  <printOptions gridLines="1"/>
  <pageMargins left="0.25" right="0.25" top="0.5" bottom="0.5" header="0.5" footer="0.5"/>
  <pageSetup orientation="landscape"/>
  <headerFooter alignWithMargins="0">
    <oddFooter>&amp;L&amp;7&amp;F • &amp;A • &amp;D • Page &amp;P</oddFooter>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Pouch Macros Data</vt:lpstr>
      <vt:lpstr>General Data</vt:lpstr>
      <vt:lpstr>Gusset Pouch</vt:lpstr>
      <vt:lpstr>ICM</vt:lpstr>
      <vt:lpstr>S+R</vt:lpstr>
      <vt:lpstr>Drawing</vt:lpstr>
      <vt:lpstr>GL Codes</vt:lpstr>
      <vt:lpstr>IN to MM</vt:lpstr>
      <vt:lpstr>Conversions</vt:lpstr>
      <vt:lpstr>Print Direction Chart</vt:lpstr>
      <vt:lpstr>'Gusset Pouch'!Print_Area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w15mkaeb</dc:creator>
  <cp:lastModifiedBy>Parker, Holly</cp:lastModifiedBy>
  <cp:lastPrinted>2016-02-26T16:13:00Z</cp:lastPrinted>
  <dcterms:created xsi:type="dcterms:W3CDTF">2010-11-26T20:02:27Z</dcterms:created>
  <dcterms:modified xsi:type="dcterms:W3CDTF">2017-01-10T18:49:27Z</dcterms:modified>
</cp:coreProperties>
</file>