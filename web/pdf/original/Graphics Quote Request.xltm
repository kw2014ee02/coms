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05" yWindow="240" windowWidth="18345" windowHeight="16440" tabRatio="500"/>
  </bookViews>
  <sheets>
    <sheet name="Quote Request" sheetId="1" r:id="rId1"/>
    <sheet name="Quote" sheetId="5" r:id="rId2"/>
    <sheet name="Invoice" sheetId="6" state="hidden" r:id="rId3"/>
    <sheet name="Invoice to Date" sheetId="7" state="hidden" r:id="rId4"/>
    <sheet name="Calculations" sheetId="3" state="hidden" r:id="rId5"/>
  </sheets>
  <definedNames>
    <definedName name="_xlnm.Print_Area" localSheetId="2">Invoice!$A$1:$E$26</definedName>
    <definedName name="_xlnm.Print_Area" localSheetId="3">'Invoice to Date'!$A$1:$E$26</definedName>
    <definedName name="_xlnm.Print_Area" localSheetId="1">Quote!$A$1:$E$28</definedName>
    <definedName name="_xlnm.Print_Area" localSheetId="0">'Quote Request'!$A$1:$L$58</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22" i="5" l="1"/>
  <c r="A12" i="3"/>
  <c r="B12" i="3"/>
  <c r="A8" i="3"/>
  <c r="C11" i="3"/>
  <c r="C12" i="3"/>
  <c r="D11" i="3"/>
  <c r="D12" i="3"/>
  <c r="E11" i="3"/>
  <c r="E12" i="3"/>
  <c r="F12" i="3"/>
  <c r="D29" i="1"/>
  <c r="L29" i="1"/>
  <c r="A16" i="3"/>
  <c r="B16" i="3"/>
  <c r="C15" i="3"/>
  <c r="C16" i="3"/>
  <c r="D15" i="3"/>
  <c r="D16" i="3"/>
  <c r="E15" i="3"/>
  <c r="E16" i="3"/>
  <c r="F16" i="3"/>
  <c r="D32" i="1"/>
  <c r="L32" i="1"/>
  <c r="B19" i="3"/>
  <c r="D35" i="1"/>
  <c r="L35" i="1"/>
  <c r="A22" i="3"/>
  <c r="B22" i="3"/>
  <c r="D37" i="1"/>
  <c r="L37" i="1"/>
  <c r="L30" i="1"/>
  <c r="L33" i="1"/>
  <c r="D27" i="1"/>
  <c r="L27" i="1"/>
  <c r="L39" i="1"/>
  <c r="E10" i="5"/>
  <c r="D31" i="1"/>
  <c r="L31" i="1"/>
  <c r="D28" i="1"/>
  <c r="L28" i="1"/>
  <c r="L40" i="1"/>
  <c r="E11" i="5"/>
  <c r="D34" i="1"/>
  <c r="L34" i="1"/>
  <c r="E12" i="5"/>
  <c r="D36" i="1"/>
  <c r="L36" i="1"/>
  <c r="E13" i="5"/>
  <c r="A26" i="3"/>
  <c r="C26" i="3"/>
  <c r="B26" i="3"/>
  <c r="D26" i="3"/>
  <c r="D38" i="1"/>
  <c r="L38" i="1"/>
  <c r="L41" i="1"/>
  <c r="E14" i="5"/>
  <c r="L42" i="1"/>
  <c r="E15" i="5"/>
  <c r="E16" i="5"/>
  <c r="E17" i="5"/>
  <c r="L49" i="1"/>
  <c r="E17" i="7"/>
  <c r="A42" i="1"/>
  <c r="A16" i="7"/>
  <c r="C8" i="7"/>
  <c r="C7" i="7"/>
  <c r="C6" i="7"/>
  <c r="C5" i="7"/>
  <c r="E3" i="1"/>
  <c r="C4" i="7"/>
  <c r="E3" i="7"/>
  <c r="E2" i="7"/>
  <c r="E1" i="7"/>
  <c r="A3" i="1"/>
  <c r="L46" i="1"/>
  <c r="L47" i="1"/>
  <c r="E1" i="6"/>
  <c r="C8" i="1"/>
  <c r="C5" i="5"/>
  <c r="E3" i="6"/>
  <c r="E2" i="6"/>
  <c r="C6" i="6"/>
  <c r="C4" i="6"/>
  <c r="E16" i="6"/>
  <c r="E15" i="6"/>
  <c r="E14" i="6"/>
  <c r="E13" i="6"/>
  <c r="E12" i="6"/>
  <c r="E11" i="6"/>
  <c r="E17" i="6"/>
  <c r="A16" i="6"/>
  <c r="C8" i="6"/>
  <c r="C7" i="6"/>
  <c r="C5" i="6"/>
  <c r="C19" i="5"/>
  <c r="C4" i="5"/>
  <c r="E26" i="1"/>
  <c r="A11" i="1"/>
  <c r="H49" i="1"/>
  <c r="A41" i="1"/>
  <c r="A40" i="1"/>
  <c r="A39" i="1"/>
  <c r="M41" i="1"/>
  <c r="M40" i="1"/>
  <c r="M39" i="1"/>
  <c r="L43" i="1"/>
  <c r="K47" i="1"/>
  <c r="K46" i="1"/>
  <c r="E29" i="1"/>
  <c r="E38" i="1"/>
  <c r="M42" i="1"/>
  <c r="A15" i="5"/>
  <c r="E27" i="1"/>
  <c r="E30" i="1"/>
  <c r="E32" i="1"/>
  <c r="E33" i="1"/>
  <c r="A19" i="3"/>
  <c r="E35" i="1"/>
  <c r="E37" i="1"/>
  <c r="E28" i="1"/>
  <c r="E31" i="1"/>
  <c r="E34" i="1"/>
  <c r="E36" i="1"/>
  <c r="C7" i="5"/>
  <c r="E1" i="1"/>
  <c r="D26" i="1"/>
  <c r="M50" i="1"/>
  <c r="C6" i="5"/>
  <c r="C3" i="5"/>
  <c r="A33" i="1"/>
  <c r="A30" i="1"/>
  <c r="L44" i="1"/>
</calcChain>
</file>

<file path=xl/comments1.xml><?xml version="1.0" encoding="utf-8"?>
<comments xmlns="http://schemas.openxmlformats.org/spreadsheetml/2006/main">
  <authors>
    <author>Leann Chastko</author>
  </authors>
  <commentList>
    <comment ref="A20" authorId="0">
      <text>
        <r>
          <rPr>
            <b/>
            <sz val="9"/>
            <color indexed="81"/>
            <rFont val="Calibri"/>
            <family val="2"/>
          </rPr>
          <t>Note: Level applies to the complexity of the work required on either a new or a rwc job.</t>
        </r>
      </text>
    </comment>
  </commentList>
</comments>
</file>

<file path=xl/comments2.xml><?xml version="1.0" encoding="utf-8"?>
<comments xmlns="http://schemas.openxmlformats.org/spreadsheetml/2006/main">
  <authors>
    <author>Leann Chastko</author>
  </authors>
  <commentList>
    <comment ref="C10" authorId="0">
      <text>
        <r>
          <rPr>
            <sz val="9"/>
            <color indexed="81"/>
            <rFont val="Calibri"/>
            <family val="2"/>
          </rPr>
          <t>Time is reduced if common elements exist between the items being quoted.</t>
        </r>
      </text>
    </comment>
    <comment ref="A11" authorId="0">
      <text>
        <r>
          <rPr>
            <sz val="9"/>
            <color indexed="81"/>
            <rFont val="Calibri"/>
            <family val="2"/>
          </rPr>
          <t xml:space="preserve">BASE time initially calculated for PF based on NEW, RWC, RWC with all new art OR a Redraw.
</t>
        </r>
      </text>
    </comment>
    <comment ref="B11" authorId="0">
      <text>
        <r>
          <rPr>
            <sz val="9"/>
            <color indexed="81"/>
            <rFont val="Calibri"/>
            <family val="2"/>
          </rPr>
          <t>Additional time is then calculated based on level of difficulty of work required.</t>
        </r>
      </text>
    </comment>
    <comment ref="B15" authorId="0">
      <text>
        <r>
          <rPr>
            <sz val="9"/>
            <color indexed="81"/>
            <rFont val="Calibri"/>
            <family val="2"/>
          </rPr>
          <t>Time for CC is calculated in the same manner as Pre-flight except for the amount of time to do the task and is based on number of contract proofs, not the number of items.</t>
        </r>
      </text>
    </comment>
    <comment ref="B26" authorId="0">
      <text>
        <r>
          <rPr>
            <b/>
            <sz val="9"/>
            <color indexed="81"/>
            <rFont val="Calibri"/>
            <family val="2"/>
          </rPr>
          <t>Leann Chastko:</t>
        </r>
        <r>
          <rPr>
            <sz val="9"/>
            <color indexed="81"/>
            <rFont val="Calibri"/>
            <family val="2"/>
          </rPr>
          <t xml:space="preserve">
20mm is an average amount allotted for the ID Bar. This takes into consideration staggered jobs where the ID Bar is within the trim box and extra plate area is not needed. 40mm is actually needed so I used 1/2.</t>
        </r>
      </text>
    </comment>
  </commentList>
</comments>
</file>

<file path=xl/sharedStrings.xml><?xml version="1.0" encoding="utf-8"?>
<sst xmlns="http://schemas.openxmlformats.org/spreadsheetml/2006/main" count="149" uniqueCount="109">
  <si>
    <t>GRAPHICS QUOTE</t>
  </si>
  <si>
    <t>Customer:</t>
  </si>
  <si>
    <t>Design Description:</t>
  </si>
  <si>
    <t># Items</t>
  </si>
  <si>
    <t># Plates</t>
  </si>
  <si>
    <t>Web Width</t>
  </si>
  <si>
    <t># Webs Ac</t>
  </si>
  <si>
    <t>Cyl Size</t>
  </si>
  <si>
    <t>Plate Width (mm)</t>
  </si>
  <si>
    <t>Plate Length (mm)</t>
  </si>
  <si>
    <t>Plate Width (in)</t>
  </si>
  <si>
    <t>Plate Length (in)</t>
  </si>
  <si>
    <t>Description</t>
  </si>
  <si>
    <t>Cost Per Unit</t>
  </si>
  <si>
    <t>Amount</t>
  </si>
  <si>
    <t>Total:</t>
  </si>
  <si>
    <t>Comments:</t>
  </si>
  <si>
    <t>Per Plate:</t>
  </si>
  <si>
    <t># Content Proofs</t>
  </si>
  <si>
    <t>Contract Proof(s)</t>
  </si>
  <si>
    <t>Content Proof(s)</t>
  </si>
  <si>
    <t>Plates (sq inches)</t>
  </si>
  <si>
    <t>Job Type Cell Link:</t>
  </si>
  <si>
    <t>Plate Size:</t>
  </si>
  <si>
    <t>Preflight Time (PDF)</t>
  </si>
  <si>
    <t>Assessment Proof(s)</t>
  </si>
  <si>
    <t>Colour Correction Time</t>
  </si>
  <si>
    <t>Key Overlays</t>
  </si>
  <si>
    <t>Trap Time</t>
  </si>
  <si>
    <t>Step and Repeat Time</t>
  </si>
  <si>
    <t>Total Pre-F Time:</t>
  </si>
  <si>
    <t>Total T Time:</t>
  </si>
  <si>
    <t>Total CC Time:</t>
  </si>
  <si>
    <t>Total SR Time:</t>
  </si>
  <si>
    <t>PF Base Time for
NEW or RWC</t>
  </si>
  <si>
    <t>PF Additional Time
based on level:</t>
  </si>
  <si>
    <t># Items:</t>
  </si>
  <si>
    <t># Contract Proofs:</t>
  </si>
  <si>
    <t>Mac Time</t>
  </si>
  <si>
    <t>Repeat</t>
  </si>
  <si>
    <t>Structure:</t>
  </si>
  <si>
    <t>Quote Date:</t>
  </si>
  <si>
    <t>New or RWC?</t>
  </si>
  <si>
    <t>Select Art Option:</t>
  </si>
  <si>
    <t>Price is subject to change if further changes to original instructions are required. This quote is valid for 30 days.</t>
  </si>
  <si>
    <t>Total # Change-overs:</t>
  </si>
  <si>
    <t>100% Proof(s)</t>
  </si>
  <si>
    <t>SR Base Time:</t>
  </si>
  <si>
    <t>Base CC Time:</t>
  </si>
  <si>
    <t>cc minus for level 1
w common elements</t>
  </si>
  <si>
    <t>cc minus for level 2
w common elements</t>
  </si>
  <si>
    <t>cc minus for level 3
w common elements</t>
  </si>
  <si>
    <t>pf minus time for sp level 1
w common elements</t>
  </si>
  <si>
    <t>pf minus time for sp level 2
w common elements</t>
  </si>
  <si>
    <t>pf minus time for sp level 3
w common elements</t>
  </si>
  <si>
    <t># Items that require CC</t>
  </si>
  <si>
    <t>Keys (Mylar/Paper)</t>
  </si>
  <si>
    <t># Contract Proofs</t>
  </si>
  <si>
    <t>Price is subject to change if further changes to original
instructions are required. This quote is valid for 30 days.</t>
  </si>
  <si>
    <t>Coordinator:</t>
  </si>
  <si>
    <t># Assmts</t>
  </si>
  <si>
    <t># Keys</t>
  </si>
  <si>
    <t>Stagger Size</t>
  </si>
  <si>
    <t>Design:</t>
  </si>
  <si>
    <t>Random or Registered:</t>
  </si>
  <si>
    <t>Assessment(s)</t>
  </si>
  <si>
    <t>Sales Rep #:</t>
  </si>
  <si>
    <t>Quoted By:</t>
  </si>
  <si>
    <t>Total # of Change-overs</t>
  </si>
  <si>
    <t>Common Elements?</t>
  </si>
  <si>
    <t>T minus time for
common elements</t>
  </si>
  <si>
    <t>PO#</t>
  </si>
  <si>
    <t>Movex # (if applic.):</t>
  </si>
  <si>
    <t>INV#</t>
  </si>
  <si>
    <r>
      <t xml:space="preserve">Design Category:
</t>
    </r>
    <r>
      <rPr>
        <sz val="9"/>
        <color indexed="8"/>
        <rFont val="Arial"/>
      </rPr>
      <t>Select</t>
    </r>
    <r>
      <rPr>
        <b/>
        <sz val="9"/>
        <color indexed="8"/>
        <rFont val="Arial"/>
      </rPr>
      <t xml:space="preserve"> </t>
    </r>
    <r>
      <rPr>
        <sz val="9"/>
        <color indexed="8"/>
        <rFont val="Arial"/>
      </rPr>
      <t>only</t>
    </r>
    <r>
      <rPr>
        <b/>
        <sz val="9"/>
        <color indexed="8"/>
        <rFont val="Arial"/>
      </rPr>
      <t xml:space="preserve"> ONE
</t>
    </r>
    <r>
      <rPr>
        <sz val="9"/>
        <color indexed="8"/>
        <rFont val="Arial"/>
      </rPr>
      <t>of the 9 categories
based on print type
and level of difficulty.</t>
    </r>
  </si>
  <si>
    <r>
      <t xml:space="preserve">Close &amp; Invoice Cost to Date
</t>
    </r>
    <r>
      <rPr>
        <b/>
        <sz val="8.5"/>
        <color indexed="10"/>
        <rFont val="Arial"/>
      </rPr>
      <t>JOB CANCELLED</t>
    </r>
  </si>
  <si>
    <r>
      <t xml:space="preserve">Close &amp; Invoice
</t>
    </r>
    <r>
      <rPr>
        <b/>
        <sz val="8.5"/>
        <color indexed="10"/>
        <rFont val="Arial"/>
      </rPr>
      <t>QUOTED</t>
    </r>
  </si>
  <si>
    <t>SO#</t>
  </si>
  <si>
    <t>Regular
Quote</t>
  </si>
  <si>
    <t>Manual
Quote</t>
  </si>
  <si>
    <t>Eyespot
Trial</t>
  </si>
  <si>
    <t>Dieline</t>
  </si>
  <si>
    <r>
      <rPr>
        <b/>
        <sz val="8"/>
        <color indexed="8"/>
        <rFont val="Arial"/>
      </rPr>
      <t>Plates Only</t>
    </r>
    <r>
      <rPr>
        <b/>
        <sz val="10"/>
        <color indexed="8"/>
        <rFont val="Arial"/>
      </rPr>
      <t xml:space="preserve"> </t>
    </r>
    <r>
      <rPr>
        <b/>
        <sz val="8"/>
        <color indexed="8"/>
        <rFont val="Arial"/>
      </rPr>
      <t>(plus
ext. charges if applic.)</t>
    </r>
  </si>
  <si>
    <r>
      <rPr>
        <b/>
        <sz val="10"/>
        <color indexed="8"/>
        <rFont val="Arial"/>
      </rPr>
      <t>1 Colour</t>
    </r>
    <r>
      <rPr>
        <sz val="10"/>
        <color indexed="8"/>
        <rFont val="Arial"/>
      </rPr>
      <t xml:space="preserve">
Continuous</t>
    </r>
  </si>
  <si>
    <r>
      <rPr>
        <b/>
        <sz val="10"/>
        <color indexed="8"/>
        <rFont val="Arial"/>
      </rPr>
      <t>Eyespot Trial or Dieline Drawing</t>
    </r>
  </si>
  <si>
    <r>
      <rPr>
        <b/>
        <sz val="10"/>
        <color indexed="8"/>
        <rFont val="Arial"/>
      </rPr>
      <t>Spot</t>
    </r>
    <r>
      <rPr>
        <sz val="10"/>
        <color indexed="8"/>
        <rFont val="Arial"/>
      </rPr>
      <t xml:space="preserve"> - Level 1</t>
    </r>
  </si>
  <si>
    <r>
      <rPr>
        <b/>
        <sz val="10"/>
        <color indexed="8"/>
        <rFont val="Arial"/>
      </rPr>
      <t>Spot</t>
    </r>
    <r>
      <rPr>
        <sz val="10"/>
        <color indexed="8"/>
        <rFont val="Arial"/>
      </rPr>
      <t xml:space="preserve"> - Level 2</t>
    </r>
  </si>
  <si>
    <r>
      <rPr>
        <b/>
        <sz val="10"/>
        <color indexed="8"/>
        <rFont val="Arial"/>
      </rPr>
      <t>Spot</t>
    </r>
    <r>
      <rPr>
        <sz val="10"/>
        <color indexed="8"/>
        <rFont val="Arial"/>
      </rPr>
      <t xml:space="preserve"> - Level 3</t>
    </r>
  </si>
  <si>
    <r>
      <rPr>
        <b/>
        <sz val="10"/>
        <color indexed="8"/>
        <rFont val="Arial"/>
      </rPr>
      <t>Process</t>
    </r>
    <r>
      <rPr>
        <sz val="10"/>
        <color indexed="8"/>
        <rFont val="Arial"/>
      </rPr>
      <t xml:space="preserve"> - Level 1</t>
    </r>
  </si>
  <si>
    <r>
      <rPr>
        <b/>
        <sz val="10"/>
        <color indexed="8"/>
        <rFont val="Arial"/>
      </rPr>
      <t>Process</t>
    </r>
    <r>
      <rPr>
        <sz val="10"/>
        <color indexed="8"/>
        <rFont val="Arial"/>
      </rPr>
      <t xml:space="preserve"> - Level 2</t>
    </r>
  </si>
  <si>
    <r>
      <rPr>
        <b/>
        <sz val="10"/>
        <color indexed="8"/>
        <rFont val="Arial"/>
      </rPr>
      <t>Process</t>
    </r>
    <r>
      <rPr>
        <sz val="10"/>
        <color indexed="8"/>
        <rFont val="Arial"/>
      </rPr>
      <t xml:space="preserve"> - Level 3</t>
    </r>
  </si>
  <si>
    <t>Mac Time:</t>
  </si>
  <si>
    <t>Proofs:</t>
  </si>
  <si>
    <t>Plates:</t>
  </si>
  <si>
    <t>Sleeves:</t>
  </si>
  <si>
    <t>COMMENTS:</t>
  </si>
  <si>
    <t>GRAPHICS INVOICE</t>
  </si>
  <si>
    <t>Invoice Closed Date:</t>
  </si>
  <si>
    <t>SO#:</t>
  </si>
  <si>
    <t>PO#:</t>
  </si>
  <si>
    <t>INV#:</t>
  </si>
  <si>
    <t>Sales Rep. #:</t>
  </si>
  <si>
    <t>Total Before Markup:</t>
  </si>
  <si>
    <t>Plates</t>
  </si>
  <si>
    <t>Rev Quote or
Additional Time</t>
  </si>
  <si>
    <r>
      <rPr>
        <b/>
        <sz val="10"/>
        <color indexed="8"/>
        <rFont val="Arial"/>
      </rPr>
      <t>1 Colour</t>
    </r>
  </si>
  <si>
    <t>Pouch Size (if applic.):</t>
  </si>
  <si>
    <t>OD or ID?:</t>
  </si>
  <si>
    <t>Add Disclaimer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</si>
</sst>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quot;$&quot;#,##0.00_);[Red]\(&quot;$&quot;#,##0.00\)"/>
    <numFmt numFmtId="165" formatCode="_(&quot;$&quot;* #,##0.00_);_(&quot;$&quot;* \(#,##0.00\);_(&quot;$&quot;* &quot;-&quot;??_);_(@_)"/>
    <numFmt numFmtId="166" formatCode="[$-1009]mmmm\ d\,\ yyyy;@"/>
    <numFmt numFmtId="167" formatCode="[$-1009]d/mmm/yy;@"/>
    <numFmt numFmtId="168" formatCode=";;;"/>
  </numFmts>
  <fonts count="45" x14ac:knownFonts="1">
    <font>
      <sz val="12"/>
      <color theme="1"/>
      <name val="Calibri"/>
      <family val="2"/>
      <scheme val="minor"/>
    </font>
    <font>
      <sz val="8"/>
      <name val="Calibri"/>
      <family val="2"/>
    </font>
    <font>
      <b/>
      <sz val="10"/>
      <name val="Arial"/>
    </font>
    <font>
      <b/>
      <sz val="9"/>
      <color indexed="8"/>
      <name val="Arial"/>
    </font>
    <font>
      <b/>
      <sz val="9"/>
      <name val="Arial"/>
    </font>
    <font>
      <sz val="9"/>
      <color indexed="81"/>
      <name val="Calibri"/>
      <family val="2"/>
    </font>
    <font>
      <b/>
      <sz val="9"/>
      <color indexed="81"/>
      <name val="Calibri"/>
      <family val="2"/>
    </font>
    <font>
      <sz val="9"/>
      <color indexed="8"/>
      <name val="Arial"/>
    </font>
    <font>
      <sz val="10"/>
      <name val="Arial"/>
    </font>
    <font>
      <b/>
      <sz val="12"/>
      <name val="Arial"/>
    </font>
    <font>
      <b/>
      <sz val="8"/>
      <name val="Arial"/>
    </font>
    <font>
      <b/>
      <sz val="8.5"/>
      <color indexed="10"/>
      <name val="Arial"/>
    </font>
    <font>
      <b/>
      <sz val="8"/>
      <color indexed="8"/>
      <name val="Arial"/>
    </font>
    <font>
      <b/>
      <sz val="10"/>
      <color indexed="8"/>
      <name val="Arial"/>
    </font>
    <font>
      <sz val="10"/>
      <color indexed="8"/>
      <name val="Arial"/>
    </font>
    <font>
      <sz val="8"/>
      <name val="Calibri"/>
      <family val="2"/>
    </font>
    <font>
      <sz val="10"/>
      <color theme="1"/>
      <name val="Arial"/>
    </font>
    <font>
      <sz val="11"/>
      <color theme="1"/>
      <name val="Calibri"/>
      <scheme val="minor"/>
    </font>
    <font>
      <sz val="10"/>
      <color theme="1"/>
      <name val="Calibri"/>
      <scheme val="minor"/>
    </font>
    <font>
      <sz val="11"/>
      <color theme="1"/>
      <name val="Arial"/>
    </font>
    <font>
      <b/>
      <sz val="12"/>
      <color theme="1"/>
      <name val="Arial"/>
    </font>
    <font>
      <b/>
      <sz val="10"/>
      <color theme="1"/>
      <name val="Arial"/>
    </font>
    <font>
      <b/>
      <sz val="10"/>
      <color rgb="FFFF0000"/>
      <name val="Arial"/>
    </font>
    <font>
      <b/>
      <sz val="9"/>
      <color theme="1"/>
      <name val="Arial"/>
    </font>
    <font>
      <b/>
      <sz val="8"/>
      <color theme="1"/>
      <name val="Arial"/>
    </font>
    <font>
      <b/>
      <sz val="20"/>
      <color theme="1"/>
      <name val="Arial"/>
    </font>
    <font>
      <b/>
      <sz val="12"/>
      <color rgb="FFFF0000"/>
      <name val="Arial"/>
    </font>
    <font>
      <sz val="10"/>
      <color rgb="FFFF0000"/>
      <name val="Arial"/>
    </font>
    <font>
      <b/>
      <sz val="10"/>
      <color rgb="FF000000"/>
      <name val="Arial"/>
    </font>
    <font>
      <sz val="10"/>
      <color rgb="FF000000"/>
      <name val="Arial"/>
    </font>
    <font>
      <sz val="9"/>
      <color theme="1"/>
      <name val="Arial"/>
    </font>
    <font>
      <b/>
      <sz val="20"/>
      <color rgb="FF000000"/>
      <name val="Arial"/>
    </font>
    <font>
      <b/>
      <sz val="16"/>
      <color rgb="FF000000"/>
      <name val="Arial"/>
    </font>
    <font>
      <sz val="12"/>
      <name val="Calibri"/>
      <scheme val="minor"/>
    </font>
    <font>
      <b/>
      <sz val="12"/>
      <name val="Calibri"/>
      <scheme val="minor"/>
    </font>
    <font>
      <b/>
      <sz val="12"/>
      <color rgb="FFFF0000"/>
      <name val="Calibri"/>
      <family val="2"/>
      <scheme val="minor"/>
    </font>
    <font>
      <b/>
      <sz val="8.5"/>
      <color theme="1"/>
      <name val="Arial"/>
    </font>
    <font>
      <b/>
      <sz val="11"/>
      <color rgb="FFFF0000"/>
      <name val="Arial"/>
    </font>
    <font>
      <sz val="8.5"/>
      <color theme="1"/>
      <name val="Arial"/>
    </font>
    <font>
      <b/>
      <sz val="18"/>
      <color theme="1"/>
      <name val="Arial"/>
    </font>
    <font>
      <b/>
      <sz val="14"/>
      <color rgb="FF000000"/>
      <name val="Arial"/>
      <charset val="204"/>
    </font>
    <font>
      <u/>
      <sz val="12"/>
      <color theme="10"/>
      <name val="Calibri"/>
      <family val="2"/>
      <scheme val="minor"/>
    </font>
    <font>
      <u/>
      <sz val="12"/>
      <color theme="11"/>
      <name val="Calibri"/>
      <family val="2"/>
      <scheme val="minor"/>
    </font>
    <font>
      <b/>
      <sz val="12"/>
      <color theme="1"/>
      <name val="Calibri"/>
      <family val="2"/>
      <scheme val="minor"/>
    </font>
    <font>
      <sz val="8"/>
      <name val="Calibri"/>
      <family val="2"/>
      <scheme val="minor"/>
    </font>
  </fonts>
  <fills count="16">
    <fill>
      <patternFill patternType="none"/>
    </fill>
    <fill>
      <patternFill patternType="gray125"/>
    </fill>
    <fill>
      <patternFill patternType="solid">
        <fgColor indexed="6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indexed="65"/>
        <bgColor theme="0"/>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4.9989318521683403E-2"/>
        <bgColor theme="0"/>
      </patternFill>
    </fill>
    <fill>
      <patternFill patternType="solid">
        <fgColor theme="0" tint="-4.9989318521683403E-2"/>
        <bgColor indexed="64"/>
      </patternFill>
    </fill>
    <fill>
      <patternFill patternType="solid">
        <fgColor rgb="FFD9D9D9"/>
        <bgColor rgb="FF000000"/>
      </patternFill>
    </fill>
    <fill>
      <patternFill patternType="solid">
        <fgColor indexed="65"/>
        <bgColor rgb="FF000000"/>
      </patternFill>
    </fill>
    <fill>
      <patternFill patternType="solid">
        <fgColor rgb="FFFFF25A"/>
        <bgColor indexed="64"/>
      </patternFill>
    </fill>
    <fill>
      <patternFill patternType="solid">
        <fgColor rgb="FFBCD9DE"/>
        <bgColor rgb="FF000000"/>
      </patternFill>
    </fill>
    <fill>
      <patternFill patternType="solid">
        <fgColor rgb="FFDDECEE"/>
        <bgColor rgb="FF000000"/>
      </patternFill>
    </fill>
    <fill>
      <patternFill patternType="solid">
        <fgColor theme="4" tint="0.79998168889431442"/>
        <bgColor theme="0"/>
      </patternFill>
    </fill>
  </fills>
  <borders count="29">
    <border>
      <left/>
      <right/>
      <top/>
      <bottom/>
      <diagonal/>
    </border>
    <border>
      <left style="thin">
        <color theme="8" tint="-0.249977111117893"/>
      </left>
      <right style="thin">
        <color theme="8" tint="-0.249977111117893"/>
      </right>
      <top style="thin">
        <color theme="8" tint="-0.249977111117893"/>
      </top>
      <bottom style="medium">
        <color theme="8" tint="-0.249977111117893"/>
      </bottom>
      <diagonal/>
    </border>
    <border>
      <left style="thin">
        <color theme="8" tint="-0.249977111117893"/>
      </left>
      <right style="thin">
        <color theme="8" tint="-0.249977111117893"/>
      </right>
      <top style="medium">
        <color theme="8" tint="-0.249977111117893"/>
      </top>
      <bottom style="thin">
        <color theme="8" tint="-0.249977111117893"/>
      </bottom>
      <diagonal/>
    </border>
    <border>
      <left/>
      <right/>
      <top style="thin">
        <color theme="8" tint="-0.249977111117893"/>
      </top>
      <bottom style="thin">
        <color theme="8" tint="-0.249977111117893"/>
      </bottom>
      <diagonal/>
    </border>
    <border>
      <left style="thin">
        <color theme="8" tint="-0.249977111117893"/>
      </left>
      <right/>
      <top style="medium">
        <color theme="8" tint="-0.249977111117893"/>
      </top>
      <bottom style="thin">
        <color theme="8" tint="-0.249977111117893"/>
      </bottom>
      <diagonal/>
    </border>
    <border>
      <left style="thin">
        <color theme="8" tint="-0.249977111117893"/>
      </left>
      <right/>
      <top style="thin">
        <color theme="8" tint="-0.249977111117893"/>
      </top>
      <bottom style="medium">
        <color theme="8" tint="-0.249977111117893"/>
      </bottom>
      <diagonal/>
    </border>
    <border>
      <left/>
      <right/>
      <top/>
      <bottom style="thin">
        <color theme="8" tint="-0.249977111117893"/>
      </bottom>
      <diagonal/>
    </border>
    <border>
      <left/>
      <right/>
      <top style="thin">
        <color theme="8" tint="-0.249977111117893"/>
      </top>
      <bottom/>
      <diagonal/>
    </border>
    <border>
      <left/>
      <right/>
      <top style="medium">
        <color theme="8" tint="-0.249977111117893"/>
      </top>
      <bottom style="medium">
        <color theme="8" tint="-0.249977111117893"/>
      </bottom>
      <diagonal/>
    </border>
    <border>
      <left/>
      <right/>
      <top style="medium">
        <color theme="8" tint="-0.249977111117893"/>
      </top>
      <bottom/>
      <diagonal/>
    </border>
    <border>
      <left/>
      <right/>
      <top style="thin">
        <color theme="8" tint="-0.249977111117893"/>
      </top>
      <bottom style="medium">
        <color theme="8" tint="-0.249977111117893"/>
      </bottom>
      <diagonal/>
    </border>
    <border>
      <left/>
      <right style="thin">
        <color theme="8" tint="-0.249977111117893"/>
      </right>
      <top/>
      <bottom/>
      <diagonal/>
    </border>
    <border>
      <left style="thin">
        <color theme="8" tint="-0.249977111117893"/>
      </left>
      <right style="thin">
        <color theme="8" tint="-0.249977111117893"/>
      </right>
      <top/>
      <bottom/>
      <diagonal/>
    </border>
    <border>
      <left/>
      <right style="thin">
        <color theme="8" tint="-0.249977111117893"/>
      </right>
      <top/>
      <bottom style="medium">
        <color theme="8" tint="-0.249977111117893"/>
      </bottom>
      <diagonal/>
    </border>
    <border>
      <left style="thin">
        <color theme="8" tint="-0.249977111117893"/>
      </left>
      <right style="thin">
        <color theme="8" tint="-0.249977111117893"/>
      </right>
      <top/>
      <bottom style="medium">
        <color theme="8" tint="-0.249977111117893"/>
      </bottom>
      <diagonal/>
    </border>
    <border>
      <left/>
      <right/>
      <top/>
      <bottom style="medium">
        <color theme="8" tint="-0.249977111117893"/>
      </bottom>
      <diagonal/>
    </border>
    <border>
      <left style="thin">
        <color theme="8" tint="-0.249977111117893"/>
      </left>
      <right style="thin">
        <color theme="8" tint="-0.249977111117893"/>
      </right>
      <top style="medium">
        <color theme="8" tint="-0.249977111117893"/>
      </top>
      <bottom style="medium">
        <color theme="8" tint="-0.249977111117893"/>
      </bottom>
      <diagonal/>
    </border>
    <border>
      <left/>
      <right/>
      <top style="medium">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theme="8" tint="-0.249977111117893"/>
      </left>
      <right style="thin">
        <color theme="8" tint="-0.249977111117893"/>
      </right>
      <top/>
      <bottom style="thin">
        <color theme="8" tint="-0.249977111117893"/>
      </bottom>
      <diagonal/>
    </border>
    <border>
      <left/>
      <right style="thin">
        <color theme="8" tint="-0.249977111117893"/>
      </right>
      <top style="thin">
        <color theme="8" tint="-0.249977111117893"/>
      </top>
      <bottom style="medium">
        <color theme="8" tint="-0.249977111117893"/>
      </bottom>
      <diagonal/>
    </border>
    <border>
      <left/>
      <right style="thin">
        <color theme="8" tint="-0.249977111117893"/>
      </right>
      <top style="medium">
        <color theme="8" tint="-0.249977111117893"/>
      </top>
      <bottom style="thin">
        <color theme="8" tint="-0.249977111117893"/>
      </bottom>
      <diagonal/>
    </border>
    <border>
      <left/>
      <right style="thin">
        <color theme="8" tint="-0.249977111117893"/>
      </right>
      <top style="thin">
        <color theme="8" tint="-0.249977111117893"/>
      </top>
      <bottom/>
      <diagonal/>
    </border>
    <border>
      <left/>
      <right style="thin">
        <color theme="8" tint="-0.249977111117893"/>
      </right>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top/>
      <bottom/>
      <diagonal/>
    </border>
    <border>
      <left style="thin">
        <color theme="8" tint="-0.249977111117893"/>
      </left>
      <right/>
      <top style="thin">
        <color theme="8" tint="-0.249977111117893"/>
      </top>
      <bottom style="thin">
        <color theme="8" tint="-0.249977111117893"/>
      </bottom>
      <diagonal/>
    </border>
    <border>
      <left/>
      <right/>
      <top style="medium">
        <color rgb="FF417A85"/>
      </top>
      <bottom style="medium">
        <color rgb="FF417A85"/>
      </bottom>
      <diagonal/>
    </border>
  </borders>
  <cellStyleXfs count="11">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337">
    <xf numFmtId="0" fontId="0" fillId="0" borderId="0" xfId="0"/>
    <xf numFmtId="2" fontId="2" fillId="3" borderId="1" xfId="0" applyNumberFormat="1"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0" fillId="0" borderId="0" xfId="0" applyProtection="1"/>
    <xf numFmtId="0" fontId="16" fillId="2" borderId="0" xfId="0" applyFont="1" applyFill="1" applyBorder="1" applyAlignment="1" applyProtection="1">
      <alignment horizontal="left" vertical="center"/>
    </xf>
    <xf numFmtId="0" fontId="17" fillId="0" borderId="0" xfId="0" applyFont="1" applyProtection="1"/>
    <xf numFmtId="0" fontId="18" fillId="2" borderId="0" xfId="0" applyFont="1" applyFill="1" applyBorder="1" applyProtection="1"/>
    <xf numFmtId="0" fontId="16" fillId="4" borderId="3" xfId="0" applyFont="1" applyFill="1" applyBorder="1" applyAlignment="1" applyProtection="1">
      <alignment horizontal="left" vertical="center"/>
    </xf>
    <xf numFmtId="0" fontId="19" fillId="0" borderId="0" xfId="0" applyFont="1" applyProtection="1"/>
    <xf numFmtId="0" fontId="18" fillId="0" borderId="0" xfId="0" applyFont="1" applyProtection="1"/>
    <xf numFmtId="0" fontId="16" fillId="0" borderId="0" xfId="0" applyFont="1" applyAlignment="1" applyProtection="1">
      <alignment horizontal="left" vertical="center"/>
    </xf>
    <xf numFmtId="165" fontId="16" fillId="4" borderId="3" xfId="0" applyNumberFormat="1" applyFont="1" applyFill="1" applyBorder="1" applyAlignment="1" applyProtection="1">
      <alignment horizontal="left" vertical="center"/>
    </xf>
    <xf numFmtId="0" fontId="16" fillId="5" borderId="0" xfId="0" applyFont="1" applyFill="1" applyBorder="1" applyAlignment="1" applyProtection="1">
      <alignment horizontal="left" vertical="center"/>
    </xf>
    <xf numFmtId="0" fontId="4" fillId="3" borderId="4" xfId="0" applyFont="1" applyFill="1" applyBorder="1" applyAlignment="1" applyProtection="1">
      <alignment horizontal="center" vertical="center" wrapText="1"/>
    </xf>
    <xf numFmtId="2" fontId="2" fillId="3" borderId="5" xfId="0" applyNumberFormat="1" applyFont="1" applyFill="1" applyBorder="1" applyAlignment="1" applyProtection="1">
      <alignment horizontal="center" vertical="center" wrapText="1"/>
    </xf>
    <xf numFmtId="0" fontId="16" fillId="4" borderId="6" xfId="0" applyFont="1" applyFill="1" applyBorder="1" applyAlignment="1" applyProtection="1">
      <alignment horizontal="left" vertical="center"/>
    </xf>
    <xf numFmtId="165" fontId="16" fillId="4" borderId="6" xfId="0" applyNumberFormat="1"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165" fontId="16" fillId="4" borderId="7"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xf>
    <xf numFmtId="0" fontId="21" fillId="3" borderId="8" xfId="0" applyFont="1" applyFill="1" applyBorder="1" applyAlignment="1" applyProtection="1">
      <alignment horizontal="center" vertical="center"/>
    </xf>
    <xf numFmtId="0" fontId="16" fillId="4" borderId="6" xfId="0" applyFont="1" applyFill="1" applyBorder="1" applyAlignment="1" applyProtection="1">
      <alignment horizontal="center" vertical="center"/>
    </xf>
    <xf numFmtId="0" fontId="16" fillId="4" borderId="3" xfId="0" applyFont="1" applyFill="1" applyBorder="1" applyAlignment="1" applyProtection="1">
      <alignment horizontal="center" vertical="center"/>
    </xf>
    <xf numFmtId="0" fontId="16" fillId="4" borderId="7" xfId="0" applyFont="1" applyFill="1" applyBorder="1" applyAlignment="1" applyProtection="1">
      <alignment horizontal="center" vertical="center"/>
    </xf>
    <xf numFmtId="0" fontId="16" fillId="2" borderId="9" xfId="0" applyFont="1" applyFill="1" applyBorder="1" applyAlignment="1" applyProtection="1">
      <alignment horizontal="left" vertical="center"/>
    </xf>
    <xf numFmtId="0" fontId="16" fillId="0" borderId="0" xfId="0" applyFont="1"/>
    <xf numFmtId="0" fontId="16" fillId="0" borderId="0" xfId="0" applyFont="1" applyBorder="1"/>
    <xf numFmtId="0" fontId="16" fillId="0" borderId="0" xfId="0" applyFont="1" applyFill="1" applyBorder="1" applyAlignment="1">
      <alignment horizontal="left" vertical="center"/>
    </xf>
    <xf numFmtId="0" fontId="18" fillId="2" borderId="9" xfId="0" applyFont="1" applyFill="1" applyBorder="1" applyProtection="1"/>
    <xf numFmtId="0" fontId="16" fillId="0" borderId="0" xfId="0" applyFont="1" applyFill="1" applyBorder="1" applyAlignment="1" applyProtection="1">
      <alignment vertical="center"/>
    </xf>
    <xf numFmtId="0" fontId="16" fillId="4" borderId="10" xfId="0" applyFont="1" applyFill="1" applyBorder="1" applyAlignment="1" applyProtection="1">
      <alignment horizontal="center" vertical="center"/>
    </xf>
    <xf numFmtId="164" fontId="17" fillId="0" borderId="0" xfId="0" applyNumberFormat="1" applyFont="1" applyProtection="1"/>
    <xf numFmtId="0" fontId="21" fillId="3" borderId="8" xfId="0" applyFont="1" applyFill="1" applyBorder="1" applyAlignment="1" applyProtection="1">
      <alignment horizontal="left" vertical="center"/>
    </xf>
    <xf numFmtId="0" fontId="22" fillId="0" borderId="0" xfId="0" applyNumberFormat="1" applyFont="1" applyFill="1" applyBorder="1" applyAlignment="1" applyProtection="1">
      <alignment horizontal="center" vertical="center" wrapText="1"/>
    </xf>
    <xf numFmtId="0" fontId="20" fillId="0" borderId="0" xfId="0" applyFont="1" applyBorder="1" applyAlignment="1" applyProtection="1">
      <alignment horizontal="left" vertical="center"/>
    </xf>
    <xf numFmtId="165" fontId="21" fillId="0" borderId="0" xfId="0" applyNumberFormat="1" applyFont="1" applyFill="1" applyBorder="1" applyAlignment="1" applyProtection="1">
      <alignment horizontal="left" vertical="center"/>
    </xf>
    <xf numFmtId="0" fontId="16" fillId="0" borderId="0" xfId="0" applyFont="1" applyBorder="1" applyAlignment="1" applyProtection="1">
      <alignment horizontal="left" vertical="center"/>
    </xf>
    <xf numFmtId="14" fontId="17" fillId="0" borderId="0" xfId="0" applyNumberFormat="1" applyFont="1" applyProtection="1"/>
    <xf numFmtId="166" fontId="17" fillId="0" borderId="0" xfId="0" applyNumberFormat="1" applyFont="1" applyProtection="1"/>
    <xf numFmtId="0" fontId="21" fillId="6" borderId="8" xfId="0" applyFont="1" applyFill="1" applyBorder="1" applyAlignment="1" applyProtection="1">
      <alignment horizontal="left" vertical="center"/>
    </xf>
    <xf numFmtId="0" fontId="21" fillId="6" borderId="8" xfId="0" applyFont="1" applyFill="1" applyBorder="1" applyAlignment="1" applyProtection="1">
      <alignment horizontal="center" vertical="center"/>
    </xf>
    <xf numFmtId="0" fontId="22" fillId="0" borderId="0" xfId="0" applyFont="1" applyFill="1" applyBorder="1" applyAlignment="1" applyProtection="1">
      <alignment horizontal="center" vertical="center"/>
    </xf>
    <xf numFmtId="0" fontId="22" fillId="0" borderId="0" xfId="0" applyFont="1" applyFill="1" applyBorder="1" applyAlignment="1" applyProtection="1">
      <alignment horizontal="center" vertical="center" wrapText="1"/>
    </xf>
    <xf numFmtId="0" fontId="17" fillId="0" borderId="0" xfId="0" applyFont="1" applyProtection="1">
      <protection locked="0" hidden="1"/>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3" fillId="0" borderId="0" xfId="0" applyFont="1" applyAlignment="1">
      <alignment horizontal="center"/>
    </xf>
    <xf numFmtId="0" fontId="23" fillId="0" borderId="11" xfId="0" applyFont="1" applyBorder="1" applyAlignment="1">
      <alignment horizontal="left" wrapText="1"/>
    </xf>
    <xf numFmtId="0" fontId="22" fillId="3" borderId="11" xfId="0" applyFont="1" applyFill="1" applyBorder="1" applyAlignment="1">
      <alignment horizontal="left" vertical="center"/>
    </xf>
    <xf numFmtId="0" fontId="16" fillId="0" borderId="11" xfId="0" applyFont="1" applyBorder="1" applyAlignment="1">
      <alignment horizontal="left" vertical="center"/>
    </xf>
    <xf numFmtId="0" fontId="23" fillId="0" borderId="11" xfId="0" applyFont="1" applyBorder="1" applyAlignment="1">
      <alignment horizontal="left"/>
    </xf>
    <xf numFmtId="0" fontId="23" fillId="0" borderId="11" xfId="0" applyFont="1" applyFill="1" applyBorder="1" applyAlignment="1">
      <alignment wrapText="1"/>
    </xf>
    <xf numFmtId="0" fontId="16" fillId="0" borderId="11" xfId="0" applyFont="1" applyFill="1" applyBorder="1" applyAlignment="1">
      <alignment horizontal="left" vertical="center"/>
    </xf>
    <xf numFmtId="0" fontId="23" fillId="0" borderId="11" xfId="0" applyFont="1" applyFill="1" applyBorder="1" applyAlignment="1">
      <alignment horizontal="left"/>
    </xf>
    <xf numFmtId="0" fontId="23" fillId="0" borderId="11" xfId="0" applyFont="1" applyFill="1" applyBorder="1" applyAlignment="1">
      <alignment horizontal="left" wrapText="1"/>
    </xf>
    <xf numFmtId="0" fontId="16" fillId="0" borderId="12" xfId="0" applyFont="1" applyBorder="1"/>
    <xf numFmtId="0" fontId="23" fillId="0" borderId="12" xfId="0" applyFont="1" applyFill="1" applyBorder="1" applyAlignment="1">
      <alignment horizontal="left"/>
    </xf>
    <xf numFmtId="0" fontId="22" fillId="3" borderId="12" xfId="0" applyFont="1" applyFill="1" applyBorder="1" applyAlignment="1">
      <alignment horizontal="left" vertical="center"/>
    </xf>
    <xf numFmtId="0" fontId="22" fillId="7" borderId="12" xfId="0" applyFont="1" applyFill="1" applyBorder="1" applyAlignment="1">
      <alignment horizontal="left" vertical="center"/>
    </xf>
    <xf numFmtId="0" fontId="24" fillId="0" borderId="12" xfId="0" applyFont="1" applyBorder="1" applyAlignment="1">
      <alignment horizontal="left" wrapText="1"/>
    </xf>
    <xf numFmtId="0" fontId="16" fillId="0" borderId="11" xfId="0" applyFont="1" applyBorder="1"/>
    <xf numFmtId="0" fontId="24" fillId="0" borderId="0" xfId="0" applyFont="1" applyBorder="1" applyAlignment="1">
      <alignment horizontal="left" wrapText="1"/>
    </xf>
    <xf numFmtId="0" fontId="24" fillId="0" borderId="0" xfId="0" applyFont="1" applyFill="1" applyBorder="1" applyAlignment="1">
      <alignment wrapText="1"/>
    </xf>
    <xf numFmtId="0" fontId="22" fillId="3" borderId="13" xfId="0" applyFont="1" applyFill="1" applyBorder="1" applyAlignment="1">
      <alignment horizontal="left" vertical="center"/>
    </xf>
    <xf numFmtId="0" fontId="22" fillId="3" borderId="14" xfId="0" applyFont="1" applyFill="1" applyBorder="1" applyAlignment="1">
      <alignment horizontal="left" vertical="center"/>
    </xf>
    <xf numFmtId="0" fontId="16" fillId="0" borderId="14" xfId="0" applyFont="1" applyBorder="1"/>
    <xf numFmtId="0" fontId="25" fillId="2" borderId="0" xfId="0" applyFont="1" applyFill="1" applyBorder="1" applyAlignment="1" applyProtection="1">
      <alignment horizontal="center" vertical="center"/>
    </xf>
    <xf numFmtId="0" fontId="0" fillId="0" borderId="0" xfId="0" applyBorder="1"/>
    <xf numFmtId="0" fontId="16" fillId="8" borderId="9" xfId="0" applyFont="1" applyFill="1" applyBorder="1" applyAlignment="1" applyProtection="1">
      <alignment vertical="top" wrapText="1"/>
      <protection locked="0"/>
    </xf>
    <xf numFmtId="0" fontId="16" fillId="8" borderId="0" xfId="0" applyFont="1" applyFill="1" applyBorder="1" applyAlignment="1" applyProtection="1">
      <alignment vertical="top" wrapText="1"/>
      <protection locked="0"/>
    </xf>
    <xf numFmtId="0" fontId="16" fillId="8" borderId="15" xfId="0" applyFont="1" applyFill="1" applyBorder="1" applyAlignment="1" applyProtection="1">
      <alignment vertical="top" wrapText="1"/>
      <protection locked="0"/>
    </xf>
    <xf numFmtId="0" fontId="23" fillId="5" borderId="0" xfId="0" applyFont="1" applyFill="1" applyBorder="1" applyAlignment="1" applyProtection="1">
      <alignment vertical="center"/>
    </xf>
    <xf numFmtId="0" fontId="25" fillId="2" borderId="0" xfId="0" applyFont="1" applyFill="1" applyBorder="1" applyAlignment="1" applyProtection="1">
      <alignment vertical="center"/>
    </xf>
    <xf numFmtId="166" fontId="26" fillId="0" borderId="0" xfId="0" applyNumberFormat="1" applyFont="1" applyFill="1" applyAlignment="1" applyProtection="1">
      <alignment horizontal="center" vertical="center"/>
    </xf>
    <xf numFmtId="0" fontId="19" fillId="0" borderId="0" xfId="0" applyFont="1" applyFill="1" applyProtection="1"/>
    <xf numFmtId="0" fontId="17" fillId="4" borderId="0" xfId="0" applyFont="1" applyFill="1" applyAlignment="1" applyProtection="1">
      <alignment horizontal="center" vertical="center"/>
      <protection locked="0"/>
    </xf>
    <xf numFmtId="0" fontId="19" fillId="0" borderId="0" xfId="0" applyFont="1" applyProtection="1">
      <protection locked="0"/>
    </xf>
    <xf numFmtId="14" fontId="19" fillId="4" borderId="0" xfId="0" applyNumberFormat="1" applyFont="1" applyFill="1" applyAlignment="1" applyProtection="1">
      <alignment horizontal="center" vertical="center"/>
      <protection locked="0"/>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21" fillId="6" borderId="16" xfId="0" applyFont="1" applyFill="1" applyBorder="1" applyAlignment="1" applyProtection="1">
      <alignment horizontal="center" vertical="center"/>
    </xf>
    <xf numFmtId="0" fontId="21" fillId="7" borderId="17" xfId="0" applyFont="1" applyFill="1" applyBorder="1" applyAlignment="1" applyProtection="1">
      <alignment vertical="center" shrinkToFit="1"/>
    </xf>
    <xf numFmtId="0" fontId="21" fillId="7" borderId="3" xfId="0" applyFont="1" applyFill="1" applyBorder="1" applyAlignment="1" applyProtection="1">
      <alignment vertical="center" shrinkToFit="1"/>
    </xf>
    <xf numFmtId="0" fontId="17" fillId="0" borderId="0" xfId="0" applyFont="1" applyFill="1" applyAlignment="1" applyProtection="1">
      <alignment horizontal="center" vertical="center"/>
    </xf>
    <xf numFmtId="168" fontId="19" fillId="0" borderId="0" xfId="0" applyNumberFormat="1" applyFont="1" applyProtection="1"/>
    <xf numFmtId="0" fontId="0" fillId="0" borderId="0" xfId="0" applyBorder="1" applyProtection="1"/>
    <xf numFmtId="0" fontId="16" fillId="8" borderId="15" xfId="0" applyFont="1" applyFill="1" applyBorder="1" applyAlignment="1" applyProtection="1">
      <alignment vertical="top" wrapText="1"/>
    </xf>
    <xf numFmtId="0" fontId="21" fillId="7" borderId="10" xfId="0" applyFont="1" applyFill="1" applyBorder="1" applyAlignment="1" applyProtection="1">
      <alignment vertical="center"/>
    </xf>
    <xf numFmtId="0" fontId="16" fillId="4" borderId="3" xfId="0" applyFont="1" applyFill="1" applyBorder="1" applyAlignment="1" applyProtection="1">
      <alignment horizontal="left" vertical="center"/>
    </xf>
    <xf numFmtId="0" fontId="27" fillId="4" borderId="3"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shrinkToFit="1"/>
    </xf>
    <xf numFmtId="0" fontId="21" fillId="3" borderId="8" xfId="0" applyFont="1" applyFill="1" applyBorder="1" applyAlignment="1" applyProtection="1">
      <alignment horizontal="left" vertical="center" shrinkToFit="1"/>
    </xf>
    <xf numFmtId="165" fontId="16" fillId="4" borderId="6" xfId="0" applyNumberFormat="1" applyFont="1" applyFill="1" applyBorder="1" applyAlignment="1" applyProtection="1">
      <alignment horizontal="left" vertical="center" shrinkToFit="1"/>
    </xf>
    <xf numFmtId="165" fontId="16" fillId="4" borderId="3" xfId="0" applyNumberFormat="1" applyFont="1" applyFill="1" applyBorder="1" applyAlignment="1" applyProtection="1">
      <alignment horizontal="left" vertical="center" shrinkToFit="1"/>
    </xf>
    <xf numFmtId="165" fontId="16" fillId="4" borderId="10" xfId="0" applyNumberFormat="1" applyFont="1" applyFill="1" applyBorder="1" applyAlignment="1" applyProtection="1">
      <alignment horizontal="left" vertical="center" shrinkToFit="1"/>
    </xf>
    <xf numFmtId="165" fontId="21" fillId="3" borderId="8"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5" borderId="0" xfId="0" applyFont="1" applyFill="1" applyBorder="1" applyAlignment="1" applyProtection="1">
      <alignment horizontal="left" vertical="center" shrinkToFit="1"/>
    </xf>
    <xf numFmtId="0" fontId="27" fillId="4" borderId="18" xfId="0" applyFont="1" applyFill="1" applyBorder="1" applyAlignment="1" applyProtection="1">
      <alignment horizontal="center" vertical="center"/>
      <protection locked="0"/>
    </xf>
    <xf numFmtId="0" fontId="27" fillId="4" borderId="18" xfId="0" applyNumberFormat="1" applyFont="1" applyFill="1" applyBorder="1" applyAlignment="1" applyProtection="1">
      <alignment horizontal="center" vertical="center"/>
      <protection locked="0"/>
    </xf>
    <xf numFmtId="0" fontId="21" fillId="6" borderId="17" xfId="0" applyFont="1" applyFill="1" applyBorder="1" applyAlignment="1" applyProtection="1">
      <alignment horizontal="left" vertical="center" shrinkToFit="1"/>
    </xf>
    <xf numFmtId="0" fontId="17" fillId="0" borderId="0" xfId="0" applyFont="1" applyFill="1" applyAlignment="1" applyProtection="1">
      <alignment horizontal="center"/>
    </xf>
    <xf numFmtId="0" fontId="17" fillId="0" borderId="0" xfId="0" applyFont="1" applyFill="1" applyAlignment="1" applyProtection="1">
      <alignment horizontal="center"/>
      <protection locked="0"/>
    </xf>
    <xf numFmtId="0" fontId="21" fillId="7" borderId="0" xfId="0" applyFont="1" applyFill="1" applyAlignment="1" applyProtection="1">
      <alignment horizontal="left" vertical="center"/>
    </xf>
    <xf numFmtId="0" fontId="28" fillId="0" borderId="0" xfId="0" applyFont="1" applyFill="1" applyBorder="1" applyAlignment="1">
      <alignment horizontal="left" vertical="center" shrinkToFit="1"/>
    </xf>
    <xf numFmtId="0" fontId="29" fillId="0" borderId="0" xfId="0" applyFont="1" applyFill="1" applyBorder="1" applyAlignment="1">
      <alignment horizontal="left" vertical="center" shrinkToFit="1"/>
    </xf>
    <xf numFmtId="0" fontId="27" fillId="4" borderId="19" xfId="0" applyFont="1" applyFill="1" applyBorder="1" applyAlignment="1" applyProtection="1">
      <alignment horizontal="center" vertical="center"/>
      <protection locked="0"/>
    </xf>
    <xf numFmtId="0" fontId="8" fillId="4" borderId="20" xfId="0" applyFont="1" applyFill="1" applyBorder="1" applyAlignment="1" applyProtection="1">
      <alignment horizontal="center" vertical="center"/>
    </xf>
    <xf numFmtId="0" fontId="8" fillId="4" borderId="18" xfId="0" applyFont="1" applyFill="1" applyBorder="1" applyAlignment="1" applyProtection="1">
      <alignment horizontal="center" vertical="center"/>
    </xf>
    <xf numFmtId="0" fontId="22" fillId="3" borderId="11" xfId="0" applyFont="1" applyFill="1" applyBorder="1" applyAlignment="1">
      <alignment horizontal="left" vertical="center" wrapText="1"/>
    </xf>
    <xf numFmtId="0" fontId="20" fillId="2" borderId="0" xfId="0" applyFont="1" applyFill="1" applyBorder="1" applyAlignment="1" applyProtection="1">
      <alignment horizontal="right" vertical="center"/>
    </xf>
    <xf numFmtId="0" fontId="21" fillId="0" borderId="7" xfId="0" applyFont="1" applyFill="1" applyBorder="1" applyAlignment="1" applyProtection="1">
      <alignment vertical="center"/>
    </xf>
    <xf numFmtId="0" fontId="21" fillId="9" borderId="10" xfId="0" applyFont="1" applyFill="1" applyBorder="1" applyAlignment="1" applyProtection="1">
      <alignment vertical="center" shrinkToFit="1"/>
      <protection locked="0"/>
    </xf>
    <xf numFmtId="0" fontId="10" fillId="6" borderId="2" xfId="0" applyFont="1" applyFill="1" applyBorder="1" applyAlignment="1" applyProtection="1">
      <alignment horizontal="center" vertical="center" wrapText="1"/>
    </xf>
    <xf numFmtId="0" fontId="10" fillId="6" borderId="4" xfId="0" applyFont="1" applyFill="1" applyBorder="1" applyAlignment="1" applyProtection="1">
      <alignment horizontal="center" vertical="center" wrapText="1"/>
    </xf>
    <xf numFmtId="0" fontId="16" fillId="4" borderId="10" xfId="0" applyFont="1" applyFill="1" applyBorder="1" applyAlignment="1" applyProtection="1">
      <alignment horizontal="left" vertical="center"/>
    </xf>
    <xf numFmtId="0" fontId="20" fillId="0" borderId="15" xfId="0" applyFont="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0" xfId="0" applyFill="1" applyProtection="1">
      <protection locked="0"/>
    </xf>
    <xf numFmtId="165" fontId="16" fillId="4" borderId="7" xfId="0" applyNumberFormat="1" applyFont="1" applyFill="1" applyBorder="1" applyAlignment="1" applyProtection="1">
      <alignment horizontal="left" vertical="center" shrinkToFit="1"/>
    </xf>
    <xf numFmtId="0" fontId="16" fillId="4" borderId="0" xfId="0" applyFont="1" applyFill="1" applyBorder="1" applyAlignment="1" applyProtection="1">
      <alignment horizontal="center" vertical="center"/>
    </xf>
    <xf numFmtId="0" fontId="21" fillId="6" borderId="8" xfId="0" applyFont="1" applyFill="1" applyBorder="1" applyAlignment="1" applyProtection="1">
      <alignment horizontal="left" vertical="center" indent="2" shrinkToFit="1"/>
    </xf>
    <xf numFmtId="0" fontId="21" fillId="6" borderId="8" xfId="0" applyFont="1" applyFill="1" applyBorder="1" applyAlignment="1" applyProtection="1">
      <alignment horizontal="left" vertical="center" indent="3" shrinkToFit="1"/>
    </xf>
    <xf numFmtId="165" fontId="21" fillId="0" borderId="0" xfId="0" applyNumberFormat="1" applyFont="1" applyFill="1" applyBorder="1" applyAlignment="1" applyProtection="1">
      <alignment horizontal="left" vertical="center" shrinkToFit="1"/>
    </xf>
    <xf numFmtId="0" fontId="21" fillId="0" borderId="0" xfId="0" applyFont="1" applyBorder="1" applyAlignment="1" applyProtection="1">
      <alignment horizontal="left" vertical="center" shrinkToFit="1"/>
    </xf>
    <xf numFmtId="0" fontId="24" fillId="6" borderId="8" xfId="0" applyFont="1" applyFill="1" applyBorder="1" applyAlignment="1" applyProtection="1">
      <alignment horizontal="left" vertical="center" wrapText="1" shrinkToFit="1"/>
    </xf>
    <xf numFmtId="0" fontId="24" fillId="6" borderId="8" xfId="0" applyFont="1" applyFill="1" applyBorder="1" applyAlignment="1" applyProtection="1">
      <alignment horizontal="left" vertical="center" wrapText="1" indent="2" shrinkToFit="1"/>
    </xf>
    <xf numFmtId="0" fontId="24" fillId="6" borderId="8" xfId="0" applyFont="1" applyFill="1" applyBorder="1" applyAlignment="1" applyProtection="1">
      <alignment horizontal="left" vertical="center" wrapText="1" indent="1" shrinkToFit="1"/>
    </xf>
    <xf numFmtId="165" fontId="21" fillId="6" borderId="8" xfId="0" applyNumberFormat="1" applyFont="1" applyFill="1" applyBorder="1" applyAlignment="1" applyProtection="1">
      <alignment horizontal="left" vertical="center" shrinkToFit="1"/>
      <protection locked="0"/>
    </xf>
    <xf numFmtId="165" fontId="21" fillId="6" borderId="15" xfId="0" applyNumberFormat="1" applyFont="1" applyFill="1" applyBorder="1" applyAlignment="1" applyProtection="1">
      <alignment horizontal="left" vertical="center" shrinkToFit="1"/>
    </xf>
    <xf numFmtId="165" fontId="21" fillId="6" borderId="8" xfId="0" applyNumberFormat="1" applyFont="1" applyFill="1" applyBorder="1" applyAlignment="1" applyProtection="1">
      <alignment horizontal="left" vertical="center" shrinkToFit="1"/>
    </xf>
    <xf numFmtId="0" fontId="22" fillId="9" borderId="21" xfId="0" applyFont="1" applyFill="1" applyBorder="1" applyAlignment="1" applyProtection="1">
      <alignment horizontal="center" vertical="center" shrinkToFit="1"/>
      <protection locked="0"/>
    </xf>
    <xf numFmtId="0" fontId="22" fillId="9" borderId="5" xfId="0" applyFont="1" applyFill="1" applyBorder="1" applyAlignment="1" applyProtection="1">
      <alignment horizontal="center" vertical="center" shrinkToFit="1"/>
      <protection locked="0"/>
    </xf>
    <xf numFmtId="0" fontId="22" fillId="9" borderId="1" xfId="0" applyFont="1" applyFill="1" applyBorder="1" applyAlignment="1" applyProtection="1">
      <alignment horizontal="center" vertical="center" shrinkToFit="1"/>
      <protection locked="0"/>
    </xf>
    <xf numFmtId="0" fontId="16" fillId="4" borderId="3"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4" borderId="6" xfId="0" applyFont="1" applyFill="1" applyBorder="1" applyAlignment="1" applyProtection="1">
      <alignment horizontal="left" vertical="center"/>
    </xf>
    <xf numFmtId="0" fontId="4" fillId="7" borderId="22" xfId="0" applyFont="1" applyFill="1" applyBorder="1" applyAlignment="1" applyProtection="1">
      <alignment horizontal="center" vertical="center" shrinkToFit="1"/>
    </xf>
    <xf numFmtId="0" fontId="4" fillId="6" borderId="22" xfId="0" applyFont="1" applyFill="1" applyBorder="1" applyAlignment="1" applyProtection="1">
      <alignment horizontal="center" vertical="center" shrinkToFit="1"/>
    </xf>
    <xf numFmtId="0" fontId="4" fillId="6" borderId="2" xfId="0" applyFont="1" applyFill="1" applyBorder="1" applyAlignment="1" applyProtection="1">
      <alignment horizontal="center" vertical="center" shrinkToFit="1"/>
    </xf>
    <xf numFmtId="0" fontId="4" fillId="7" borderId="2" xfId="0" applyFont="1" applyFill="1" applyBorder="1" applyAlignment="1" applyProtection="1">
      <alignment horizontal="center" vertical="center" shrinkToFit="1"/>
    </xf>
    <xf numFmtId="0" fontId="3" fillId="6" borderId="2" xfId="0" applyFont="1" applyFill="1" applyBorder="1" applyAlignment="1" applyProtection="1">
      <alignment horizontal="center" vertical="center" shrinkToFit="1"/>
    </xf>
    <xf numFmtId="0" fontId="10" fillId="6" borderId="22" xfId="0" applyFont="1" applyFill="1" applyBorder="1" applyAlignment="1" applyProtection="1">
      <alignment horizontal="center" vertical="center" wrapText="1"/>
    </xf>
    <xf numFmtId="0" fontId="4" fillId="6" borderId="4" xfId="0" applyFont="1" applyFill="1" applyBorder="1" applyAlignment="1" applyProtection="1">
      <alignment horizontal="center" vertical="center" shrinkToFit="1"/>
    </xf>
    <xf numFmtId="0" fontId="21" fillId="0" borderId="9" xfId="0" applyFont="1" applyFill="1" applyBorder="1" applyAlignment="1" applyProtection="1">
      <alignment horizontal="center" vertical="center" wrapText="1"/>
    </xf>
    <xf numFmtId="0" fontId="17" fillId="0" borderId="0" xfId="0" applyFont="1" applyBorder="1" applyProtection="1"/>
    <xf numFmtId="0" fontId="20" fillId="2" borderId="0" xfId="0" applyFont="1" applyFill="1" applyBorder="1" applyAlignment="1" applyProtection="1">
      <alignment horizontal="center"/>
    </xf>
    <xf numFmtId="0" fontId="16" fillId="4" borderId="23" xfId="0" applyFont="1" applyFill="1" applyBorder="1" applyAlignment="1" applyProtection="1">
      <alignment horizontal="center" vertical="center"/>
    </xf>
    <xf numFmtId="0" fontId="16" fillId="4" borderId="19" xfId="0" applyFont="1" applyFill="1" applyBorder="1" applyAlignment="1" applyProtection="1">
      <alignment horizontal="center" vertical="center"/>
    </xf>
    <xf numFmtId="0" fontId="0" fillId="4" borderId="6" xfId="0" applyFill="1" applyBorder="1" applyAlignment="1" applyProtection="1">
      <alignment horizontal="left" vertical="center"/>
    </xf>
    <xf numFmtId="0" fontId="16" fillId="4" borderId="24" xfId="0" applyFont="1" applyFill="1" applyBorder="1" applyAlignment="1" applyProtection="1">
      <alignment horizontal="center" vertical="center"/>
    </xf>
    <xf numFmtId="0" fontId="16" fillId="4" borderId="20" xfId="0" applyFont="1" applyFill="1" applyBorder="1" applyAlignment="1" applyProtection="1">
      <alignment horizontal="center" vertical="center"/>
    </xf>
    <xf numFmtId="0" fontId="16" fillId="3" borderId="6" xfId="0" applyFont="1" applyFill="1" applyBorder="1" applyAlignment="1" applyProtection="1">
      <alignment horizontal="left" vertical="center"/>
    </xf>
    <xf numFmtId="0" fontId="16" fillId="3" borderId="6" xfId="0" applyFont="1" applyFill="1" applyBorder="1" applyAlignment="1" applyProtection="1">
      <alignment horizontal="center" vertical="center"/>
    </xf>
    <xf numFmtId="0" fontId="8" fillId="3" borderId="20" xfId="0" applyFont="1" applyFill="1" applyBorder="1" applyAlignment="1" applyProtection="1">
      <alignment horizontal="center" vertical="center"/>
    </xf>
    <xf numFmtId="165" fontId="16" fillId="3" borderId="6" xfId="0" applyNumberFormat="1" applyFont="1" applyFill="1" applyBorder="1" applyAlignment="1" applyProtection="1">
      <alignment horizontal="left" vertical="center"/>
    </xf>
    <xf numFmtId="165" fontId="16" fillId="3" borderId="6" xfId="0" applyNumberFormat="1" applyFont="1" applyFill="1" applyBorder="1" applyAlignment="1" applyProtection="1">
      <alignment horizontal="left" vertical="center" shrinkToFit="1"/>
    </xf>
    <xf numFmtId="0" fontId="27" fillId="3" borderId="3" xfId="0" applyFont="1" applyFill="1" applyBorder="1" applyAlignment="1" applyProtection="1">
      <alignment horizontal="left" vertical="center"/>
    </xf>
    <xf numFmtId="0" fontId="16" fillId="3" borderId="3" xfId="0" applyFont="1" applyFill="1" applyBorder="1" applyAlignment="1" applyProtection="1">
      <alignment horizontal="left" vertical="center"/>
    </xf>
    <xf numFmtId="0" fontId="16" fillId="3" borderId="3" xfId="0" applyFont="1" applyFill="1" applyBorder="1" applyAlignment="1" applyProtection="1">
      <alignment horizontal="center" vertical="center"/>
    </xf>
    <xf numFmtId="0" fontId="27" fillId="3" borderId="18" xfId="0" applyFont="1" applyFill="1" applyBorder="1" applyAlignment="1" applyProtection="1">
      <alignment horizontal="center" vertical="center"/>
      <protection locked="0"/>
    </xf>
    <xf numFmtId="165" fontId="16" fillId="3" borderId="3" xfId="0" applyNumberFormat="1" applyFont="1" applyFill="1" applyBorder="1" applyAlignment="1" applyProtection="1">
      <alignment horizontal="left" vertical="center"/>
    </xf>
    <xf numFmtId="0" fontId="16" fillId="3" borderId="18" xfId="0" applyFont="1" applyFill="1" applyBorder="1" applyAlignment="1" applyProtection="1">
      <alignment horizontal="center" vertical="center"/>
    </xf>
    <xf numFmtId="0" fontId="8" fillId="3" borderId="18" xfId="0" applyFont="1" applyFill="1" applyBorder="1" applyAlignment="1" applyProtection="1">
      <alignment horizontal="center" vertical="center"/>
    </xf>
    <xf numFmtId="0" fontId="16" fillId="3" borderId="7" xfId="0" applyFont="1" applyFill="1" applyBorder="1" applyAlignment="1" applyProtection="1">
      <alignment horizontal="left" vertical="center"/>
    </xf>
    <xf numFmtId="0" fontId="16" fillId="3" borderId="7" xfId="0" applyFont="1" applyFill="1" applyBorder="1" applyAlignment="1" applyProtection="1">
      <alignment horizontal="center" vertical="center"/>
    </xf>
    <xf numFmtId="0" fontId="8" fillId="3" borderId="19" xfId="0" applyFont="1" applyFill="1" applyBorder="1" applyAlignment="1" applyProtection="1">
      <alignment horizontal="center" vertical="center"/>
    </xf>
    <xf numFmtId="165" fontId="16" fillId="3" borderId="7" xfId="0" applyNumberFormat="1" applyFont="1" applyFill="1" applyBorder="1" applyAlignment="1" applyProtection="1">
      <alignment horizontal="left" vertical="center"/>
    </xf>
    <xf numFmtId="165" fontId="16" fillId="3" borderId="3" xfId="0" applyNumberFormat="1" applyFont="1" applyFill="1" applyBorder="1" applyAlignment="1" applyProtection="1">
      <alignment horizontal="left" vertical="center" shrinkToFit="1"/>
    </xf>
    <xf numFmtId="0" fontId="0" fillId="3" borderId="3" xfId="0" applyFill="1" applyBorder="1" applyAlignment="1" applyProtection="1">
      <alignment horizontal="left" vertical="center"/>
    </xf>
    <xf numFmtId="0" fontId="16" fillId="3" borderId="25" xfId="0" applyFont="1" applyFill="1" applyBorder="1" applyAlignment="1" applyProtection="1">
      <alignment horizontal="center" vertical="center"/>
    </xf>
    <xf numFmtId="0" fontId="16" fillId="3" borderId="15" xfId="0" applyFont="1" applyFill="1" applyBorder="1" applyAlignment="1" applyProtection="1">
      <alignment horizontal="left" vertical="center"/>
    </xf>
    <xf numFmtId="0" fontId="0" fillId="3" borderId="15" xfId="0" applyFill="1" applyBorder="1" applyAlignment="1" applyProtection="1">
      <alignment horizontal="left" vertical="center"/>
    </xf>
    <xf numFmtId="0" fontId="16" fillId="3" borderId="13" xfId="0" applyFont="1" applyFill="1" applyBorder="1" applyAlignment="1" applyProtection="1">
      <alignment horizontal="center" vertical="center"/>
    </xf>
    <xf numFmtId="0" fontId="16" fillId="3" borderId="14" xfId="0" applyFont="1" applyFill="1" applyBorder="1" applyAlignment="1" applyProtection="1">
      <alignment horizontal="center" vertical="center"/>
    </xf>
    <xf numFmtId="165" fontId="16" fillId="3" borderId="15" xfId="0" applyNumberFormat="1" applyFont="1" applyFill="1" applyBorder="1" applyAlignment="1" applyProtection="1">
      <alignment horizontal="left" vertical="center"/>
    </xf>
    <xf numFmtId="165" fontId="16" fillId="3" borderId="15" xfId="0" applyNumberFormat="1" applyFont="1" applyFill="1" applyBorder="1" applyAlignment="1" applyProtection="1">
      <alignment horizontal="left" vertical="center" shrinkToFit="1"/>
    </xf>
    <xf numFmtId="0" fontId="16" fillId="8" borderId="0" xfId="0" applyFont="1" applyFill="1" applyBorder="1" applyAlignment="1" applyProtection="1">
      <alignment vertical="top" wrapText="1"/>
    </xf>
    <xf numFmtId="14" fontId="19" fillId="0" borderId="0" xfId="0" applyNumberFormat="1" applyFont="1" applyFill="1" applyAlignment="1" applyProtection="1">
      <alignment horizontal="center" vertical="center"/>
      <protection locked="0"/>
    </xf>
    <xf numFmtId="0" fontId="18" fillId="4" borderId="9" xfId="0" applyFont="1" applyFill="1" applyBorder="1" applyProtection="1"/>
    <xf numFmtId="0" fontId="18" fillId="4" borderId="0" xfId="0" applyFont="1" applyFill="1" applyBorder="1" applyProtection="1"/>
    <xf numFmtId="0" fontId="17" fillId="4" borderId="0" xfId="0" applyFont="1" applyFill="1" applyBorder="1" applyProtection="1"/>
    <xf numFmtId="0" fontId="18" fillId="4" borderId="15" xfId="0" applyFont="1" applyFill="1" applyBorder="1" applyProtection="1"/>
    <xf numFmtId="0" fontId="17" fillId="4" borderId="15" xfId="0" applyFont="1" applyFill="1" applyBorder="1" applyProtection="1"/>
    <xf numFmtId="0" fontId="25" fillId="2" borderId="0" xfId="0" applyFont="1" applyFill="1" applyBorder="1" applyAlignment="1" applyProtection="1">
      <alignment vertical="center"/>
    </xf>
    <xf numFmtId="0" fontId="0" fillId="0" borderId="0" xfId="0" applyAlignment="1"/>
    <xf numFmtId="0" fontId="0" fillId="0" borderId="15" xfId="0" applyBorder="1" applyAlignment="1"/>
    <xf numFmtId="0" fontId="21" fillId="9" borderId="17" xfId="0" applyFont="1" applyFill="1" applyBorder="1" applyAlignment="1" applyProtection="1">
      <alignment horizontal="left" vertical="center" shrinkToFit="1"/>
      <protection locked="0"/>
    </xf>
    <xf numFmtId="49" fontId="22" fillId="9" borderId="17" xfId="0" applyNumberFormat="1" applyFont="1" applyFill="1" applyBorder="1" applyAlignment="1" applyProtection="1">
      <alignment horizontal="left" vertical="center" shrinkToFit="1"/>
      <protection locked="0"/>
    </xf>
    <xf numFmtId="0" fontId="0" fillId="0" borderId="26" xfId="0" applyBorder="1" applyAlignment="1">
      <alignment horizontal="left" vertical="center" shrinkToFit="1"/>
    </xf>
    <xf numFmtId="0" fontId="20" fillId="4" borderId="26" xfId="0" applyFont="1" applyFill="1" applyBorder="1" applyAlignment="1" applyProtection="1">
      <alignment horizontal="left" vertical="center" shrinkToFit="1"/>
      <protection locked="0"/>
    </xf>
    <xf numFmtId="0" fontId="28" fillId="10" borderId="0" xfId="0" applyFont="1" applyFill="1" applyBorder="1" applyAlignment="1">
      <alignment vertical="center" shrinkToFit="1"/>
    </xf>
    <xf numFmtId="0" fontId="21" fillId="9" borderId="0" xfId="0" applyFont="1" applyFill="1" applyBorder="1" applyAlignment="1" applyProtection="1">
      <alignment horizontal="left" vertical="center" shrinkToFit="1"/>
      <protection locked="0"/>
    </xf>
    <xf numFmtId="165" fontId="21" fillId="9" borderId="3" xfId="0" applyNumberFormat="1" applyFont="1" applyFill="1" applyBorder="1" applyAlignment="1" applyProtection="1">
      <alignment horizontal="right" vertical="center" shrinkToFit="1"/>
    </xf>
    <xf numFmtId="0" fontId="21" fillId="0" borderId="3" xfId="0" applyFont="1" applyFill="1" applyBorder="1" applyAlignment="1" applyProtection="1">
      <alignment horizontal="right" vertical="center" shrinkToFit="1"/>
    </xf>
    <xf numFmtId="0" fontId="16" fillId="0" borderId="15" xfId="0" applyFont="1" applyFill="1" applyBorder="1" applyAlignment="1" applyProtection="1">
      <alignment vertical="top" wrapText="1"/>
    </xf>
    <xf numFmtId="0" fontId="27" fillId="4" borderId="7" xfId="0" applyFont="1" applyFill="1" applyBorder="1" applyAlignment="1" applyProtection="1">
      <alignment horizontal="left" vertical="center"/>
    </xf>
    <xf numFmtId="0" fontId="27" fillId="4" borderId="6" xfId="0" applyFont="1" applyFill="1" applyBorder="1" applyAlignment="1" applyProtection="1">
      <alignment horizontal="left" vertical="center"/>
    </xf>
    <xf numFmtId="0" fontId="27" fillId="3" borderId="15" xfId="0" applyFont="1" applyFill="1" applyBorder="1" applyAlignment="1" applyProtection="1">
      <alignment horizontal="left" vertical="center"/>
    </xf>
    <xf numFmtId="165" fontId="30" fillId="4" borderId="18" xfId="0" applyNumberFormat="1" applyFont="1" applyFill="1" applyBorder="1" applyAlignment="1" applyProtection="1">
      <alignment vertical="center" shrinkToFit="1"/>
      <protection locked="0"/>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25" fillId="2" borderId="0" xfId="0" applyFont="1" applyFill="1" applyBorder="1" applyAlignment="1" applyProtection="1">
      <alignment horizontal="center" vertical="center"/>
    </xf>
    <xf numFmtId="0" fontId="16" fillId="4" borderId="6" xfId="0" applyFont="1" applyFill="1" applyBorder="1" applyAlignment="1" applyProtection="1">
      <alignment horizontal="left" vertical="center" shrinkToFit="1"/>
    </xf>
    <xf numFmtId="0" fontId="31" fillId="11" borderId="0" xfId="0" applyFont="1" applyFill="1" applyBorder="1" applyAlignment="1">
      <alignment vertical="center"/>
    </xf>
    <xf numFmtId="0" fontId="32" fillId="11" borderId="0" xfId="0" applyFont="1" applyFill="1" applyBorder="1" applyAlignment="1">
      <alignment horizontal="left" vertical="center"/>
    </xf>
    <xf numFmtId="49" fontId="22" fillId="4" borderId="3" xfId="0" applyNumberFormat="1" applyFont="1" applyFill="1" applyBorder="1" applyAlignment="1" applyProtection="1">
      <alignment horizontal="left" vertical="center" shrinkToFit="1"/>
    </xf>
    <xf numFmtId="0" fontId="40" fillId="11" borderId="0" xfId="0" applyFont="1" applyFill="1" applyBorder="1" applyAlignment="1">
      <alignment horizontal="left" vertical="center" shrinkToFit="1"/>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5" fillId="2" borderId="0" xfId="0" applyFont="1" applyFill="1" applyBorder="1" applyAlignment="1" applyProtection="1">
      <alignment horizontal="center"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3" borderId="8" xfId="0" applyFont="1" applyFill="1" applyBorder="1" applyAlignment="1" applyProtection="1">
      <alignment horizontal="center" vertical="center" shrinkToFit="1"/>
    </xf>
    <xf numFmtId="165" fontId="16" fillId="3" borderId="6" xfId="0" applyNumberFormat="1" applyFont="1" applyFill="1" applyBorder="1" applyAlignment="1" applyProtection="1">
      <alignment horizontal="left" vertical="center" shrinkToFit="1"/>
      <protection locked="0"/>
    </xf>
    <xf numFmtId="165" fontId="16" fillId="3" borderId="3" xfId="0" applyNumberFormat="1" applyFont="1" applyFill="1" applyBorder="1" applyAlignment="1" applyProtection="1">
      <alignment horizontal="left" vertical="center" shrinkToFit="1"/>
      <protection locked="0"/>
    </xf>
    <xf numFmtId="165" fontId="16" fillId="3" borderId="7" xfId="0" applyNumberFormat="1" applyFont="1" applyFill="1" applyBorder="1" applyAlignment="1" applyProtection="1">
      <alignment horizontal="left" vertical="center" shrinkToFit="1"/>
      <protection locked="0"/>
    </xf>
    <xf numFmtId="165" fontId="16" fillId="3" borderId="10" xfId="0" applyNumberFormat="1" applyFont="1" applyFill="1" applyBorder="1" applyAlignment="1" applyProtection="1">
      <alignment horizontal="left" vertical="center" shrinkToFit="1"/>
      <protection locked="0"/>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0" fillId="0" borderId="10" xfId="0" applyBorder="1" applyAlignment="1" applyProtection="1">
      <alignment horizontal="left" vertical="center" shrinkToFit="1"/>
    </xf>
    <xf numFmtId="0" fontId="28" fillId="10" borderId="10" xfId="0" applyFont="1" applyFill="1" applyBorder="1" applyAlignment="1">
      <alignment vertical="center" shrinkToFit="1"/>
    </xf>
    <xf numFmtId="0" fontId="16" fillId="0" borderId="0" xfId="0" applyFont="1" applyFill="1" applyBorder="1" applyAlignment="1" applyProtection="1">
      <alignment horizontal="left" vertical="center" indent="2"/>
    </xf>
    <xf numFmtId="0" fontId="16" fillId="4" borderId="0" xfId="0" applyFont="1" applyFill="1" applyAlignment="1" applyProtection="1">
      <alignment horizontal="center" vertical="center"/>
      <protection locked="0"/>
    </xf>
    <xf numFmtId="0" fontId="43" fillId="0" borderId="0" xfId="0" applyFont="1" applyBorder="1" applyAlignment="1">
      <alignment vertical="center"/>
    </xf>
    <xf numFmtId="0" fontId="21" fillId="0" borderId="0" xfId="0" applyFont="1" applyFill="1" applyBorder="1" applyAlignment="1" applyProtection="1">
      <alignment vertical="center"/>
    </xf>
    <xf numFmtId="0" fontId="16" fillId="0" borderId="0" xfId="0" applyFont="1" applyFill="1" applyAlignment="1" applyProtection="1">
      <alignment horizontal="left" vertical="center"/>
    </xf>
    <xf numFmtId="0" fontId="23" fillId="5" borderId="8" xfId="0" applyFont="1" applyFill="1" applyBorder="1" applyAlignment="1" applyProtection="1">
      <alignment vertical="center" wrapText="1"/>
    </xf>
    <xf numFmtId="0" fontId="21" fillId="3" borderId="3"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indent="2" shrinkToFit="1"/>
    </xf>
    <xf numFmtId="0" fontId="18" fillId="0" borderId="9" xfId="0" applyFont="1" applyBorder="1" applyAlignment="1">
      <alignment shrinkToFit="1"/>
    </xf>
    <xf numFmtId="0" fontId="16" fillId="4" borderId="0" xfId="0" applyFont="1" applyFill="1" applyBorder="1" applyAlignment="1" applyProtection="1">
      <alignment horizontal="left" vertical="center" indent="2" shrinkToFit="1"/>
    </xf>
    <xf numFmtId="0" fontId="18" fillId="0" borderId="0" xfId="0" applyFont="1" applyBorder="1" applyAlignment="1">
      <alignment shrinkToFit="1"/>
    </xf>
    <xf numFmtId="0" fontId="16" fillId="4" borderId="15" xfId="0" applyFont="1" applyFill="1" applyBorder="1" applyAlignment="1" applyProtection="1">
      <alignment horizontal="left" vertical="center" indent="2" shrinkToFit="1"/>
    </xf>
    <xf numFmtId="0" fontId="18" fillId="0" borderId="15" xfId="0" applyFont="1" applyBorder="1" applyAlignment="1">
      <alignment shrinkToFit="1"/>
    </xf>
    <xf numFmtId="0" fontId="21" fillId="12" borderId="3" xfId="0" applyFont="1" applyFill="1" applyBorder="1" applyAlignment="1" applyProtection="1">
      <alignment horizontal="left" vertical="center"/>
      <protection locked="0"/>
    </xf>
    <xf numFmtId="0" fontId="0" fillId="0" borderId="3" xfId="0" applyBorder="1" applyAlignment="1" applyProtection="1">
      <alignment horizontal="left" vertical="center"/>
      <protection locked="0"/>
    </xf>
    <xf numFmtId="0" fontId="21" fillId="6" borderId="3" xfId="0" applyFont="1" applyFill="1" applyBorder="1" applyAlignment="1" applyProtection="1">
      <alignment horizontal="left" vertical="center"/>
    </xf>
    <xf numFmtId="0" fontId="0" fillId="6" borderId="3" xfId="0" applyFill="1" applyBorder="1" applyAlignment="1">
      <alignment horizontal="left" vertical="center"/>
    </xf>
    <xf numFmtId="0" fontId="16" fillId="4" borderId="15" xfId="0" applyFont="1" applyFill="1" applyBorder="1" applyAlignment="1" applyProtection="1">
      <alignment horizontal="left" vertical="center" wrapText="1" indent="2"/>
    </xf>
    <xf numFmtId="0" fontId="16" fillId="4" borderId="15"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wrapText="1" indent="2"/>
    </xf>
    <xf numFmtId="0" fontId="16" fillId="4" borderId="9" xfId="0" applyFont="1" applyFill="1" applyBorder="1" applyAlignment="1" applyProtection="1">
      <alignment horizontal="left" vertical="center" indent="2"/>
    </xf>
    <xf numFmtId="0" fontId="21" fillId="6" borderId="9" xfId="0" applyFont="1" applyFill="1" applyBorder="1" applyAlignment="1" applyProtection="1">
      <alignment horizontal="center" vertical="center" wrapText="1"/>
    </xf>
    <xf numFmtId="0" fontId="21" fillId="6" borderId="0" xfId="0" applyFont="1" applyFill="1" applyBorder="1" applyAlignment="1" applyProtection="1">
      <alignment horizontal="center" vertical="center" wrapText="1"/>
    </xf>
    <xf numFmtId="0" fontId="21" fillId="6" borderId="15" xfId="0" applyFont="1" applyFill="1" applyBorder="1" applyAlignment="1" applyProtection="1">
      <alignment horizontal="center" vertical="center" wrapText="1"/>
    </xf>
    <xf numFmtId="0" fontId="21" fillId="6" borderId="3" xfId="0" applyFont="1" applyFill="1" applyBorder="1" applyAlignment="1" applyProtection="1">
      <alignment horizontal="left" vertical="center" shrinkToFit="1"/>
    </xf>
    <xf numFmtId="0" fontId="0" fillId="6" borderId="3" xfId="0" applyFill="1" applyBorder="1" applyAlignment="1">
      <alignment horizontal="left" vertical="center" shrinkToFit="1"/>
    </xf>
    <xf numFmtId="0" fontId="16" fillId="4" borderId="0" xfId="0" applyFont="1" applyFill="1" applyBorder="1" applyAlignment="1" applyProtection="1">
      <alignment horizontal="left" vertical="center" wrapText="1" indent="2"/>
    </xf>
    <xf numFmtId="0" fontId="16" fillId="4" borderId="0" xfId="0" applyFont="1" applyFill="1" applyBorder="1" applyAlignment="1" applyProtection="1">
      <alignment horizontal="left" vertical="center" indent="2"/>
    </xf>
    <xf numFmtId="0" fontId="21" fillId="7" borderId="3" xfId="0" applyFont="1" applyFill="1" applyBorder="1" applyAlignment="1" applyProtection="1">
      <alignment horizontal="left" vertical="center" shrinkToFit="1"/>
    </xf>
    <xf numFmtId="0" fontId="2" fillId="9" borderId="3" xfId="0" applyFont="1" applyFill="1" applyBorder="1" applyAlignment="1" applyProtection="1">
      <alignment horizontal="left" vertical="center"/>
      <protection locked="0"/>
    </xf>
    <xf numFmtId="0" fontId="33" fillId="9" borderId="3" xfId="0" applyFont="1" applyFill="1" applyBorder="1" applyAlignment="1" applyProtection="1">
      <alignment horizontal="left" vertical="center"/>
      <protection locked="0"/>
    </xf>
    <xf numFmtId="0" fontId="0" fillId="0" borderId="3" xfId="0" applyBorder="1" applyAlignment="1" applyProtection="1">
      <protection locked="0"/>
    </xf>
    <xf numFmtId="166" fontId="26" fillId="4" borderId="27" xfId="0" applyNumberFormat="1" applyFont="1" applyFill="1" applyBorder="1" applyAlignment="1" applyProtection="1">
      <alignment horizontal="center" vertical="center"/>
    </xf>
    <xf numFmtId="166" fontId="26" fillId="4" borderId="3" xfId="0" applyNumberFormat="1" applyFont="1" applyFill="1" applyBorder="1" applyAlignment="1" applyProtection="1">
      <alignment horizontal="center" vertical="center"/>
    </xf>
    <xf numFmtId="166" fontId="26" fillId="4" borderId="25" xfId="0" applyNumberFormat="1" applyFont="1" applyFill="1" applyBorder="1" applyAlignment="1" applyProtection="1">
      <alignment horizontal="center" vertical="center"/>
    </xf>
    <xf numFmtId="167" fontId="21" fillId="9" borderId="17" xfId="0" applyNumberFormat="1" applyFont="1" applyFill="1" applyBorder="1" applyAlignment="1" applyProtection="1">
      <alignment horizontal="left" vertical="center" shrinkToFit="1"/>
      <protection locked="0"/>
    </xf>
    <xf numFmtId="0" fontId="0" fillId="0" borderId="17" xfId="0" applyBorder="1" applyAlignment="1" applyProtection="1">
      <protection locked="0"/>
    </xf>
    <xf numFmtId="0" fontId="21" fillId="6" borderId="3" xfId="0" applyFont="1" applyFill="1" applyBorder="1" applyAlignment="1">
      <alignment horizontal="center" vertical="center" shrinkToFit="1"/>
    </xf>
    <xf numFmtId="0" fontId="23" fillId="6" borderId="3" xfId="0" applyFont="1" applyFill="1" applyBorder="1" applyAlignment="1">
      <alignment horizontal="left" vertical="center" indent="2" shrinkToFit="1"/>
    </xf>
    <xf numFmtId="0" fontId="2" fillId="12" borderId="3" xfId="0" applyFont="1" applyFill="1" applyBorder="1" applyAlignment="1" applyProtection="1">
      <alignment horizontal="left" vertical="center"/>
      <protection locked="0"/>
    </xf>
    <xf numFmtId="0" fontId="34" fillId="12" borderId="3" xfId="0" applyFont="1" applyFill="1" applyBorder="1" applyAlignment="1" applyProtection="1">
      <alignment horizontal="left" vertical="center"/>
      <protection locked="0"/>
    </xf>
    <xf numFmtId="0" fontId="33" fillId="12" borderId="3" xfId="0" applyFont="1" applyFill="1" applyBorder="1" applyAlignment="1" applyProtection="1">
      <alignment horizontal="left" vertical="center"/>
      <protection locked="0"/>
    </xf>
    <xf numFmtId="2" fontId="24" fillId="6" borderId="8" xfId="0" applyNumberFormat="1" applyFont="1" applyFill="1" applyBorder="1" applyAlignment="1" applyProtection="1">
      <alignment horizontal="left" vertical="center" wrapText="1" indent="2" shrinkToFit="1"/>
    </xf>
    <xf numFmtId="0" fontId="21" fillId="7" borderId="10" xfId="0" applyFont="1" applyFill="1" applyBorder="1" applyAlignment="1" applyProtection="1">
      <alignment horizontal="left" vertical="center" shrinkToFit="1"/>
    </xf>
    <xf numFmtId="0" fontId="0" fillId="0" borderId="10" xfId="0" applyBorder="1" applyAlignment="1">
      <alignment horizontal="left" vertical="center" shrinkToFit="1"/>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21" fillId="7" borderId="10" xfId="0" applyFont="1" applyFill="1" applyBorder="1" applyAlignment="1" applyProtection="1">
      <alignment horizontal="center" vertical="center" shrinkToFit="1"/>
    </xf>
    <xf numFmtId="0" fontId="0" fillId="0" borderId="10" xfId="0" applyBorder="1" applyAlignment="1" applyProtection="1">
      <alignment horizontal="center" vertical="center" shrinkToFit="1"/>
    </xf>
    <xf numFmtId="0" fontId="39" fillId="2" borderId="0" xfId="0" applyFont="1" applyFill="1" applyBorder="1" applyAlignment="1" applyProtection="1">
      <alignment horizontal="center" vertical="center" shrinkToFit="1"/>
    </xf>
    <xf numFmtId="0" fontId="0" fillId="0" borderId="0" xfId="0" applyAlignment="1">
      <alignment horizontal="center" shrinkToFit="1"/>
    </xf>
    <xf numFmtId="0" fontId="21" fillId="6" borderId="8" xfId="0" applyFont="1" applyFill="1" applyBorder="1" applyAlignment="1" applyProtection="1">
      <alignment horizontal="left" vertical="center" shrinkToFit="1"/>
    </xf>
    <xf numFmtId="0" fontId="0" fillId="0" borderId="8" xfId="0" applyBorder="1" applyAlignment="1">
      <alignment shrinkToFit="1"/>
    </xf>
    <xf numFmtId="0" fontId="23" fillId="5" borderId="9" xfId="0" applyFont="1" applyFill="1" applyBorder="1" applyAlignment="1" applyProtection="1">
      <alignment horizontal="center" vertical="center"/>
    </xf>
    <xf numFmtId="0" fontId="22" fillId="12" borderId="3" xfId="0" applyFont="1" applyFill="1" applyBorder="1" applyAlignment="1" applyProtection="1">
      <alignment horizontal="left" vertical="center"/>
      <protection locked="0"/>
    </xf>
    <xf numFmtId="0" fontId="35" fillId="12" borderId="3" xfId="0" applyFont="1" applyFill="1" applyBorder="1" applyAlignment="1" applyProtection="1">
      <alignment horizontal="left" vertical="center"/>
      <protection locked="0"/>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3" borderId="7" xfId="0" applyFont="1" applyFill="1" applyBorder="1" applyAlignment="1" applyProtection="1">
      <alignment horizontal="left" vertical="center"/>
    </xf>
    <xf numFmtId="0" fontId="0" fillId="3" borderId="7" xfId="0" applyFill="1" applyBorder="1" applyAlignment="1" applyProtection="1">
      <alignment horizontal="left" vertical="center"/>
    </xf>
    <xf numFmtId="0" fontId="16" fillId="3" borderId="3" xfId="0" applyFont="1" applyFill="1" applyBorder="1" applyAlignment="1" applyProtection="1">
      <alignment horizontal="left" vertical="center"/>
    </xf>
    <xf numFmtId="0" fontId="36" fillId="6" borderId="3" xfId="0" applyFont="1" applyFill="1" applyBorder="1" applyAlignment="1" applyProtection="1">
      <alignment horizontal="left" vertical="center" wrapText="1" indent="2" shrinkToFit="1"/>
    </xf>
    <xf numFmtId="0" fontId="16" fillId="4" borderId="6" xfId="0" applyFont="1" applyFill="1" applyBorder="1" applyAlignment="1" applyProtection="1">
      <alignment horizontal="left" vertical="center"/>
    </xf>
    <xf numFmtId="0" fontId="0" fillId="3" borderId="3" xfId="0" applyFill="1" applyBorder="1" applyAlignment="1" applyProtection="1">
      <alignment horizontal="left" vertical="center"/>
    </xf>
    <xf numFmtId="0" fontId="16" fillId="4" borderId="3" xfId="0" applyFont="1" applyFill="1" applyBorder="1" applyAlignment="1" applyProtection="1">
      <alignment horizontal="left" vertical="center"/>
    </xf>
    <xf numFmtId="0" fontId="0" fillId="4" borderId="3" xfId="0" applyFill="1" applyBorder="1" applyAlignment="1" applyProtection="1">
      <alignment horizontal="left" vertical="center"/>
    </xf>
    <xf numFmtId="0" fontId="37" fillId="5" borderId="0" xfId="0" applyFont="1" applyFill="1" applyBorder="1" applyAlignment="1" applyProtection="1">
      <alignment horizontal="right" vertical="center" wrapText="1"/>
    </xf>
    <xf numFmtId="0" fontId="36" fillId="6" borderId="3" xfId="0" applyFont="1" applyFill="1" applyBorder="1" applyAlignment="1" applyProtection="1">
      <alignment horizontal="left" vertical="center" wrapText="1" indent="3" shrinkToFit="1"/>
    </xf>
    <xf numFmtId="0" fontId="36" fillId="6" borderId="3" xfId="0" applyFont="1" applyFill="1" applyBorder="1" applyAlignment="1" applyProtection="1">
      <alignment horizontal="left" vertical="center" wrapText="1" indent="2"/>
    </xf>
    <xf numFmtId="0" fontId="38" fillId="6" borderId="3" xfId="0" applyFont="1" applyFill="1" applyBorder="1" applyAlignment="1" applyProtection="1">
      <alignment horizontal="left" vertical="center" indent="2"/>
    </xf>
    <xf numFmtId="0" fontId="21" fillId="0" borderId="15" xfId="0" applyFont="1" applyFill="1" applyBorder="1" applyAlignment="1" applyProtection="1">
      <alignment shrinkToFit="1"/>
    </xf>
    <xf numFmtId="0" fontId="0" fillId="0" borderId="15" xfId="0" applyBorder="1" applyAlignment="1">
      <alignment shrinkToFit="1"/>
    </xf>
    <xf numFmtId="0" fontId="20" fillId="4" borderId="27" xfId="0" applyFont="1" applyFill="1"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9" fillId="4" borderId="27" xfId="0" applyNumberFormat="1" applyFont="1" applyFill="1" applyBorder="1" applyAlignment="1" applyProtection="1">
      <alignment horizontal="left" vertical="center" shrinkToFit="1"/>
      <protection locked="0"/>
    </xf>
    <xf numFmtId="0" fontId="0" fillId="0" borderId="25" xfId="0" applyBorder="1" applyAlignment="1" applyProtection="1">
      <alignment horizontal="left" vertical="center" shrinkToFit="1"/>
      <protection locked="0"/>
    </xf>
    <xf numFmtId="0" fontId="21" fillId="9" borderId="17" xfId="0" applyFont="1" applyFill="1" applyBorder="1" applyAlignment="1" applyProtection="1">
      <alignment horizontal="left" vertical="center" shrinkToFit="1"/>
      <protection locked="0"/>
    </xf>
    <xf numFmtId="0" fontId="0" fillId="0" borderId="17" xfId="0" applyBorder="1" applyAlignment="1" applyProtection="1">
      <alignment vertical="center" shrinkToFit="1"/>
      <protection locked="0"/>
    </xf>
    <xf numFmtId="0" fontId="21" fillId="9" borderId="3" xfId="0" applyFont="1" applyFill="1" applyBorder="1" applyAlignment="1" applyProtection="1">
      <alignment horizontal="left" vertical="center" shrinkToFit="1"/>
      <protection locked="0"/>
    </xf>
    <xf numFmtId="0" fontId="0" fillId="0" borderId="3" xfId="0" applyBorder="1" applyAlignment="1" applyProtection="1">
      <alignment horizontal="left" vertical="center" shrinkToFit="1"/>
      <protection locked="0"/>
    </xf>
    <xf numFmtId="0" fontId="0" fillId="9" borderId="3" xfId="0" applyFill="1" applyBorder="1" applyAlignment="1" applyProtection="1">
      <alignment horizontal="left" vertical="center" shrinkToFit="1"/>
      <protection locked="0"/>
    </xf>
    <xf numFmtId="0" fontId="0" fillId="0" borderId="3" xfId="0" applyBorder="1" applyAlignment="1" applyProtection="1">
      <alignment shrinkToFit="1"/>
      <protection locked="0"/>
    </xf>
    <xf numFmtId="0" fontId="20" fillId="2" borderId="0" xfId="0" applyFont="1" applyFill="1" applyBorder="1" applyAlignment="1" applyProtection="1">
      <alignment horizontal="center"/>
    </xf>
    <xf numFmtId="0" fontId="25" fillId="2" borderId="0" xfId="0" applyFont="1" applyFill="1" applyBorder="1" applyAlignment="1" applyProtection="1">
      <alignment horizontal="center" vertical="center"/>
    </xf>
    <xf numFmtId="0" fontId="21" fillId="3" borderId="17" xfId="0" applyFont="1" applyFill="1" applyBorder="1" applyAlignment="1" applyProtection="1">
      <alignment horizontal="left" vertical="center" shrinkToFit="1"/>
    </xf>
    <xf numFmtId="166" fontId="16" fillId="4" borderId="17" xfId="0" applyNumberFormat="1" applyFont="1" applyFill="1" applyBorder="1" applyAlignment="1" applyProtection="1">
      <alignment horizontal="left" vertical="center" shrinkToFit="1"/>
    </xf>
    <xf numFmtId="0" fontId="21" fillId="3" borderId="3" xfId="0" applyFont="1" applyFill="1" applyBorder="1" applyAlignment="1" applyProtection="1">
      <alignment horizontal="left" vertical="center" shrinkToFit="1"/>
    </xf>
    <xf numFmtId="0" fontId="16" fillId="4" borderId="3" xfId="0" applyFont="1" applyFill="1" applyBorder="1" applyAlignment="1">
      <alignment horizontal="left" vertical="center"/>
    </xf>
    <xf numFmtId="0" fontId="31" fillId="11" borderId="15" xfId="0" applyFont="1" applyFill="1" applyBorder="1" applyAlignment="1">
      <alignment horizontal="center" vertical="center"/>
    </xf>
    <xf numFmtId="0" fontId="16" fillId="4" borderId="3" xfId="0" applyNumberFormat="1" applyFont="1" applyFill="1" applyBorder="1" applyAlignment="1" applyProtection="1">
      <alignment horizontal="left" vertical="center" shrinkToFit="1"/>
    </xf>
    <xf numFmtId="0" fontId="21" fillId="3" borderId="10" xfId="0" applyFont="1" applyFill="1" applyBorder="1" applyAlignment="1" applyProtection="1">
      <alignment horizontal="left" vertical="center" shrinkToFit="1"/>
    </xf>
    <xf numFmtId="0" fontId="16" fillId="4" borderId="10" xfId="0" applyFont="1" applyFill="1" applyBorder="1" applyAlignment="1" applyProtection="1">
      <alignment horizontal="left" vertical="center" shrinkToFit="1"/>
    </xf>
    <xf numFmtId="0" fontId="0" fillId="4" borderId="10" xfId="0" applyFill="1" applyBorder="1" applyAlignment="1" applyProtection="1">
      <alignment horizontal="left" vertical="center" shrinkToFit="1"/>
    </xf>
    <xf numFmtId="0" fontId="23" fillId="5" borderId="8" xfId="0" applyFont="1" applyFill="1" applyBorder="1" applyAlignment="1" applyProtection="1">
      <alignment horizontal="center" vertical="center" wrapText="1"/>
    </xf>
    <xf numFmtId="0" fontId="16" fillId="4" borderId="3" xfId="0" applyFont="1" applyFill="1" applyBorder="1" applyAlignment="1" applyProtection="1">
      <alignment horizontal="left" vertical="center" shrinkToFit="1"/>
    </xf>
    <xf numFmtId="0" fontId="0" fillId="4" borderId="3" xfId="0" applyFill="1" applyBorder="1" applyAlignment="1" applyProtection="1">
      <alignment horizontal="left" vertical="center" shrinkToFit="1"/>
    </xf>
    <xf numFmtId="0" fontId="16" fillId="4" borderId="7" xfId="0" applyFont="1" applyFill="1" applyBorder="1" applyAlignment="1" applyProtection="1">
      <alignment horizontal="left" vertical="center" shrinkToFit="1"/>
    </xf>
    <xf numFmtId="0" fontId="0" fillId="4" borderId="7" xfId="0"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8" fillId="13" borderId="28" xfId="0" applyFont="1" applyFill="1" applyBorder="1" applyAlignment="1">
      <alignment horizontal="left" vertical="center" shrinkToFit="1"/>
    </xf>
    <xf numFmtId="0" fontId="29" fillId="14" borderId="28" xfId="0" applyFont="1" applyFill="1" applyBorder="1" applyAlignment="1">
      <alignment horizontal="left" vertical="center" shrinkToFit="1"/>
    </xf>
    <xf numFmtId="0" fontId="21" fillId="15" borderId="8" xfId="0" applyFont="1" applyFill="1" applyBorder="1" applyAlignment="1" applyProtection="1">
      <alignment horizontal="left" vertical="top" wrapText="1" indent="1"/>
    </xf>
    <xf numFmtId="0" fontId="23" fillId="5" borderId="8" xfId="0" applyFont="1" applyFill="1" applyBorder="1" applyAlignment="1" applyProtection="1">
      <alignment vertical="center" wrapText="1"/>
    </xf>
    <xf numFmtId="0" fontId="20" fillId="0" borderId="9" xfId="0" applyFont="1" applyBorder="1" applyAlignment="1" applyProtection="1">
      <alignment horizontal="right" vertical="center" shrinkToFit="1"/>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ellStyles>
  <dxfs count="8">
    <dxf>
      <font>
        <color auto="1"/>
      </font>
      <fill>
        <patternFill patternType="solid">
          <fgColor indexed="64"/>
          <bgColor rgb="FFF9F844"/>
        </patternFill>
      </fill>
    </dxf>
    <dxf>
      <font>
        <color rgb="FFFF0000"/>
      </font>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solid">
          <fgColor indexed="64"/>
          <bgColor theme="8" tint="0.39997558519241921"/>
        </patternFill>
      </fill>
    </dxf>
    <dxf>
      <font>
        <color theme="8" tint="0.39997558519241921"/>
      </font>
      <fill>
        <patternFill patternType="solid">
          <fgColor indexed="64"/>
          <bgColor theme="8" tint="0.39997558519241921"/>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Calculations!$A$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M$49"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M$13"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CheckBox" fmlaLink="M1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CheckBox" fmlaLink="M44"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20</xdr:row>
          <xdr:rowOff>66675</xdr:rowOff>
        </xdr:from>
        <xdr:to>
          <xdr:col>2</xdr:col>
          <xdr:colOff>409575</xdr:colOff>
          <xdr:row>20</xdr:row>
          <xdr:rowOff>276225</xdr:rowOff>
        </xdr:to>
        <xdr:sp macro="" textlink="">
          <xdr:nvSpPr>
            <xdr:cNvPr id="1110" name="Option Button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390525</xdr:colOff>
          <xdr:row>20</xdr:row>
          <xdr:rowOff>276225</xdr:rowOff>
        </xdr:to>
        <xdr:sp macro="" textlink="">
          <xdr:nvSpPr>
            <xdr:cNvPr id="1111" name="Option Button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66675</xdr:rowOff>
        </xdr:from>
        <xdr:to>
          <xdr:col>8</xdr:col>
          <xdr:colOff>390525</xdr:colOff>
          <xdr:row>20</xdr:row>
          <xdr:rowOff>276225</xdr:rowOff>
        </xdr:to>
        <xdr:sp macro="" textlink="">
          <xdr:nvSpPr>
            <xdr:cNvPr id="1112" name="Option Button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21</xdr:row>
          <xdr:rowOff>47625</xdr:rowOff>
        </xdr:from>
        <xdr:to>
          <xdr:col>2</xdr:col>
          <xdr:colOff>409575</xdr:colOff>
          <xdr:row>21</xdr:row>
          <xdr:rowOff>266700</xdr:rowOff>
        </xdr:to>
        <xdr:sp macro="" textlink="">
          <xdr:nvSpPr>
            <xdr:cNvPr id="1113" name="Option Button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47625</xdr:rowOff>
        </xdr:from>
        <xdr:to>
          <xdr:col>5</xdr:col>
          <xdr:colOff>390525</xdr:colOff>
          <xdr:row>21</xdr:row>
          <xdr:rowOff>266700</xdr:rowOff>
        </xdr:to>
        <xdr:sp macro="" textlink="">
          <xdr:nvSpPr>
            <xdr:cNvPr id="1114" name="Option Button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47625</xdr:rowOff>
        </xdr:from>
        <xdr:to>
          <xdr:col>8</xdr:col>
          <xdr:colOff>390525</xdr:colOff>
          <xdr:row>21</xdr:row>
          <xdr:rowOff>266700</xdr:rowOff>
        </xdr:to>
        <xdr:sp macro="" textlink="">
          <xdr:nvSpPr>
            <xdr:cNvPr id="1115" name="Option Button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47625</xdr:rowOff>
        </xdr:from>
        <xdr:to>
          <xdr:col>2</xdr:col>
          <xdr:colOff>409575</xdr:colOff>
          <xdr:row>19</xdr:row>
          <xdr:rowOff>266700</xdr:rowOff>
        </xdr:to>
        <xdr:sp macro="" textlink="">
          <xdr:nvSpPr>
            <xdr:cNvPr id="1124" name="Option Button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47625</xdr:rowOff>
        </xdr:from>
        <xdr:to>
          <xdr:col>5</xdr:col>
          <xdr:colOff>390525</xdr:colOff>
          <xdr:row>19</xdr:row>
          <xdr:rowOff>266700</xdr:rowOff>
        </xdr:to>
        <xdr:sp macro="" textlink="">
          <xdr:nvSpPr>
            <xdr:cNvPr id="1125" name="Option Button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19</xdr:row>
          <xdr:rowOff>0</xdr:rowOff>
        </xdr:from>
        <xdr:to>
          <xdr:col>11</xdr:col>
          <xdr:colOff>752475</xdr:colOff>
          <xdr:row>22</xdr:row>
          <xdr:rowOff>0</xdr:rowOff>
        </xdr:to>
        <xdr:sp macro="" textlink="">
          <xdr:nvSpPr>
            <xdr:cNvPr id="1321" name="Group Box 297" hidden="1">
              <a:extLst>
                <a:ext uri="{63B3BB69-23CF-44E3-9099-C40C66FF867C}">
                  <a14:compatExt spid="_x0000_s1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xdr:row>
          <xdr:rowOff>38100</xdr:rowOff>
        </xdr:from>
        <xdr:to>
          <xdr:col>0</xdr:col>
          <xdr:colOff>428625</xdr:colOff>
          <xdr:row>48</xdr:row>
          <xdr:rowOff>295275</xdr:rowOff>
        </xdr:to>
        <xdr:sp macro="" textlink="">
          <xdr:nvSpPr>
            <xdr:cNvPr id="1333" name="Option Button 309" hidden="1">
              <a:extLst>
                <a:ext uri="{63B3BB69-23CF-44E3-9099-C40C66FF867C}">
                  <a14:compatExt spid="_x0000_s1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48</xdr:row>
          <xdr:rowOff>38100</xdr:rowOff>
        </xdr:from>
        <xdr:to>
          <xdr:col>5</xdr:col>
          <xdr:colOff>447675</xdr:colOff>
          <xdr:row>48</xdr:row>
          <xdr:rowOff>295275</xdr:rowOff>
        </xdr:to>
        <xdr:sp macro="" textlink="">
          <xdr:nvSpPr>
            <xdr:cNvPr id="1334" name="Option Button 310" hidden="1">
              <a:extLst>
                <a:ext uri="{63B3BB69-23CF-44E3-9099-C40C66FF867C}">
                  <a14:compatExt spid="_x0000_s1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11</xdr:col>
          <xdr:colOff>762000</xdr:colOff>
          <xdr:row>12</xdr:row>
          <xdr:rowOff>352425</xdr:rowOff>
        </xdr:to>
        <xdr:sp macro="" textlink="">
          <xdr:nvSpPr>
            <xdr:cNvPr id="1350" name="Group Box 326" hidden="1">
              <a:extLst>
                <a:ext uri="{63B3BB69-23CF-44E3-9099-C40C66FF867C}">
                  <a14:compatExt spid="_x0000_s1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12</xdr:row>
          <xdr:rowOff>66675</xdr:rowOff>
        </xdr:from>
        <xdr:to>
          <xdr:col>0</xdr:col>
          <xdr:colOff>419100</xdr:colOff>
          <xdr:row>12</xdr:row>
          <xdr:rowOff>276225</xdr:rowOff>
        </xdr:to>
        <xdr:sp macro="" textlink="">
          <xdr:nvSpPr>
            <xdr:cNvPr id="1351" name="Option Button 327" hidden="1">
              <a:extLst>
                <a:ext uri="{63B3BB69-23CF-44E3-9099-C40C66FF867C}">
                  <a14:compatExt spid="_x0000_s1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12</xdr:row>
          <xdr:rowOff>66675</xdr:rowOff>
        </xdr:from>
        <xdr:to>
          <xdr:col>1</xdr:col>
          <xdr:colOff>952500</xdr:colOff>
          <xdr:row>12</xdr:row>
          <xdr:rowOff>276225</xdr:rowOff>
        </xdr:to>
        <xdr:sp macro="" textlink="">
          <xdr:nvSpPr>
            <xdr:cNvPr id="1352" name="Option Button 328" hidden="1">
              <a:extLst>
                <a:ext uri="{63B3BB69-23CF-44E3-9099-C40C66FF867C}">
                  <a14:compatExt spid="_x0000_s1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66675</xdr:rowOff>
        </xdr:from>
        <xdr:to>
          <xdr:col>3</xdr:col>
          <xdr:colOff>409575</xdr:colOff>
          <xdr:row>12</xdr:row>
          <xdr:rowOff>276225</xdr:rowOff>
        </xdr:to>
        <xdr:sp macro="" textlink="">
          <xdr:nvSpPr>
            <xdr:cNvPr id="1353" name="Option Button 329" hidden="1">
              <a:extLst>
                <a:ext uri="{63B3BB69-23CF-44E3-9099-C40C66FF867C}">
                  <a14:compatExt spid="_x0000_s1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12</xdr:row>
          <xdr:rowOff>66675</xdr:rowOff>
        </xdr:from>
        <xdr:to>
          <xdr:col>5</xdr:col>
          <xdr:colOff>85725</xdr:colOff>
          <xdr:row>12</xdr:row>
          <xdr:rowOff>276225</xdr:rowOff>
        </xdr:to>
        <xdr:sp macro="" textlink="">
          <xdr:nvSpPr>
            <xdr:cNvPr id="1560" name="Option Button 536" hidden="1">
              <a:extLst>
                <a:ext uri="{63B3BB69-23CF-44E3-9099-C40C66FF867C}">
                  <a14:compatExt spid="_x0000_s1560"/>
                </a:ext>
              </a:extLst>
            </xdr:cNvPr>
            <xdr:cNvSpPr/>
          </xdr:nvSpPr>
          <xdr:spPr>
            <a:xfrm>
              <a:off x="0" y="0"/>
              <a:ext cx="0" cy="0"/>
            </a:xfrm>
            <a:prstGeom prst="rect">
              <a:avLst/>
            </a:prstGeom>
          </xdr:spPr>
        </xdr:sp>
        <xdr:clientData/>
      </xdr:twoCellAnchor>
    </mc:Choice>
    <mc:Fallback/>
  </mc:AlternateContent>
  <xdr:twoCellAnchor>
    <xdr:from>
      <xdr:col>0</xdr:col>
      <xdr:colOff>22087</xdr:colOff>
      <xdr:row>50</xdr:row>
      <xdr:rowOff>23091</xdr:rowOff>
    </xdr:from>
    <xdr:to>
      <xdr:col>12</xdr:col>
      <xdr:colOff>0</xdr:colOff>
      <xdr:row>57</xdr:row>
      <xdr:rowOff>0</xdr:rowOff>
    </xdr:to>
    <xdr:sp macro="" textlink="" fLocksText="0">
      <xdr:nvSpPr>
        <xdr:cNvPr id="2" name="TextBox 1"/>
        <xdr:cNvSpPr txBox="1"/>
      </xdr:nvSpPr>
      <xdr:spPr>
        <a:xfrm>
          <a:off x="22087" y="11637818"/>
          <a:ext cx="9537549" cy="1570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b="1" i="0">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695325</xdr:colOff>
          <xdr:row>12</xdr:row>
          <xdr:rowOff>66675</xdr:rowOff>
        </xdr:from>
        <xdr:to>
          <xdr:col>9</xdr:col>
          <xdr:colOff>76200</xdr:colOff>
          <xdr:row>12</xdr:row>
          <xdr:rowOff>276225</xdr:rowOff>
        </xdr:to>
        <xdr:sp macro="" textlink="">
          <xdr:nvSpPr>
            <xdr:cNvPr id="1896" name="Option Button 872" hidden="1">
              <a:extLst>
                <a:ext uri="{63B3BB69-23CF-44E3-9099-C40C66FF867C}">
                  <a14:compatExt spid="_x0000_s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85725</xdr:rowOff>
        </xdr:from>
        <xdr:to>
          <xdr:col>8</xdr:col>
          <xdr:colOff>390525</xdr:colOff>
          <xdr:row>19</xdr:row>
          <xdr:rowOff>304800</xdr:rowOff>
        </xdr:to>
        <xdr:sp macro="" textlink="">
          <xdr:nvSpPr>
            <xdr:cNvPr id="1971" name="Option Button 947" hidden="1">
              <a:extLst>
                <a:ext uri="{63B3BB69-23CF-44E3-9099-C40C66FF867C}">
                  <a14:compatExt spid="_x0000_s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xdr:row>
          <xdr:rowOff>9525</xdr:rowOff>
        </xdr:from>
        <xdr:to>
          <xdr:col>0</xdr:col>
          <xdr:colOff>428625</xdr:colOff>
          <xdr:row>10</xdr:row>
          <xdr:rowOff>228600</xdr:rowOff>
        </xdr:to>
        <xdr:sp macro="" textlink="">
          <xdr:nvSpPr>
            <xdr:cNvPr id="5148" name="Check Box 1052" hidden="1">
              <a:extLst>
                <a:ext uri="{63B3BB69-23CF-44E3-9099-C40C66FF867C}">
                  <a14:compatExt spid="_x0000_s5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533400</xdr:colOff>
          <xdr:row>12</xdr:row>
          <xdr:rowOff>66675</xdr:rowOff>
        </xdr:from>
        <xdr:to>
          <xdr:col>10</xdr:col>
          <xdr:colOff>942975</xdr:colOff>
          <xdr:row>12</xdr:row>
          <xdr:rowOff>276225</xdr:rowOff>
        </xdr:to>
        <xdr:sp macro="" textlink="">
          <xdr:nvSpPr>
            <xdr:cNvPr id="5326" name="Option Button 1230" hidden="1">
              <a:extLst>
                <a:ext uri="{63B3BB69-23CF-44E3-9099-C40C66FF867C}">
                  <a14:compatExt spid="_x0000_s5326"/>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0</xdr:row>
      <xdr:rowOff>0</xdr:rowOff>
    </xdr:from>
    <xdr:to>
      <xdr:col>2</xdr:col>
      <xdr:colOff>595120</xdr:colOff>
      <xdr:row>1</xdr:row>
      <xdr:rowOff>177800</xdr:rowOff>
    </xdr:to>
    <xdr:pic>
      <xdr:nvPicPr>
        <xdr:cNvPr id="5486" name="Picture 2"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425700" cy="444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28575</xdr:colOff>
          <xdr:row>43</xdr:row>
          <xdr:rowOff>0</xdr:rowOff>
        </xdr:from>
        <xdr:to>
          <xdr:col>0</xdr:col>
          <xdr:colOff>419100</xdr:colOff>
          <xdr:row>43</xdr:row>
          <xdr:rowOff>228600</xdr:rowOff>
        </xdr:to>
        <xdr:sp macro="" textlink="">
          <xdr:nvSpPr>
            <xdr:cNvPr id="5328" name="Check Box 1232" hidden="1">
              <a:extLst>
                <a:ext uri="{63B3BB69-23CF-44E3-9099-C40C66FF867C}">
                  <a14:compatExt spid="_x0000_s5328"/>
                </a:ext>
              </a:extLst>
            </xdr:cNvPr>
            <xdr:cNvSpPr/>
          </xdr:nvSpPr>
          <xdr:spPr>
            <a:xfrm>
              <a:off x="0" y="0"/>
              <a:ext cx="0" cy="0"/>
            </a:xfrm>
            <a:prstGeom prst="rect">
              <a:avLst/>
            </a:prstGeom>
          </xdr:spPr>
        </xdr:sp>
        <xdr:clientData/>
      </xdr:twoCellAnchor>
    </mc:Choice>
    <mc:Fallback/>
  </mc:AlternateContent>
  <xdr:twoCellAnchor editAs="oneCell">
    <xdr:from>
      <xdr:col>7</xdr:col>
      <xdr:colOff>381000</xdr:colOff>
      <xdr:row>0</xdr:row>
      <xdr:rowOff>165100</xdr:rowOff>
    </xdr:from>
    <xdr:to>
      <xdr:col>9</xdr:col>
      <xdr:colOff>393700</xdr:colOff>
      <xdr:row>2</xdr:row>
      <xdr:rowOff>202266</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31000" y="165100"/>
          <a:ext cx="1828800" cy="5705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1003300</xdr:colOff>
      <xdr:row>0</xdr:row>
      <xdr:rowOff>584200</xdr:rowOff>
    </xdr:to>
    <xdr:pic>
      <xdr:nvPicPr>
        <xdr:cNvPr id="6213"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303530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22</xdr:row>
      <xdr:rowOff>11043</xdr:rowOff>
    </xdr:from>
    <xdr:to>
      <xdr:col>5</xdr:col>
      <xdr:colOff>11044</xdr:colOff>
      <xdr:row>27</xdr:row>
      <xdr:rowOff>0</xdr:rowOff>
    </xdr:to>
    <xdr:sp macro="" textlink="" fLocksText="0">
      <xdr:nvSpPr>
        <xdr:cNvPr id="2" name="TextBox 1"/>
        <xdr:cNvSpPr txBox="1"/>
      </xdr:nvSpPr>
      <xdr:spPr>
        <a:xfrm>
          <a:off x="11043" y="6261652"/>
          <a:ext cx="5654262" cy="1811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3</xdr:col>
      <xdr:colOff>485913</xdr:colOff>
      <xdr:row>0</xdr:row>
      <xdr:rowOff>220870</xdr:rowOff>
    </xdr:from>
    <xdr:to>
      <xdr:col>4</xdr:col>
      <xdr:colOff>927652</xdr:colOff>
      <xdr:row>0</xdr:row>
      <xdr:rowOff>606759</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2783" y="220870"/>
          <a:ext cx="1236869" cy="3858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1511300</xdr:colOff>
      <xdr:row>1</xdr:row>
      <xdr:rowOff>355600</xdr:rowOff>
    </xdr:to>
    <xdr:pic>
      <xdr:nvPicPr>
        <xdr:cNvPr id="7197"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6024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19</xdr:row>
      <xdr:rowOff>0</xdr:rowOff>
    </xdr:from>
    <xdr:to>
      <xdr:col>5</xdr:col>
      <xdr:colOff>11044</xdr:colOff>
      <xdr:row>25</xdr:row>
      <xdr:rowOff>0</xdr:rowOff>
    </xdr:to>
    <xdr:sp macro="" textlink="" fLocksText="0">
      <xdr:nvSpPr>
        <xdr:cNvPr id="3" name="TextBox 2"/>
        <xdr:cNvSpPr txBox="1"/>
      </xdr:nvSpPr>
      <xdr:spPr>
        <a:xfrm>
          <a:off x="11043" y="5626100"/>
          <a:ext cx="58039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2</xdr:col>
      <xdr:colOff>1789069</xdr:colOff>
      <xdr:row>25</xdr:row>
      <xdr:rowOff>88349</xdr:rowOff>
    </xdr:from>
    <xdr:to>
      <xdr:col>4</xdr:col>
      <xdr:colOff>220870</xdr:colOff>
      <xdr:row>25</xdr:row>
      <xdr:rowOff>401877</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21069" y="7432262"/>
          <a:ext cx="1004931" cy="3135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1511300</xdr:colOff>
      <xdr:row>1</xdr:row>
      <xdr:rowOff>355600</xdr:rowOff>
    </xdr:to>
    <xdr:pic>
      <xdr:nvPicPr>
        <xdr:cNvPr id="2"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596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19</xdr:row>
      <xdr:rowOff>0</xdr:rowOff>
    </xdr:from>
    <xdr:to>
      <xdr:col>5</xdr:col>
      <xdr:colOff>11044</xdr:colOff>
      <xdr:row>25</xdr:row>
      <xdr:rowOff>0</xdr:rowOff>
    </xdr:to>
    <xdr:sp macro="" textlink="" fLocksText="0">
      <xdr:nvSpPr>
        <xdr:cNvPr id="3" name="TextBox 2"/>
        <xdr:cNvSpPr txBox="1"/>
      </xdr:nvSpPr>
      <xdr:spPr>
        <a:xfrm>
          <a:off x="11043" y="5397500"/>
          <a:ext cx="56896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wsDr>
</file>

<file path=xl/theme/theme1.xml><?xml version="1.0" encoding="utf-8"?>
<a:theme xmlns:a="http://schemas.openxmlformats.org/drawingml/2006/main" name="Office Theme">
  <a:themeElements>
    <a:clrScheme name="Elemental">
      <a:dk1>
        <a:sysClr val="windowText" lastClr="000000"/>
      </a:dk1>
      <a:lt1>
        <a:sysClr val="window" lastClr="FFFFFF"/>
      </a:lt1>
      <a:dk2>
        <a:srgbClr val="242852"/>
      </a:dk2>
      <a:lt2>
        <a:srgbClr val="ACCBF9"/>
      </a:lt2>
      <a:accent1>
        <a:srgbClr val="629DD1"/>
      </a:accent1>
      <a:accent2>
        <a:srgbClr val="297FD5"/>
      </a:accent2>
      <a:accent3>
        <a:srgbClr val="7F8FA9"/>
      </a:accent3>
      <a:accent4>
        <a:srgbClr val="4A66AC"/>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omments" Target="../comments1.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P113"/>
  <sheetViews>
    <sheetView showGridLines="0" tabSelected="1" workbookViewId="0">
      <selection activeCell="B5" sqref="B5:C5"/>
    </sheetView>
  </sheetViews>
  <sheetFormatPr defaultColWidth="10.625" defaultRowHeight="15.75" x14ac:dyDescent="0.25"/>
  <cols>
    <col min="1" max="1" width="7.875" style="3" customWidth="1"/>
    <col min="2" max="2" width="10" style="3" customWidth="1"/>
    <col min="3" max="3" width="10.75" style="3" customWidth="1"/>
    <col min="4" max="4" width="10.25" style="3" customWidth="1"/>
    <col min="5" max="8" width="7.875" style="3" customWidth="1"/>
    <col min="9" max="9" width="10" style="3" customWidth="1"/>
    <col min="10" max="10" width="10.75" style="3" customWidth="1"/>
    <col min="11" max="11" width="9.625" style="3" customWidth="1"/>
    <col min="12" max="12" width="7.875" style="3" customWidth="1"/>
    <col min="13" max="13" width="10.625" style="3" hidden="1" customWidth="1"/>
    <col min="14" max="16384" width="10.625" style="3"/>
  </cols>
  <sheetData>
    <row r="1" spans="1:16" ht="21" customHeight="1" x14ac:dyDescent="0.25">
      <c r="D1" s="191"/>
      <c r="E1" s="315" t="str">
        <f>IF(OR(M49=1,M49=2,M49=3),"DATE CLOSED:","")</f>
        <v/>
      </c>
      <c r="F1" s="315"/>
      <c r="G1" s="315"/>
      <c r="J1" s="112" t="s">
        <v>71</v>
      </c>
      <c r="K1" s="305"/>
      <c r="L1" s="306"/>
    </row>
    <row r="2" spans="1:16" ht="21" customHeight="1" x14ac:dyDescent="0.25">
      <c r="A2" s="190"/>
      <c r="B2" s="191"/>
      <c r="C2" s="191"/>
      <c r="D2" s="191"/>
      <c r="E2" s="152"/>
      <c r="F2" s="152"/>
      <c r="G2" s="152"/>
      <c r="J2" s="112" t="s">
        <v>73</v>
      </c>
      <c r="K2" s="196"/>
      <c r="L2" s="195"/>
    </row>
    <row r="3" spans="1:16" ht="21" customHeight="1" x14ac:dyDescent="0.25">
      <c r="A3" s="282" t="str">
        <f>IF(OR(M49=1,M49=2,M49=3),"GRAPHICS INVOICE","GRAPHICS QUOTE REQUEST")</f>
        <v>GRAPHICS QUOTE REQUEST</v>
      </c>
      <c r="B3" s="283"/>
      <c r="C3" s="283"/>
      <c r="D3" s="191"/>
      <c r="E3" s="265" t="str">
        <f>IF(OR(M49=1,M49=2,M49=3),M50,"")</f>
        <v/>
      </c>
      <c r="F3" s="266"/>
      <c r="G3" s="267"/>
      <c r="J3" s="112" t="s">
        <v>77</v>
      </c>
      <c r="K3" s="307"/>
      <c r="L3" s="308"/>
    </row>
    <row r="4" spans="1:16" ht="6.95" customHeight="1" thickBot="1" x14ac:dyDescent="0.3">
      <c r="A4" s="192"/>
      <c r="B4" s="192"/>
      <c r="C4" s="192"/>
      <c r="D4" s="192"/>
      <c r="F4" s="66"/>
      <c r="G4" s="73"/>
      <c r="H4" s="73"/>
      <c r="I4" s="73"/>
      <c r="J4" s="73"/>
      <c r="K4" s="72"/>
      <c r="L4" s="66"/>
    </row>
    <row r="5" spans="1:16" s="5" customFormat="1" ht="20.100000000000001" customHeight="1" x14ac:dyDescent="0.25">
      <c r="A5" s="83" t="s">
        <v>41</v>
      </c>
      <c r="B5" s="268"/>
      <c r="C5" s="269"/>
      <c r="D5" s="83" t="s">
        <v>59</v>
      </c>
      <c r="E5" s="309"/>
      <c r="F5" s="310"/>
      <c r="G5" s="310"/>
      <c r="H5" s="310"/>
      <c r="I5" s="83" t="s">
        <v>66</v>
      </c>
      <c r="J5" s="194"/>
      <c r="K5" s="102" t="s">
        <v>67</v>
      </c>
      <c r="L5" s="193"/>
    </row>
    <row r="6" spans="1:16" s="5" customFormat="1" ht="20.100000000000001" customHeight="1" x14ac:dyDescent="0.25">
      <c r="A6" s="84" t="s">
        <v>1</v>
      </c>
      <c r="B6" s="311"/>
      <c r="C6" s="312"/>
      <c r="D6" s="312"/>
      <c r="E6" s="312"/>
      <c r="F6" s="312"/>
      <c r="G6" s="312"/>
      <c r="H6" s="312"/>
      <c r="I6" s="312"/>
      <c r="J6" s="312"/>
      <c r="K6" s="113"/>
      <c r="L6" s="113"/>
      <c r="M6" s="104"/>
    </row>
    <row r="7" spans="1:16" s="5" customFormat="1" ht="20.100000000000001" customHeight="1" x14ac:dyDescent="0.25">
      <c r="A7" s="105" t="s">
        <v>63</v>
      </c>
      <c r="B7" s="311"/>
      <c r="C7" s="313"/>
      <c r="D7" s="313"/>
      <c r="E7" s="313"/>
      <c r="F7" s="313"/>
      <c r="G7" s="314"/>
      <c r="H7" s="314"/>
      <c r="I7" s="197" t="s">
        <v>42</v>
      </c>
      <c r="J7" s="198"/>
      <c r="K7"/>
      <c r="L7"/>
      <c r="M7" s="103"/>
      <c r="P7" s="38"/>
    </row>
    <row r="8" spans="1:16" s="5" customFormat="1" ht="20.100000000000001" customHeight="1" x14ac:dyDescent="0.25">
      <c r="A8" s="261" t="s">
        <v>72</v>
      </c>
      <c r="B8" s="261"/>
      <c r="C8" s="262" t="b">
        <f>IF(J7="RWC","Provide Previous Item #",IF(J7="New","N/A"))</f>
        <v>0</v>
      </c>
      <c r="D8" s="263"/>
      <c r="E8" s="263"/>
      <c r="F8" s="263"/>
      <c r="G8" s="263"/>
      <c r="H8" s="263"/>
      <c r="I8" s="264"/>
      <c r="J8" s="264"/>
      <c r="K8" s="264"/>
      <c r="L8" s="264"/>
      <c r="M8" s="103"/>
      <c r="P8" s="38"/>
    </row>
    <row r="9" spans="1:16" s="5" customFormat="1" ht="20.100000000000001" customHeight="1" thickBot="1" x14ac:dyDescent="0.3">
      <c r="A9" s="276" t="s">
        <v>64</v>
      </c>
      <c r="B9" s="277"/>
      <c r="C9" s="114"/>
      <c r="D9" s="89" t="s">
        <v>40</v>
      </c>
      <c r="E9" s="278"/>
      <c r="F9" s="279"/>
      <c r="G9" s="280" t="s">
        <v>106</v>
      </c>
      <c r="H9" s="281"/>
      <c r="I9" s="229"/>
      <c r="J9" s="232" t="s">
        <v>107</v>
      </c>
      <c r="K9" s="230"/>
      <c r="L9" s="231"/>
      <c r="M9" s="103"/>
    </row>
    <row r="10" spans="1:16" s="5" customFormat="1" ht="9" customHeight="1" x14ac:dyDescent="0.25">
      <c r="A10"/>
      <c r="B10"/>
      <c r="C10"/>
      <c r="D10"/>
      <c r="E10"/>
      <c r="F10"/>
      <c r="G10"/>
      <c r="H10"/>
      <c r="I10"/>
      <c r="J10"/>
      <c r="K10"/>
      <c r="L10"/>
      <c r="M10" s="43"/>
      <c r="O10" s="37"/>
    </row>
    <row r="11" spans="1:16" s="5" customFormat="1" ht="21" customHeight="1" x14ac:dyDescent="0.25">
      <c r="A11" s="271" t="str">
        <f>IF(OR(M49=1,M49=2,M49=3),"This invoice includes external charges:","This quote includes external charges:")</f>
        <v>This quote includes external charges:</v>
      </c>
      <c r="B11" s="271"/>
      <c r="C11" s="271"/>
      <c r="D11" s="199" t="s">
        <v>91</v>
      </c>
      <c r="E11" s="205"/>
      <c r="F11" s="200" t="s">
        <v>92</v>
      </c>
      <c r="G11" s="205"/>
      <c r="H11" s="200" t="s">
        <v>93</v>
      </c>
      <c r="I11" s="205"/>
      <c r="J11" s="200" t="s">
        <v>94</v>
      </c>
      <c r="K11" s="205"/>
      <c r="L11" s="67"/>
      <c r="M11" s="120" t="b">
        <v>0</v>
      </c>
      <c r="O11" s="37"/>
    </row>
    <row r="12" spans="1:16" s="5" customFormat="1" ht="9" customHeight="1" thickBot="1" x14ac:dyDescent="0.3">
      <c r="A12"/>
      <c r="B12"/>
      <c r="C12"/>
      <c r="D12"/>
      <c r="E12"/>
      <c r="F12"/>
      <c r="G12"/>
      <c r="H12"/>
      <c r="I12"/>
      <c r="J12"/>
      <c r="K12"/>
      <c r="L12"/>
      <c r="M12" s="43"/>
      <c r="O12" s="37"/>
    </row>
    <row r="13" spans="1:16" s="5" customFormat="1" ht="30" customHeight="1" thickBot="1" x14ac:dyDescent="0.3">
      <c r="A13" s="275" t="s">
        <v>78</v>
      </c>
      <c r="B13" s="275"/>
      <c r="C13" s="127" t="s">
        <v>104</v>
      </c>
      <c r="D13" s="128" t="s">
        <v>79</v>
      </c>
      <c r="E13" s="123"/>
      <c r="F13" s="284" t="s">
        <v>82</v>
      </c>
      <c r="G13" s="284"/>
      <c r="H13" s="285"/>
      <c r="I13" s="129"/>
      <c r="J13" s="129" t="s">
        <v>80</v>
      </c>
      <c r="K13" s="124"/>
      <c r="L13" s="127" t="s">
        <v>81</v>
      </c>
      <c r="M13" s="75">
        <v>0</v>
      </c>
      <c r="N13" s="85"/>
      <c r="O13" s="85"/>
      <c r="P13" s="85"/>
    </row>
    <row r="14" spans="1:16" s="5" customFormat="1" ht="6.95" customHeight="1" x14ac:dyDescent="0.25">
      <c r="A14" s="150"/>
      <c r="B14" s="150"/>
      <c r="C14" s="150"/>
      <c r="D14" s="150"/>
      <c r="E14" s="150"/>
      <c r="F14" s="150"/>
      <c r="G14" s="150"/>
      <c r="H14" s="150"/>
      <c r="I14" s="150"/>
      <c r="J14" s="150"/>
      <c r="K14" s="150"/>
      <c r="L14" s="150"/>
      <c r="N14" s="85"/>
      <c r="O14" s="85"/>
      <c r="P14" s="85"/>
    </row>
    <row r="15" spans="1:16" s="5" customFormat="1" ht="20.100000000000001" customHeight="1" x14ac:dyDescent="0.25">
      <c r="A15" s="257" t="s">
        <v>43</v>
      </c>
      <c r="B15" s="258"/>
      <c r="C15" s="272"/>
      <c r="D15" s="273"/>
      <c r="E15" s="274"/>
      <c r="F15" s="151"/>
      <c r="G15" s="151"/>
      <c r="H15" s="270" t="s">
        <v>45</v>
      </c>
      <c r="I15" s="270"/>
      <c r="J15" s="246"/>
      <c r="K15" s="247"/>
      <c r="L15" s="247"/>
    </row>
    <row r="16" spans="1:16" s="5" customFormat="1" ht="9" customHeight="1" thickBot="1" x14ac:dyDescent="0.3">
      <c r="F16" s="29"/>
      <c r="H16" s="3"/>
      <c r="I16" s="3"/>
      <c r="J16" s="3"/>
      <c r="K16" s="3"/>
      <c r="L16" s="3"/>
      <c r="M16" s="43"/>
    </row>
    <row r="17" spans="1:16" s="8" customFormat="1" ht="24" customHeight="1" x14ac:dyDescent="0.2">
      <c r="A17" s="143" t="s">
        <v>3</v>
      </c>
      <c r="B17" s="144" t="s">
        <v>60</v>
      </c>
      <c r="C17" s="145" t="s">
        <v>4</v>
      </c>
      <c r="D17" s="146" t="s">
        <v>5</v>
      </c>
      <c r="E17" s="145" t="s">
        <v>6</v>
      </c>
      <c r="F17" s="146" t="s">
        <v>39</v>
      </c>
      <c r="G17" s="145" t="s">
        <v>7</v>
      </c>
      <c r="H17" s="147" t="s">
        <v>62</v>
      </c>
      <c r="I17" s="148" t="s">
        <v>18</v>
      </c>
      <c r="J17" s="149" t="s">
        <v>61</v>
      </c>
      <c r="K17" s="115" t="s">
        <v>55</v>
      </c>
      <c r="L17" s="116" t="s">
        <v>57</v>
      </c>
      <c r="M17" s="76"/>
      <c r="N17" s="86"/>
    </row>
    <row r="18" spans="1:16" s="8" customFormat="1" ht="21.95" customHeight="1" thickBot="1" x14ac:dyDescent="0.25">
      <c r="A18" s="133"/>
      <c r="B18" s="133"/>
      <c r="C18" s="135"/>
      <c r="D18" s="135"/>
      <c r="E18" s="135"/>
      <c r="F18" s="135"/>
      <c r="G18" s="135"/>
      <c r="H18" s="135"/>
      <c r="I18" s="133"/>
      <c r="J18" s="134"/>
      <c r="K18" s="135"/>
      <c r="L18" s="134"/>
      <c r="P18" s="74"/>
    </row>
    <row r="19" spans="1:16" s="8" customFormat="1" ht="9" customHeight="1" thickBot="1" x14ac:dyDescent="0.25">
      <c r="A19" s="41"/>
      <c r="B19" s="41"/>
      <c r="C19" s="42"/>
      <c r="D19" s="42"/>
      <c r="E19" s="42"/>
      <c r="F19" s="41"/>
      <c r="G19" s="41"/>
      <c r="H19" s="41"/>
      <c r="I19" s="41"/>
      <c r="J19" s="41"/>
      <c r="K19" s="41"/>
      <c r="L19" s="33"/>
    </row>
    <row r="20" spans="1:16" s="9" customFormat="1" ht="26.1" customHeight="1" x14ac:dyDescent="0.2">
      <c r="A20" s="254" t="s">
        <v>74</v>
      </c>
      <c r="B20" s="254"/>
      <c r="C20" s="252" t="s">
        <v>105</v>
      </c>
      <c r="D20" s="253"/>
      <c r="E20" s="185"/>
      <c r="F20" s="240" t="s">
        <v>83</v>
      </c>
      <c r="G20" s="241"/>
      <c r="H20" s="241"/>
      <c r="I20" s="240" t="s">
        <v>84</v>
      </c>
      <c r="J20" s="241"/>
      <c r="K20" s="241"/>
      <c r="L20" s="185"/>
    </row>
    <row r="21" spans="1:16" s="5" customFormat="1" ht="26.1" customHeight="1" x14ac:dyDescent="0.25">
      <c r="A21" s="255"/>
      <c r="B21" s="255"/>
      <c r="C21" s="259" t="s">
        <v>85</v>
      </c>
      <c r="D21" s="260"/>
      <c r="E21" s="186"/>
      <c r="F21" s="242" t="s">
        <v>86</v>
      </c>
      <c r="G21" s="243"/>
      <c r="H21" s="243"/>
      <c r="I21" s="242" t="s">
        <v>87</v>
      </c>
      <c r="J21" s="243"/>
      <c r="K21" s="243"/>
      <c r="L21" s="187"/>
    </row>
    <row r="22" spans="1:16" s="5" customFormat="1" ht="26.1" customHeight="1" thickBot="1" x14ac:dyDescent="0.3">
      <c r="A22" s="256"/>
      <c r="B22" s="256"/>
      <c r="C22" s="250" t="s">
        <v>88</v>
      </c>
      <c r="D22" s="251"/>
      <c r="E22" s="188"/>
      <c r="F22" s="244" t="s">
        <v>89</v>
      </c>
      <c r="G22" s="245"/>
      <c r="H22" s="245"/>
      <c r="I22" s="244" t="s">
        <v>90</v>
      </c>
      <c r="J22" s="245"/>
      <c r="K22" s="245"/>
      <c r="L22" s="189"/>
      <c r="N22" s="31"/>
    </row>
    <row r="23" spans="1:16" s="5" customFormat="1" ht="9" customHeight="1" x14ac:dyDescent="0.25">
      <c r="A23" s="24"/>
      <c r="B23" s="24"/>
      <c r="C23" s="24"/>
      <c r="D23" s="28"/>
      <c r="E23" s="6"/>
      <c r="F23" s="4"/>
      <c r="G23" s="6"/>
      <c r="H23" s="6"/>
      <c r="I23" s="6"/>
      <c r="J23" s="6"/>
      <c r="K23" s="6"/>
      <c r="L23" s="4"/>
    </row>
    <row r="24" spans="1:16" s="5" customFormat="1" ht="18" customHeight="1" x14ac:dyDescent="0.25">
      <c r="A24" s="248" t="s">
        <v>69</v>
      </c>
      <c r="B24" s="249"/>
      <c r="C24" s="287"/>
      <c r="D24" s="288"/>
      <c r="E24" s="6"/>
      <c r="F24" s="4"/>
      <c r="G24" s="6"/>
      <c r="H24" s="6"/>
      <c r="I24" s="6"/>
      <c r="J24" s="6"/>
      <c r="K24" s="6"/>
      <c r="L24" s="4"/>
    </row>
    <row r="25" spans="1:16" s="5" customFormat="1" ht="9" customHeight="1" thickBot="1" x14ac:dyDescent="0.3">
      <c r="A25" s="4"/>
      <c r="B25" s="4"/>
      <c r="C25" s="4"/>
      <c r="D25" s="6"/>
      <c r="E25" s="6"/>
      <c r="F25" s="4"/>
      <c r="G25" s="6"/>
      <c r="H25" s="6"/>
      <c r="I25" s="6"/>
      <c r="J25" s="6"/>
      <c r="K25" s="6"/>
      <c r="L25" s="4"/>
    </row>
    <row r="26" spans="1:16" s="9" customFormat="1" ht="20.100000000000001" customHeight="1" thickBot="1" x14ac:dyDescent="0.25">
      <c r="A26" s="39" t="s">
        <v>12</v>
      </c>
      <c r="B26" s="39"/>
      <c r="C26" s="39"/>
      <c r="D26" s="40" t="str">
        <f>IF(OR(M13=0,M13=1,M13=2,M13=4,M13=5),"Units","")</f>
        <v>Units</v>
      </c>
      <c r="E26" s="82" t="str">
        <f>IF(OR(M13=3,M13=2,M13=6),"Units","")</f>
        <v/>
      </c>
      <c r="F26" s="80"/>
      <c r="G26" s="39" t="s">
        <v>13</v>
      </c>
      <c r="H26" s="39"/>
      <c r="I26" s="137"/>
      <c r="J26" s="137"/>
      <c r="K26" s="39"/>
      <c r="L26" s="39" t="s">
        <v>14</v>
      </c>
    </row>
    <row r="27" spans="1:16" s="10" customFormat="1" ht="18.95" customHeight="1" x14ac:dyDescent="0.25">
      <c r="A27" s="295" t="s">
        <v>65</v>
      </c>
      <c r="B27" s="295"/>
      <c r="C27" s="15"/>
      <c r="D27" s="21">
        <f>IF(OR(M13=0,M13=1,M13=2,M13=4),B18,"")</f>
        <v>0</v>
      </c>
      <c r="E27" s="109" t="str">
        <f>IF(M13=3,B18,"")</f>
        <v/>
      </c>
      <c r="F27" s="79"/>
      <c r="G27" s="16">
        <v>37.5</v>
      </c>
      <c r="H27" s="15"/>
      <c r="I27" s="139"/>
      <c r="J27" s="139"/>
      <c r="K27" s="15"/>
      <c r="L27" s="94">
        <f>IFERROR(IF(M13=3,E27*G27,D27*G27),0)</f>
        <v>0</v>
      </c>
    </row>
    <row r="28" spans="1:16" s="10" customFormat="1" ht="18.95" customHeight="1" x14ac:dyDescent="0.25">
      <c r="A28" s="158" t="s">
        <v>25</v>
      </c>
      <c r="B28" s="158"/>
      <c r="C28" s="158"/>
      <c r="D28" s="159">
        <f>IF(OR(M13=0,M13=1,M13=2,M13=4),B18,"")</f>
        <v>0</v>
      </c>
      <c r="E28" s="160" t="str">
        <f>IF(M13=3,B18,"")</f>
        <v/>
      </c>
      <c r="F28" s="158"/>
      <c r="G28" s="161">
        <v>28</v>
      </c>
      <c r="H28" s="158"/>
      <c r="I28" s="158"/>
      <c r="J28" s="158"/>
      <c r="K28" s="158"/>
      <c r="L28" s="162">
        <f>IFERROR(IF(M13=3,E28*G28,D28*G28),0)</f>
        <v>0</v>
      </c>
    </row>
    <row r="29" spans="1:16" s="10" customFormat="1" ht="18.95" customHeight="1" x14ac:dyDescent="0.25">
      <c r="A29" s="297" t="s">
        <v>24</v>
      </c>
      <c r="B29" s="297"/>
      <c r="C29" s="7"/>
      <c r="D29" s="22">
        <f>IF(M13=0,Calculations!F12,IF(M13=1,Calculations!F12,IF(M13=2,Calculations!F12,IF(M13=5,"",IF(M13=3,"",IF(M13=4,"",IF(M13=6,"")))))))</f>
        <v>0</v>
      </c>
      <c r="E29" s="100" t="str">
        <f>IF(OR(M13=3,M13=6),0,"")</f>
        <v/>
      </c>
      <c r="F29" s="78"/>
      <c r="G29" s="11">
        <v>150</v>
      </c>
      <c r="H29" s="7"/>
      <c r="I29" s="136"/>
      <c r="J29" s="136"/>
      <c r="K29" s="7"/>
      <c r="L29" s="94">
        <f>IFERROR(IF(OR(M13=3,M13=6),E29*G29,D29*G29),0)</f>
        <v>0</v>
      </c>
    </row>
    <row r="30" spans="1:16" s="10" customFormat="1" ht="18.95" customHeight="1" x14ac:dyDescent="0.25">
      <c r="A30" s="163" t="str">
        <f>IF(M13=2,"Additonal Preflight Time (Rev)","")</f>
        <v/>
      </c>
      <c r="B30" s="164"/>
      <c r="C30" s="164"/>
      <c r="D30" s="165"/>
      <c r="E30" s="166" t="str">
        <f>IF(M13=2,0,"")</f>
        <v/>
      </c>
      <c r="F30" s="164"/>
      <c r="G30" s="167">
        <v>150</v>
      </c>
      <c r="H30" s="164"/>
      <c r="I30" s="164"/>
      <c r="J30" s="164"/>
      <c r="K30" s="164"/>
      <c r="L30" s="162">
        <f>IFERROR(IF(M13=2,E30*G30,0),0)</f>
        <v>0</v>
      </c>
    </row>
    <row r="31" spans="1:16" s="10" customFormat="1" ht="18.95" customHeight="1" x14ac:dyDescent="0.25">
      <c r="A31" s="297" t="s">
        <v>20</v>
      </c>
      <c r="B31" s="297"/>
      <c r="C31" s="7"/>
      <c r="D31" s="22">
        <f>IF(OR(M13=0,M13=1,M13=2),I18,"")</f>
        <v>0</v>
      </c>
      <c r="E31" s="110" t="str">
        <f>IF(M13=3,I18,"")</f>
        <v/>
      </c>
      <c r="F31" s="78"/>
      <c r="G31" s="11">
        <v>50</v>
      </c>
      <c r="H31" s="7"/>
      <c r="I31" s="136"/>
      <c r="J31" s="136"/>
      <c r="K31" s="7"/>
      <c r="L31" s="94">
        <f>IFERROR(IF(M13=3,E31*G31,D31*G31),0)</f>
        <v>0</v>
      </c>
    </row>
    <row r="32" spans="1:16" s="10" customFormat="1" ht="18.95" customHeight="1" x14ac:dyDescent="0.25">
      <c r="A32" s="293" t="s">
        <v>26</v>
      </c>
      <c r="B32" s="293"/>
      <c r="C32" s="164"/>
      <c r="D32" s="165">
        <f>IF(OR(M13=0,M13=1,M13=2),Calculations!F16,"")</f>
        <v>0</v>
      </c>
      <c r="E32" s="168" t="str">
        <f>IF(M13=3,Calculations!G16,"")</f>
        <v/>
      </c>
      <c r="F32" s="164"/>
      <c r="G32" s="167">
        <v>150</v>
      </c>
      <c r="H32" s="164"/>
      <c r="I32" s="164"/>
      <c r="J32" s="164"/>
      <c r="K32" s="164"/>
      <c r="L32" s="162">
        <f>IFERROR(IF(M13=3,E32*G32,D32*G32),0)</f>
        <v>0</v>
      </c>
    </row>
    <row r="33" spans="1:13" s="10" customFormat="1" ht="18.95" customHeight="1" x14ac:dyDescent="0.25">
      <c r="A33" s="91" t="str">
        <f>IF(AND(M13=2,K18&gt;0),"Additional CC Time (Rev CP)","")</f>
        <v/>
      </c>
      <c r="B33" s="91"/>
      <c r="C33" s="91"/>
      <c r="D33" s="91"/>
      <c r="E33" s="101" t="str">
        <f>IF(AND(M13=2,K18&gt;0),"0","")</f>
        <v/>
      </c>
      <c r="F33" s="90"/>
      <c r="G33" s="11">
        <v>150</v>
      </c>
      <c r="H33" s="90"/>
      <c r="I33" s="136"/>
      <c r="J33" s="136"/>
      <c r="K33" s="90"/>
      <c r="L33" s="94">
        <f>IFERROR(IF(M13=2,E33*G33,0),0)</f>
        <v>0</v>
      </c>
    </row>
    <row r="34" spans="1:13" s="10" customFormat="1" ht="18.95" customHeight="1" x14ac:dyDescent="0.25">
      <c r="A34" s="293" t="s">
        <v>19</v>
      </c>
      <c r="B34" s="296"/>
      <c r="C34" s="164"/>
      <c r="D34" s="165">
        <f>IF(OR(M13=0,M13=1,M13=2,M13=4),L18,"")</f>
        <v>0</v>
      </c>
      <c r="E34" s="169" t="str">
        <f>IF(M13=3,L18,"")</f>
        <v/>
      </c>
      <c r="F34" s="164"/>
      <c r="G34" s="167">
        <v>225</v>
      </c>
      <c r="H34" s="164"/>
      <c r="I34" s="164"/>
      <c r="J34" s="164"/>
      <c r="K34" s="164"/>
      <c r="L34" s="162">
        <f>IFERROR(IF(M13=3,E34*G34,D34*G34),0)</f>
        <v>0</v>
      </c>
    </row>
    <row r="35" spans="1:13" s="10" customFormat="1" ht="18.95" customHeight="1" x14ac:dyDescent="0.25">
      <c r="A35" s="297" t="s">
        <v>28</v>
      </c>
      <c r="B35" s="298"/>
      <c r="C35" s="7"/>
      <c r="D35" s="22" t="b">
        <f>IF(M13=0,Calculations!B19,IF(M13=1,Calculations!B19,IF(M13=2,Calculations!B19,IF(M13=5,"",IF(M13=3,"",IF(M13=4,"",IF(M13=6,"")))))))</f>
        <v>0</v>
      </c>
      <c r="E35" s="100" t="str">
        <f>IF(M13=3,0,"")</f>
        <v/>
      </c>
      <c r="F35" s="78"/>
      <c r="G35" s="11">
        <v>150</v>
      </c>
      <c r="H35" s="7"/>
      <c r="I35" s="136"/>
      <c r="J35" s="136"/>
      <c r="K35" s="7"/>
      <c r="L35" s="94">
        <f>IFERROR(IF(M13=3,E35*G35,D35*G35),0)</f>
        <v>0</v>
      </c>
    </row>
    <row r="36" spans="1:13" s="10" customFormat="1" ht="18.95" customHeight="1" x14ac:dyDescent="0.25">
      <c r="A36" s="293" t="s">
        <v>56</v>
      </c>
      <c r="B36" s="296"/>
      <c r="C36" s="164"/>
      <c r="D36" s="165">
        <f>IF(OR(M13=0,M13=1,M13=2),J18,"")</f>
        <v>0</v>
      </c>
      <c r="E36" s="169" t="str">
        <f>IF(M13=3,J18,"")</f>
        <v/>
      </c>
      <c r="F36" s="164"/>
      <c r="G36" s="167">
        <v>15</v>
      </c>
      <c r="H36" s="164"/>
      <c r="I36" s="164"/>
      <c r="J36" s="164"/>
      <c r="K36" s="164"/>
      <c r="L36" s="162">
        <f>IFERROR(IF(M13=3,E36*G36,D36*G36),0)</f>
        <v>0</v>
      </c>
    </row>
    <row r="37" spans="1:13" s="10" customFormat="1" ht="18.95" customHeight="1" x14ac:dyDescent="0.25">
      <c r="A37" s="289" t="s">
        <v>29</v>
      </c>
      <c r="B37" s="290"/>
      <c r="C37" s="17"/>
      <c r="D37" s="23">
        <f>IF(OR(M13=0,M13=1,M13=2,M13=5),Calculations!B22,"")</f>
        <v>0</v>
      </c>
      <c r="E37" s="108" t="str">
        <f>IF(M13=3,0,"")</f>
        <v/>
      </c>
      <c r="F37" s="81"/>
      <c r="G37" s="18">
        <v>150</v>
      </c>
      <c r="H37" s="17"/>
      <c r="I37" s="138"/>
      <c r="J37" s="138"/>
      <c r="K37" s="17"/>
      <c r="L37" s="94">
        <f>IFERROR(IF(M13=3,E37*G37,D37*G37),0)</f>
        <v>0</v>
      </c>
    </row>
    <row r="38" spans="1:13" s="10" customFormat="1" ht="18.95" customHeight="1" x14ac:dyDescent="0.25">
      <c r="A38" s="291" t="s">
        <v>21</v>
      </c>
      <c r="B38" s="292"/>
      <c r="C38" s="170"/>
      <c r="D38" s="171">
        <f>IF(OR(M13=0,M13=1,M13=2,M13=4,M13=5),(Calculations!C26*Calculations!D26)*C18,"")</f>
        <v>0</v>
      </c>
      <c r="E38" s="172" t="str">
        <f>IF(M13=3,Calculations!C26*Calculations!D26*C18,"")</f>
        <v/>
      </c>
      <c r="F38" s="170"/>
      <c r="G38" s="173">
        <v>0.24</v>
      </c>
      <c r="H38" s="170"/>
      <c r="I38" s="170"/>
      <c r="J38" s="170"/>
      <c r="K38" s="170"/>
      <c r="L38" s="174">
        <f>IFERROR(IF(M13=3,E38*G38,D38*G38),0)</f>
        <v>0</v>
      </c>
    </row>
    <row r="39" spans="1:13" s="10" customFormat="1" ht="18.95" customHeight="1" x14ac:dyDescent="0.25">
      <c r="A39" s="202" t="str">
        <f>IF(E11&gt;0,"External Mac Time Charge","")</f>
        <v/>
      </c>
      <c r="B39" s="141"/>
      <c r="C39" s="140"/>
      <c r="D39" s="153"/>
      <c r="E39" s="154"/>
      <c r="F39" s="140"/>
      <c r="G39" s="18"/>
      <c r="H39" s="140"/>
      <c r="I39" s="140"/>
      <c r="J39" s="140"/>
      <c r="K39" s="140"/>
      <c r="L39" s="121">
        <f>IF(M11,E11,0)</f>
        <v>0</v>
      </c>
      <c r="M39" s="122" t="b">
        <f>OR(M12=1,M12=2)</f>
        <v>0</v>
      </c>
    </row>
    <row r="40" spans="1:13" s="10" customFormat="1" ht="18.95" customHeight="1" x14ac:dyDescent="0.25">
      <c r="A40" s="163" t="str">
        <f>IF(G11&gt;0,"External Proof Charge","")</f>
        <v/>
      </c>
      <c r="B40" s="175"/>
      <c r="C40" s="164"/>
      <c r="D40" s="176"/>
      <c r="E40" s="168"/>
      <c r="F40" s="164"/>
      <c r="G40" s="167"/>
      <c r="H40" s="164"/>
      <c r="I40" s="164"/>
      <c r="J40" s="164"/>
      <c r="K40" s="164"/>
      <c r="L40" s="174">
        <f>IF(M11,G11,0)</f>
        <v>0</v>
      </c>
      <c r="M40" s="122" t="b">
        <f>OR(M12=1,M12=2)</f>
        <v>0</v>
      </c>
    </row>
    <row r="41" spans="1:13" s="10" customFormat="1" ht="18.95" customHeight="1" x14ac:dyDescent="0.25">
      <c r="A41" s="203" t="str">
        <f>IF(I11,"External Plate Charge","")</f>
        <v/>
      </c>
      <c r="B41" s="155"/>
      <c r="C41" s="142"/>
      <c r="D41" s="156"/>
      <c r="E41" s="157"/>
      <c r="F41" s="142"/>
      <c r="G41" s="16"/>
      <c r="H41" s="142"/>
      <c r="I41" s="142"/>
      <c r="J41" s="142"/>
      <c r="K41" s="142"/>
      <c r="L41" s="94">
        <f>IF(M11,I11,0)</f>
        <v>0</v>
      </c>
      <c r="M41" s="122" t="b">
        <f>OR(M12=1,M12=2)</f>
        <v>0</v>
      </c>
    </row>
    <row r="42" spans="1:13" s="10" customFormat="1" ht="18.95" customHeight="1" thickBot="1" x14ac:dyDescent="0.3">
      <c r="A42" s="204" t="str">
        <f>IF(K11&gt;0,"Custom Sleeve Charge","")</f>
        <v/>
      </c>
      <c r="B42" s="178"/>
      <c r="C42" s="177"/>
      <c r="D42" s="179"/>
      <c r="E42" s="180"/>
      <c r="F42" s="177"/>
      <c r="G42" s="181"/>
      <c r="H42" s="177"/>
      <c r="I42" s="177"/>
      <c r="J42" s="177"/>
      <c r="K42" s="177"/>
      <c r="L42" s="182">
        <f>IF(M11,K11,0)</f>
        <v>0</v>
      </c>
      <c r="M42" s="122" t="b">
        <f>OR(M13=1,M13=2)</f>
        <v>0</v>
      </c>
    </row>
    <row r="43" spans="1:13" s="10" customFormat="1" ht="18.95" customHeight="1" thickBot="1" x14ac:dyDescent="0.3">
      <c r="A43" s="4"/>
      <c r="B43" s="4"/>
      <c r="C43" s="4"/>
      <c r="D43" s="4"/>
      <c r="E43" s="4"/>
      <c r="F43" s="4"/>
      <c r="G43" s="4"/>
      <c r="H43" s="4"/>
      <c r="I43" s="4"/>
      <c r="J43" s="4"/>
      <c r="K43" s="118" t="s">
        <v>15</v>
      </c>
      <c r="L43" s="131">
        <f>SUM(L27:L42)</f>
        <v>0</v>
      </c>
    </row>
    <row r="44" spans="1:13" s="10" customFormat="1" ht="18.95" customHeight="1" thickBot="1" x14ac:dyDescent="0.3">
      <c r="A44" s="239" t="s">
        <v>108</v>
      </c>
      <c r="B44" s="239"/>
      <c r="C44" s="235"/>
      <c r="D44" s="233"/>
      <c r="E44" s="12"/>
      <c r="F44" s="12"/>
      <c r="G44" s="12"/>
      <c r="H44" s="12"/>
      <c r="I44" s="12"/>
      <c r="J44" s="12"/>
      <c r="K44" s="19" t="s">
        <v>17</v>
      </c>
      <c r="L44" s="132" t="e">
        <f>L43/C18</f>
        <v>#DIV/0!</v>
      </c>
      <c r="M44" s="234" t="b">
        <v>0</v>
      </c>
    </row>
    <row r="45" spans="1:13" s="10" customFormat="1" ht="6" customHeight="1" x14ac:dyDescent="0.25">
      <c r="A45" s="236"/>
      <c r="B45" s="236"/>
      <c r="E45" s="12"/>
      <c r="F45" s="12"/>
      <c r="G45" s="12"/>
      <c r="H45" s="12"/>
      <c r="I45" s="12"/>
      <c r="J45" s="12"/>
      <c r="K45" s="34"/>
      <c r="L45" s="35"/>
    </row>
    <row r="46" spans="1:13" s="10" customFormat="1" ht="17.100000000000001" customHeight="1" x14ac:dyDescent="0.25">
      <c r="A46" s="237"/>
      <c r="B46" s="237"/>
      <c r="E46" s="12"/>
      <c r="F46" s="12"/>
      <c r="G46" s="12"/>
      <c r="H46" s="12"/>
      <c r="I46" s="12"/>
      <c r="J46" s="12"/>
      <c r="K46" s="126" t="str">
        <f>IF(M11,"Internal:","")</f>
        <v/>
      </c>
      <c r="L46" s="125" t="str">
        <f>IF(M11,L43-L47,"")</f>
        <v/>
      </c>
    </row>
    <row r="47" spans="1:13" s="10" customFormat="1" ht="18" customHeight="1" x14ac:dyDescent="0.25">
      <c r="E47" s="12"/>
      <c r="F47" s="12"/>
      <c r="G47" s="12"/>
      <c r="H47" s="12"/>
      <c r="I47" s="12"/>
      <c r="J47" s="12"/>
      <c r="K47" s="126" t="str">
        <f>IF(M11,"External:","")</f>
        <v/>
      </c>
      <c r="L47" s="125" t="str">
        <f>IF(M11,L39+L40+L41+L42,"")</f>
        <v/>
      </c>
    </row>
    <row r="48" spans="1:13" s="10" customFormat="1" ht="6" customHeight="1" thickBot="1" x14ac:dyDescent="0.3">
      <c r="E48" s="12"/>
      <c r="F48" s="12"/>
      <c r="G48" s="12"/>
      <c r="H48" s="12"/>
      <c r="I48" s="12"/>
      <c r="J48" s="12"/>
      <c r="K48" s="34"/>
      <c r="L48" s="35"/>
    </row>
    <row r="49" spans="1:13" s="10" customFormat="1" ht="27" customHeight="1" thickBot="1" x14ac:dyDescent="0.3">
      <c r="A49" s="301" t="s">
        <v>75</v>
      </c>
      <c r="B49" s="302"/>
      <c r="C49" s="302"/>
      <c r="D49" s="300"/>
      <c r="E49" s="300"/>
      <c r="F49" s="294" t="s">
        <v>76</v>
      </c>
      <c r="G49" s="294"/>
      <c r="H49" s="299" t="str">
        <f>IF(OR(M49=1,M49=2,M49=3),"Total Before Markup:","")</f>
        <v/>
      </c>
      <c r="I49" s="299"/>
      <c r="J49" s="299"/>
      <c r="K49" s="299"/>
      <c r="L49" s="130" t="b">
        <f>IF(M49=2,L43)</f>
        <v>0</v>
      </c>
      <c r="M49" s="75">
        <v>0</v>
      </c>
    </row>
    <row r="50" spans="1:13" s="10" customFormat="1" ht="18.95" customHeight="1" thickBot="1" x14ac:dyDescent="0.3">
      <c r="A50" s="303" t="s">
        <v>95</v>
      </c>
      <c r="B50" s="304"/>
      <c r="C50" s="201"/>
      <c r="D50" s="201"/>
      <c r="E50" s="201"/>
      <c r="F50" s="201"/>
      <c r="G50" s="201"/>
      <c r="H50" s="201"/>
      <c r="I50" s="201"/>
      <c r="J50" s="201"/>
      <c r="K50" s="201"/>
      <c r="L50" s="201"/>
      <c r="M50" s="77">
        <f ca="1">TODAY()</f>
        <v>42608</v>
      </c>
    </row>
    <row r="51" spans="1:13" s="10" customFormat="1" ht="21" customHeight="1" x14ac:dyDescent="0.25">
      <c r="A51" s="183"/>
      <c r="B51" s="183"/>
      <c r="C51" s="183"/>
      <c r="D51" s="183"/>
      <c r="E51" s="183"/>
      <c r="F51" s="183"/>
      <c r="G51" s="183"/>
      <c r="H51" s="183"/>
      <c r="I51" s="183"/>
      <c r="J51" s="183"/>
      <c r="K51" s="183"/>
      <c r="L51" s="183"/>
      <c r="M51" s="184"/>
    </row>
    <row r="52" spans="1:13" s="10" customFormat="1" ht="21" customHeight="1" x14ac:dyDescent="0.25">
      <c r="A52" s="183"/>
      <c r="B52" s="183"/>
      <c r="C52" s="183"/>
      <c r="D52" s="183"/>
      <c r="E52" s="183"/>
      <c r="F52" s="183"/>
      <c r="G52" s="183"/>
      <c r="H52" s="183"/>
      <c r="I52" s="183"/>
      <c r="J52" s="183"/>
      <c r="K52" s="183"/>
      <c r="L52" s="183"/>
      <c r="M52" s="184"/>
    </row>
    <row r="53" spans="1:13" s="10" customFormat="1" ht="21" customHeight="1" x14ac:dyDescent="0.25">
      <c r="A53" s="183"/>
      <c r="B53" s="183"/>
      <c r="C53" s="183"/>
      <c r="D53" s="183"/>
      <c r="E53" s="183"/>
      <c r="F53" s="183"/>
      <c r="G53" s="183"/>
      <c r="H53" s="183"/>
      <c r="I53" s="183"/>
      <c r="J53" s="183"/>
      <c r="K53" s="183"/>
      <c r="L53" s="183"/>
      <c r="M53" s="184"/>
    </row>
    <row r="54" spans="1:13" s="10" customFormat="1" ht="21" customHeight="1" x14ac:dyDescent="0.25">
      <c r="A54" s="183"/>
      <c r="B54" s="183"/>
      <c r="C54" s="183"/>
      <c r="D54" s="183"/>
      <c r="E54" s="183"/>
      <c r="F54" s="183"/>
      <c r="G54" s="183"/>
      <c r="H54" s="183"/>
      <c r="I54" s="183"/>
      <c r="J54" s="183"/>
      <c r="K54" s="183"/>
      <c r="L54" s="183"/>
      <c r="M54" s="184"/>
    </row>
    <row r="55" spans="1:13" s="10" customFormat="1" ht="21" customHeight="1" x14ac:dyDescent="0.25">
      <c r="A55" s="183"/>
      <c r="B55" s="183"/>
      <c r="C55" s="183"/>
      <c r="D55" s="183"/>
      <c r="E55" s="183"/>
      <c r="F55" s="183"/>
      <c r="G55" s="183"/>
      <c r="H55" s="183"/>
      <c r="I55" s="183"/>
      <c r="J55" s="183"/>
      <c r="K55" s="183"/>
      <c r="L55" s="183"/>
      <c r="M55" s="184"/>
    </row>
    <row r="56" spans="1:13" s="10" customFormat="1" ht="21" customHeight="1" x14ac:dyDescent="0.25">
      <c r="A56" s="183"/>
      <c r="B56" s="183"/>
      <c r="C56" s="183"/>
      <c r="D56" s="183"/>
      <c r="E56" s="183"/>
      <c r="F56" s="183"/>
      <c r="G56" s="183"/>
      <c r="H56" s="183"/>
      <c r="I56" s="183"/>
      <c r="J56" s="183"/>
      <c r="K56" s="183"/>
      <c r="L56" s="183"/>
      <c r="M56" s="184"/>
    </row>
    <row r="57" spans="1:13" s="10" customFormat="1" ht="21" customHeight="1" thickBot="1" x14ac:dyDescent="0.3">
      <c r="A57" s="88"/>
      <c r="B57" s="88"/>
      <c r="C57" s="88"/>
      <c r="D57" s="88"/>
      <c r="E57" s="88"/>
      <c r="F57" s="88"/>
      <c r="G57" s="88"/>
      <c r="H57" s="88"/>
      <c r="I57" s="88"/>
      <c r="J57" s="88"/>
      <c r="K57" s="88"/>
      <c r="L57" s="88"/>
    </row>
    <row r="58" spans="1:13" s="10" customFormat="1" ht="20.100000000000001" customHeight="1" x14ac:dyDescent="0.25">
      <c r="A58" s="286" t="s">
        <v>44</v>
      </c>
      <c r="B58" s="286"/>
      <c r="C58" s="286"/>
      <c r="D58" s="286"/>
      <c r="E58" s="286"/>
      <c r="F58" s="286"/>
      <c r="G58" s="286"/>
      <c r="H58" s="286"/>
      <c r="I58" s="286"/>
      <c r="J58" s="286"/>
      <c r="K58" s="286"/>
      <c r="L58" s="286"/>
    </row>
    <row r="59" spans="1:13" s="87" customFormat="1" x14ac:dyDescent="0.25"/>
    <row r="60" spans="1:13" s="87" customFormat="1" x14ac:dyDescent="0.25"/>
    <row r="61" spans="1:13" s="87" customFormat="1" x14ac:dyDescent="0.25"/>
    <row r="62" spans="1:13" s="87" customFormat="1" x14ac:dyDescent="0.25"/>
    <row r="63" spans="1:13" s="87" customFormat="1" x14ac:dyDescent="0.25"/>
    <row r="64" spans="1:13" s="87" customFormat="1" x14ac:dyDescent="0.25"/>
    <row r="65" s="87" customFormat="1" x14ac:dyDescent="0.25"/>
    <row r="66" s="87" customFormat="1" x14ac:dyDescent="0.25"/>
    <row r="67" s="87" customFormat="1" x14ac:dyDescent="0.25"/>
    <row r="68" s="87" customFormat="1" x14ac:dyDescent="0.25"/>
    <row r="69" s="87" customFormat="1" x14ac:dyDescent="0.25"/>
    <row r="70" s="87" customFormat="1" x14ac:dyDescent="0.25"/>
    <row r="71" s="87" customFormat="1" x14ac:dyDescent="0.25"/>
    <row r="72" s="87" customFormat="1" x14ac:dyDescent="0.25"/>
    <row r="73" s="87" customFormat="1" x14ac:dyDescent="0.25"/>
    <row r="74" s="87" customFormat="1" x14ac:dyDescent="0.25"/>
    <row r="75" s="87" customFormat="1" x14ac:dyDescent="0.25"/>
    <row r="76" s="87" customFormat="1" x14ac:dyDescent="0.25"/>
    <row r="77" s="87" customFormat="1" x14ac:dyDescent="0.25"/>
    <row r="78" s="87" customFormat="1" x14ac:dyDescent="0.25"/>
    <row r="79" s="87" customFormat="1" x14ac:dyDescent="0.25"/>
    <row r="80" s="87" customFormat="1" x14ac:dyDescent="0.25"/>
    <row r="81" s="87" customFormat="1" x14ac:dyDescent="0.25"/>
    <row r="82" s="87" customFormat="1" x14ac:dyDescent="0.25"/>
    <row r="83" s="87" customFormat="1" x14ac:dyDescent="0.25"/>
    <row r="84" s="87" customFormat="1" x14ac:dyDescent="0.25"/>
    <row r="85" s="87" customFormat="1" x14ac:dyDescent="0.25"/>
    <row r="86" s="87" customFormat="1" x14ac:dyDescent="0.25"/>
    <row r="87" s="87" customFormat="1" x14ac:dyDescent="0.25"/>
    <row r="88" s="87" customFormat="1" x14ac:dyDescent="0.25"/>
    <row r="89" s="87" customFormat="1" x14ac:dyDescent="0.25"/>
    <row r="90" s="87" customFormat="1" x14ac:dyDescent="0.25"/>
    <row r="91" s="87" customFormat="1" x14ac:dyDescent="0.25"/>
    <row r="92" s="87" customFormat="1" x14ac:dyDescent="0.25"/>
    <row r="93" s="87" customFormat="1" x14ac:dyDescent="0.25"/>
    <row r="94" s="87" customFormat="1" x14ac:dyDescent="0.25"/>
    <row r="95" s="87" customFormat="1" x14ac:dyDescent="0.25"/>
    <row r="96" s="87" customFormat="1" x14ac:dyDescent="0.25"/>
    <row r="97" s="87" customFormat="1" x14ac:dyDescent="0.25"/>
    <row r="98" s="87" customFormat="1" x14ac:dyDescent="0.25"/>
    <row r="99" s="87" customFormat="1" x14ac:dyDescent="0.25"/>
    <row r="100" s="87" customFormat="1" x14ac:dyDescent="0.25"/>
    <row r="101" s="87" customFormat="1" x14ac:dyDescent="0.25"/>
    <row r="102" s="87" customFormat="1" x14ac:dyDescent="0.25"/>
    <row r="103" s="87" customFormat="1" x14ac:dyDescent="0.25"/>
    <row r="104" s="87" customFormat="1" x14ac:dyDescent="0.25"/>
    <row r="105" s="87" customFormat="1" x14ac:dyDescent="0.25"/>
    <row r="106" s="87" customFormat="1" x14ac:dyDescent="0.25"/>
    <row r="107" s="87" customFormat="1" x14ac:dyDescent="0.25"/>
    <row r="108" s="87" customFormat="1" x14ac:dyDescent="0.25"/>
    <row r="109" s="87" customFormat="1" x14ac:dyDescent="0.25"/>
    <row r="110" s="87" customFormat="1" x14ac:dyDescent="0.25"/>
    <row r="111" s="87" customFormat="1" x14ac:dyDescent="0.25"/>
    <row r="112" s="87" customFormat="1" x14ac:dyDescent="0.25"/>
    <row r="113" s="87" customFormat="1" x14ac:dyDescent="0.25"/>
  </sheetData>
  <sheetProtection sheet="1" objects="1" scenarios="1" insertHyperlinks="0"/>
  <mergeCells count="49">
    <mergeCell ref="K1:L1"/>
    <mergeCell ref="K3:L3"/>
    <mergeCell ref="E5:H5"/>
    <mergeCell ref="B6:J6"/>
    <mergeCell ref="B7:H7"/>
    <mergeCell ref="E1:G1"/>
    <mergeCell ref="A58:L58"/>
    <mergeCell ref="C24:D24"/>
    <mergeCell ref="A37:B37"/>
    <mergeCell ref="A38:B38"/>
    <mergeCell ref="A32:B32"/>
    <mergeCell ref="F49:G49"/>
    <mergeCell ref="A27:B27"/>
    <mergeCell ref="A34:B34"/>
    <mergeCell ref="A35:B35"/>
    <mergeCell ref="A29:B29"/>
    <mergeCell ref="H49:K49"/>
    <mergeCell ref="D49:E49"/>
    <mergeCell ref="A31:B31"/>
    <mergeCell ref="A36:B36"/>
    <mergeCell ref="A49:C49"/>
    <mergeCell ref="A50:B50"/>
    <mergeCell ref="A8:B8"/>
    <mergeCell ref="C8:L8"/>
    <mergeCell ref="E3:G3"/>
    <mergeCell ref="B5:C5"/>
    <mergeCell ref="H15:I15"/>
    <mergeCell ref="A11:C11"/>
    <mergeCell ref="C15:E15"/>
    <mergeCell ref="A13:B13"/>
    <mergeCell ref="A9:B9"/>
    <mergeCell ref="E9:F9"/>
    <mergeCell ref="G9:H9"/>
    <mergeCell ref="A3:C3"/>
    <mergeCell ref="F13:H13"/>
    <mergeCell ref="A44:B44"/>
    <mergeCell ref="I20:K20"/>
    <mergeCell ref="I21:K21"/>
    <mergeCell ref="I22:K22"/>
    <mergeCell ref="J15:L15"/>
    <mergeCell ref="A24:B24"/>
    <mergeCell ref="C22:D22"/>
    <mergeCell ref="C20:D20"/>
    <mergeCell ref="A20:B22"/>
    <mergeCell ref="A15:B15"/>
    <mergeCell ref="F20:H20"/>
    <mergeCell ref="F21:H21"/>
    <mergeCell ref="F22:H22"/>
    <mergeCell ref="C21:D21"/>
  </mergeCells>
  <phoneticPr fontId="1" type="noConversion"/>
  <conditionalFormatting sqref="L49">
    <cfRule type="containsText" dxfId="7" priority="8" operator="containsText" text="FALSE">
      <formula>NOT(ISERROR(SEARCH("FALSE",L49)))</formula>
    </cfRule>
  </conditionalFormatting>
  <conditionalFormatting sqref="G9">
    <cfRule type="containsText" dxfId="6" priority="7" operator="containsText" text="Pkg Size:">
      <formula>NOT(ISERROR(SEARCH("Pkg Size:",G9)))</formula>
    </cfRule>
  </conditionalFormatting>
  <conditionalFormatting sqref="K46">
    <cfRule type="containsText" dxfId="5" priority="6" operator="containsText" text="Internal">
      <formula>NOT(ISERROR(SEARCH("Internal",K46)))</formula>
    </cfRule>
  </conditionalFormatting>
  <conditionalFormatting sqref="K47">
    <cfRule type="containsText" dxfId="4" priority="5" operator="containsText" text="External">
      <formula>NOT(ISERROR(SEARCH("External",K47)))</formula>
    </cfRule>
  </conditionalFormatting>
  <conditionalFormatting sqref="L46">
    <cfRule type="cellIs" dxfId="3" priority="4" operator="greaterThan">
      <formula>0</formula>
    </cfRule>
  </conditionalFormatting>
  <conditionalFormatting sqref="L47">
    <cfRule type="cellIs" dxfId="2" priority="3" operator="greaterThan">
      <formula>0</formula>
    </cfRule>
  </conditionalFormatting>
  <conditionalFormatting sqref="A39:A42">
    <cfRule type="containsText" dxfId="1" priority="2" operator="containsText" text="External">
      <formula>NOT(ISERROR(SEARCH("External",A39)))</formula>
    </cfRule>
  </conditionalFormatting>
  <dataValidations count="10">
    <dataValidation type="list" allowBlank="1" showInputMessage="1" showErrorMessage="1" prompt="Choose option that best describes work required. This determines the base time." sqref="C15:E15">
      <formula1>"All new art, RWC with all new art, RWC to existing art, New - use existing art,New - Redraw, Eyespot Trial,Dieline Drawing"</formula1>
    </dataValidation>
    <dataValidation allowBlank="1" showInputMessage="1" showErrorMessage="1" prompt="If known, enter # of full web (cust step) content proofs required." sqref="H19:J19"/>
    <dataValidation type="list" allowBlank="1" showInputMessage="1" showErrorMessage="1" prompt="Select yes if there are common elements that will reduce overall time between items." sqref="C24:D24">
      <formula1>"Yes, No, N/A"</formula1>
    </dataValidation>
    <dataValidation type="list" allowBlank="1" showInputMessage="1" showErrorMessage="1" sqref="J7">
      <formula1>"New, RWC"</formula1>
    </dataValidation>
    <dataValidation type="list" allowBlank="1" showInputMessage="1" showErrorMessage="1" sqref="L5">
      <formula1>"LC,ST,TC,LH,SL,BH,VH,IW,LW"</formula1>
    </dataValidation>
    <dataValidation allowBlank="1" showInputMessage="1" showErrorMessage="1" prompt="Enter email address." sqref="E5"/>
    <dataValidation type="list" allowBlank="1" showInputMessage="1" showErrorMessage="1" sqref="C9">
      <formula1>"Registered, Random"</formula1>
    </dataValidation>
    <dataValidation allowBlank="1" showInputMessage="1" showErrorMessage="1" prompt="Does not include contract proofs. Enter number of contract proofs below." sqref="G11"/>
    <dataValidation type="whole" allowBlank="1" showInputMessage="1" showErrorMessage="1" sqref="A18:E18 G18:L18">
      <formula1>0</formula1>
      <formula2>2000</formula2>
    </dataValidation>
    <dataValidation type="list" allowBlank="1" showInputMessage="1" showErrorMessage="1" sqref="K9">
      <formula1>"OD, ID"</formula1>
    </dataValidation>
  </dataValidations>
  <printOptions horizontalCentered="1" verticalCentered="1"/>
  <pageMargins left="0.30000000000000004" right="0.30000000000000004" top="0.2" bottom="0.2" header="0.39000000000000007" footer="0.39000000000000007"/>
  <pageSetup scale="65" orientation="portrait" horizontalDpi="4294967292" verticalDpi="4294967292"/>
  <headerFooter>
    <oddFooter>&amp;C&amp;"Arial,Regular"&amp;11&amp;K000000Issue Date: 01-Feb-16  Revision No.: 0  Revision Date: N/A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110" r:id="rId3" name="Option Button 86">
              <controlPr defaultSize="0" autoFill="0" autoLine="0" autoPict="0">
                <anchor moveWithCells="1">
                  <from>
                    <xdr:col>2</xdr:col>
                    <xdr:colOff>9525</xdr:colOff>
                    <xdr:row>20</xdr:row>
                    <xdr:rowOff>66675</xdr:rowOff>
                  </from>
                  <to>
                    <xdr:col>2</xdr:col>
                    <xdr:colOff>409575</xdr:colOff>
                    <xdr:row>20</xdr:row>
                    <xdr:rowOff>276225</xdr:rowOff>
                  </to>
                </anchor>
              </controlPr>
            </control>
          </mc:Choice>
        </mc:AlternateContent>
        <mc:AlternateContent xmlns:mc="http://schemas.openxmlformats.org/markup-compatibility/2006">
          <mc:Choice Requires="x14">
            <control shapeId="1111" r:id="rId4" name="Option Button 87">
              <controlPr defaultSize="0" autoFill="0" autoLine="0" autoPict="0">
                <anchor moveWithCells="1">
                  <from>
                    <xdr:col>5</xdr:col>
                    <xdr:colOff>0</xdr:colOff>
                    <xdr:row>20</xdr:row>
                    <xdr:rowOff>66675</xdr:rowOff>
                  </from>
                  <to>
                    <xdr:col>5</xdr:col>
                    <xdr:colOff>390525</xdr:colOff>
                    <xdr:row>20</xdr:row>
                    <xdr:rowOff>276225</xdr:rowOff>
                  </to>
                </anchor>
              </controlPr>
            </control>
          </mc:Choice>
        </mc:AlternateContent>
        <mc:AlternateContent xmlns:mc="http://schemas.openxmlformats.org/markup-compatibility/2006">
          <mc:Choice Requires="x14">
            <control shapeId="1112" r:id="rId5" name="Option Button 88">
              <controlPr defaultSize="0" autoFill="0" autoLine="0" autoPict="0">
                <anchor moveWithCells="1">
                  <from>
                    <xdr:col>8</xdr:col>
                    <xdr:colOff>0</xdr:colOff>
                    <xdr:row>20</xdr:row>
                    <xdr:rowOff>66675</xdr:rowOff>
                  </from>
                  <to>
                    <xdr:col>8</xdr:col>
                    <xdr:colOff>390525</xdr:colOff>
                    <xdr:row>20</xdr:row>
                    <xdr:rowOff>276225</xdr:rowOff>
                  </to>
                </anchor>
              </controlPr>
            </control>
          </mc:Choice>
        </mc:AlternateContent>
        <mc:AlternateContent xmlns:mc="http://schemas.openxmlformats.org/markup-compatibility/2006">
          <mc:Choice Requires="x14">
            <control shapeId="1113" r:id="rId6" name="Option Button 89">
              <controlPr defaultSize="0" autoFill="0" autoLine="0" autoPict="0">
                <anchor moveWithCells="1">
                  <from>
                    <xdr:col>2</xdr:col>
                    <xdr:colOff>9525</xdr:colOff>
                    <xdr:row>21</xdr:row>
                    <xdr:rowOff>47625</xdr:rowOff>
                  </from>
                  <to>
                    <xdr:col>2</xdr:col>
                    <xdr:colOff>409575</xdr:colOff>
                    <xdr:row>21</xdr:row>
                    <xdr:rowOff>266700</xdr:rowOff>
                  </to>
                </anchor>
              </controlPr>
            </control>
          </mc:Choice>
        </mc:AlternateContent>
        <mc:AlternateContent xmlns:mc="http://schemas.openxmlformats.org/markup-compatibility/2006">
          <mc:Choice Requires="x14">
            <control shapeId="1114" r:id="rId7" name="Option Button 90">
              <controlPr defaultSize="0" autoFill="0" autoLine="0" autoPict="0">
                <anchor moveWithCells="1">
                  <from>
                    <xdr:col>5</xdr:col>
                    <xdr:colOff>0</xdr:colOff>
                    <xdr:row>21</xdr:row>
                    <xdr:rowOff>47625</xdr:rowOff>
                  </from>
                  <to>
                    <xdr:col>5</xdr:col>
                    <xdr:colOff>390525</xdr:colOff>
                    <xdr:row>21</xdr:row>
                    <xdr:rowOff>266700</xdr:rowOff>
                  </to>
                </anchor>
              </controlPr>
            </control>
          </mc:Choice>
        </mc:AlternateContent>
        <mc:AlternateContent xmlns:mc="http://schemas.openxmlformats.org/markup-compatibility/2006">
          <mc:Choice Requires="x14">
            <control shapeId="1115" r:id="rId8" name="Option Button 91">
              <controlPr defaultSize="0" autoFill="0" autoLine="0" autoPict="0">
                <anchor moveWithCells="1">
                  <from>
                    <xdr:col>8</xdr:col>
                    <xdr:colOff>0</xdr:colOff>
                    <xdr:row>21</xdr:row>
                    <xdr:rowOff>47625</xdr:rowOff>
                  </from>
                  <to>
                    <xdr:col>8</xdr:col>
                    <xdr:colOff>390525</xdr:colOff>
                    <xdr:row>21</xdr:row>
                    <xdr:rowOff>266700</xdr:rowOff>
                  </to>
                </anchor>
              </controlPr>
            </control>
          </mc:Choice>
        </mc:AlternateContent>
        <mc:AlternateContent xmlns:mc="http://schemas.openxmlformats.org/markup-compatibility/2006">
          <mc:Choice Requires="x14">
            <control shapeId="1124" r:id="rId9" name="Option Button 100">
              <controlPr defaultSize="0" autoFill="0" autoLine="0" autoPict="0">
                <anchor moveWithCells="1">
                  <from>
                    <xdr:col>2</xdr:col>
                    <xdr:colOff>9525</xdr:colOff>
                    <xdr:row>19</xdr:row>
                    <xdr:rowOff>47625</xdr:rowOff>
                  </from>
                  <to>
                    <xdr:col>2</xdr:col>
                    <xdr:colOff>409575</xdr:colOff>
                    <xdr:row>19</xdr:row>
                    <xdr:rowOff>266700</xdr:rowOff>
                  </to>
                </anchor>
              </controlPr>
            </control>
          </mc:Choice>
        </mc:AlternateContent>
        <mc:AlternateContent xmlns:mc="http://schemas.openxmlformats.org/markup-compatibility/2006">
          <mc:Choice Requires="x14">
            <control shapeId="1125" r:id="rId10" name="Option Button 101">
              <controlPr defaultSize="0" autoFill="0" autoLine="0" autoPict="0">
                <anchor moveWithCells="1">
                  <from>
                    <xdr:col>5</xdr:col>
                    <xdr:colOff>0</xdr:colOff>
                    <xdr:row>19</xdr:row>
                    <xdr:rowOff>47625</xdr:rowOff>
                  </from>
                  <to>
                    <xdr:col>5</xdr:col>
                    <xdr:colOff>390525</xdr:colOff>
                    <xdr:row>19</xdr:row>
                    <xdr:rowOff>266700</xdr:rowOff>
                  </to>
                </anchor>
              </controlPr>
            </control>
          </mc:Choice>
        </mc:AlternateContent>
        <mc:AlternateContent xmlns:mc="http://schemas.openxmlformats.org/markup-compatibility/2006">
          <mc:Choice Requires="x14">
            <control shapeId="1321" r:id="rId11" name="Group Box 297">
              <controlPr defaultSize="0" autoFill="0" autoPict="0">
                <anchor moveWithCells="1">
                  <from>
                    <xdr:col>1</xdr:col>
                    <xdr:colOff>923925</xdr:colOff>
                    <xdr:row>19</xdr:row>
                    <xdr:rowOff>0</xdr:rowOff>
                  </from>
                  <to>
                    <xdr:col>11</xdr:col>
                    <xdr:colOff>752475</xdr:colOff>
                    <xdr:row>22</xdr:row>
                    <xdr:rowOff>0</xdr:rowOff>
                  </to>
                </anchor>
              </controlPr>
            </control>
          </mc:Choice>
        </mc:AlternateContent>
        <mc:AlternateContent xmlns:mc="http://schemas.openxmlformats.org/markup-compatibility/2006">
          <mc:Choice Requires="x14">
            <control shapeId="1333" r:id="rId12" name="Option Button 309">
              <controlPr defaultSize="0" autoFill="0" autoLine="0" autoPict="0">
                <anchor moveWithCells="1">
                  <from>
                    <xdr:col>0</xdr:col>
                    <xdr:colOff>38100</xdr:colOff>
                    <xdr:row>48</xdr:row>
                    <xdr:rowOff>38100</xdr:rowOff>
                  </from>
                  <to>
                    <xdr:col>0</xdr:col>
                    <xdr:colOff>428625</xdr:colOff>
                    <xdr:row>48</xdr:row>
                    <xdr:rowOff>295275</xdr:rowOff>
                  </to>
                </anchor>
              </controlPr>
            </control>
          </mc:Choice>
        </mc:AlternateContent>
        <mc:AlternateContent xmlns:mc="http://schemas.openxmlformats.org/markup-compatibility/2006">
          <mc:Choice Requires="x14">
            <control shapeId="1334" r:id="rId13" name="Option Button 310">
              <controlPr defaultSize="0" autoFill="0" autoLine="0" autoPict="0">
                <anchor moveWithCells="1">
                  <from>
                    <xdr:col>5</xdr:col>
                    <xdr:colOff>47625</xdr:colOff>
                    <xdr:row>48</xdr:row>
                    <xdr:rowOff>38100</xdr:rowOff>
                  </from>
                  <to>
                    <xdr:col>5</xdr:col>
                    <xdr:colOff>447675</xdr:colOff>
                    <xdr:row>48</xdr:row>
                    <xdr:rowOff>295275</xdr:rowOff>
                  </to>
                </anchor>
              </controlPr>
            </control>
          </mc:Choice>
        </mc:AlternateContent>
        <mc:AlternateContent xmlns:mc="http://schemas.openxmlformats.org/markup-compatibility/2006">
          <mc:Choice Requires="x14">
            <control shapeId="1350" r:id="rId14" name="Group Box 326">
              <controlPr defaultSize="0" autoFill="0" autoPict="0">
                <anchor moveWithCells="1">
                  <from>
                    <xdr:col>0</xdr:col>
                    <xdr:colOff>0</xdr:colOff>
                    <xdr:row>12</xdr:row>
                    <xdr:rowOff>0</xdr:rowOff>
                  </from>
                  <to>
                    <xdr:col>11</xdr:col>
                    <xdr:colOff>762000</xdr:colOff>
                    <xdr:row>12</xdr:row>
                    <xdr:rowOff>352425</xdr:rowOff>
                  </to>
                </anchor>
              </controlPr>
            </control>
          </mc:Choice>
        </mc:AlternateContent>
        <mc:AlternateContent xmlns:mc="http://schemas.openxmlformats.org/markup-compatibility/2006">
          <mc:Choice Requires="x14">
            <control shapeId="1351" r:id="rId15" name="Option Button 327">
              <controlPr defaultSize="0" autoFill="0" autoLine="0" autoPict="0">
                <anchor moveWithCells="1">
                  <from>
                    <xdr:col>0</xdr:col>
                    <xdr:colOff>28575</xdr:colOff>
                    <xdr:row>12</xdr:row>
                    <xdr:rowOff>66675</xdr:rowOff>
                  </from>
                  <to>
                    <xdr:col>0</xdr:col>
                    <xdr:colOff>419100</xdr:colOff>
                    <xdr:row>12</xdr:row>
                    <xdr:rowOff>276225</xdr:rowOff>
                  </to>
                </anchor>
              </controlPr>
            </control>
          </mc:Choice>
        </mc:AlternateContent>
        <mc:AlternateContent xmlns:mc="http://schemas.openxmlformats.org/markup-compatibility/2006">
          <mc:Choice Requires="x14">
            <control shapeId="1352" r:id="rId16" name="Option Button 328">
              <controlPr defaultSize="0" autoFill="0" autoLine="0" autoPict="0">
                <anchor moveWithCells="1">
                  <from>
                    <xdr:col>1</xdr:col>
                    <xdr:colOff>542925</xdr:colOff>
                    <xdr:row>12</xdr:row>
                    <xdr:rowOff>66675</xdr:rowOff>
                  </from>
                  <to>
                    <xdr:col>1</xdr:col>
                    <xdr:colOff>952500</xdr:colOff>
                    <xdr:row>12</xdr:row>
                    <xdr:rowOff>276225</xdr:rowOff>
                  </to>
                </anchor>
              </controlPr>
            </control>
          </mc:Choice>
        </mc:AlternateContent>
        <mc:AlternateContent xmlns:mc="http://schemas.openxmlformats.org/markup-compatibility/2006">
          <mc:Choice Requires="x14">
            <control shapeId="1353" r:id="rId17" name="Option Button 329">
              <controlPr defaultSize="0" autoFill="0" autoLine="0" autoPict="0">
                <anchor moveWithCells="1">
                  <from>
                    <xdr:col>3</xdr:col>
                    <xdr:colOff>0</xdr:colOff>
                    <xdr:row>12</xdr:row>
                    <xdr:rowOff>66675</xdr:rowOff>
                  </from>
                  <to>
                    <xdr:col>3</xdr:col>
                    <xdr:colOff>409575</xdr:colOff>
                    <xdr:row>12</xdr:row>
                    <xdr:rowOff>276225</xdr:rowOff>
                  </to>
                </anchor>
              </controlPr>
            </control>
          </mc:Choice>
        </mc:AlternateContent>
        <mc:AlternateContent xmlns:mc="http://schemas.openxmlformats.org/markup-compatibility/2006">
          <mc:Choice Requires="x14">
            <control shapeId="1560" r:id="rId18" name="Option Button 536">
              <controlPr defaultSize="0" autoFill="0" autoLine="0" autoPict="0">
                <anchor moveWithCells="1">
                  <from>
                    <xdr:col>4</xdr:col>
                    <xdr:colOff>495300</xdr:colOff>
                    <xdr:row>12</xdr:row>
                    <xdr:rowOff>66675</xdr:rowOff>
                  </from>
                  <to>
                    <xdr:col>5</xdr:col>
                    <xdr:colOff>85725</xdr:colOff>
                    <xdr:row>12</xdr:row>
                    <xdr:rowOff>276225</xdr:rowOff>
                  </to>
                </anchor>
              </controlPr>
            </control>
          </mc:Choice>
        </mc:AlternateContent>
        <mc:AlternateContent xmlns:mc="http://schemas.openxmlformats.org/markup-compatibility/2006">
          <mc:Choice Requires="x14">
            <control shapeId="1896" r:id="rId19" name="Option Button 872">
              <controlPr defaultSize="0" autoFill="0" autoLine="0" autoPict="0">
                <anchor moveWithCells="1">
                  <from>
                    <xdr:col>8</xdr:col>
                    <xdr:colOff>695325</xdr:colOff>
                    <xdr:row>12</xdr:row>
                    <xdr:rowOff>66675</xdr:rowOff>
                  </from>
                  <to>
                    <xdr:col>9</xdr:col>
                    <xdr:colOff>76200</xdr:colOff>
                    <xdr:row>12</xdr:row>
                    <xdr:rowOff>276225</xdr:rowOff>
                  </to>
                </anchor>
              </controlPr>
            </control>
          </mc:Choice>
        </mc:AlternateContent>
        <mc:AlternateContent xmlns:mc="http://schemas.openxmlformats.org/markup-compatibility/2006">
          <mc:Choice Requires="x14">
            <control shapeId="1971" r:id="rId20" name="Option Button 947">
              <controlPr defaultSize="0" autoFill="0" autoLine="0" autoPict="0">
                <anchor moveWithCells="1">
                  <from>
                    <xdr:col>8</xdr:col>
                    <xdr:colOff>0</xdr:colOff>
                    <xdr:row>19</xdr:row>
                    <xdr:rowOff>85725</xdr:rowOff>
                  </from>
                  <to>
                    <xdr:col>8</xdr:col>
                    <xdr:colOff>390525</xdr:colOff>
                    <xdr:row>19</xdr:row>
                    <xdr:rowOff>304800</xdr:rowOff>
                  </to>
                </anchor>
              </controlPr>
            </control>
          </mc:Choice>
        </mc:AlternateContent>
        <mc:AlternateContent xmlns:mc="http://schemas.openxmlformats.org/markup-compatibility/2006">
          <mc:Choice Requires="x14">
            <control shapeId="5148" r:id="rId21" name="Check Box 1052">
              <controlPr defaultSize="0" autoFill="0" autoLine="0" autoPict="0">
                <anchor moveWithCells="1">
                  <from>
                    <xdr:col>0</xdr:col>
                    <xdr:colOff>38100</xdr:colOff>
                    <xdr:row>10</xdr:row>
                    <xdr:rowOff>9525</xdr:rowOff>
                  </from>
                  <to>
                    <xdr:col>0</xdr:col>
                    <xdr:colOff>428625</xdr:colOff>
                    <xdr:row>10</xdr:row>
                    <xdr:rowOff>228600</xdr:rowOff>
                  </to>
                </anchor>
              </controlPr>
            </control>
          </mc:Choice>
        </mc:AlternateContent>
        <mc:AlternateContent xmlns:mc="http://schemas.openxmlformats.org/markup-compatibility/2006">
          <mc:Choice Requires="x14">
            <control shapeId="5326" r:id="rId22" name="Option Button 1230">
              <controlPr defaultSize="0" autoFill="0" autoLine="0" autoPict="0">
                <anchor moveWithCells="1">
                  <from>
                    <xdr:col>10</xdr:col>
                    <xdr:colOff>533400</xdr:colOff>
                    <xdr:row>12</xdr:row>
                    <xdr:rowOff>66675</xdr:rowOff>
                  </from>
                  <to>
                    <xdr:col>10</xdr:col>
                    <xdr:colOff>942975</xdr:colOff>
                    <xdr:row>12</xdr:row>
                    <xdr:rowOff>276225</xdr:rowOff>
                  </to>
                </anchor>
              </controlPr>
            </control>
          </mc:Choice>
        </mc:AlternateContent>
        <mc:AlternateContent xmlns:mc="http://schemas.openxmlformats.org/markup-compatibility/2006">
          <mc:Choice Requires="x14">
            <control shapeId="5328" r:id="rId23" name="Check Box 1232">
              <controlPr defaultSize="0" autoFill="0" autoLine="0" autoPict="0">
                <anchor moveWithCells="1">
                  <from>
                    <xdr:col>0</xdr:col>
                    <xdr:colOff>28575</xdr:colOff>
                    <xdr:row>43</xdr:row>
                    <xdr:rowOff>0</xdr:rowOff>
                  </from>
                  <to>
                    <xdr:col>0</xdr:col>
                    <xdr:colOff>419100</xdr:colOff>
                    <xdr:row>43</xdr:row>
                    <xdr:rowOff>228600</xdr:rowOff>
                  </to>
                </anchor>
              </controlPr>
            </control>
          </mc:Choice>
        </mc:AlternateContent>
      </controls>
    </mc:Choice>
  </mc:AlternateContent>
  <extLst>
    <ext xmlns:mx="http://schemas.microsoft.com/office/mac/excel/2008/main" uri="{64002731-A6B0-56B0-2670-7721B7C09600}">
      <mx:PLV Mode="0" OnePage="0" WScale="85"/>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H28"/>
  <sheetViews>
    <sheetView showGridLines="0" zoomScale="115" zoomScaleNormal="115" zoomScalePageLayoutView="115" workbookViewId="0">
      <selection activeCell="C3" sqref="C3:E3"/>
    </sheetView>
  </sheetViews>
  <sheetFormatPr defaultColWidth="10.625" defaultRowHeight="15.75" x14ac:dyDescent="0.25"/>
  <cols>
    <col min="1" max="1" width="10.75" style="3" customWidth="1"/>
    <col min="2" max="2" width="9.25" style="3" customWidth="1"/>
    <col min="3" max="3" width="17.125" style="3" customWidth="1"/>
    <col min="4" max="4" width="7.875" style="3" customWidth="1"/>
    <col min="5" max="5" width="10.625" style="3" customWidth="1"/>
    <col min="6" max="8" width="7.625" style="3" customWidth="1"/>
    <col min="9" max="16384" width="10.625" style="3"/>
  </cols>
  <sheetData>
    <row r="1" spans="1:8" ht="53.1" customHeight="1" x14ac:dyDescent="0.25">
      <c r="F1" s="316"/>
      <c r="G1" s="316"/>
      <c r="H1" s="316"/>
    </row>
    <row r="2" spans="1:8" ht="33.950000000000003" customHeight="1" thickBot="1" x14ac:dyDescent="0.3">
      <c r="A2" s="321" t="s">
        <v>0</v>
      </c>
      <c r="B2" s="321"/>
      <c r="C2" s="321"/>
      <c r="D2" s="321"/>
      <c r="E2" s="321"/>
      <c r="F2" s="66"/>
      <c r="G2" s="66"/>
      <c r="H2" s="66"/>
    </row>
    <row r="3" spans="1:8" s="5" customFormat="1" ht="20.100000000000001" customHeight="1" x14ac:dyDescent="0.25">
      <c r="A3" s="317" t="s">
        <v>41</v>
      </c>
      <c r="B3" s="317"/>
      <c r="C3" s="318">
        <f>'Quote Request'!B5</f>
        <v>0</v>
      </c>
      <c r="D3" s="318"/>
      <c r="E3" s="318"/>
      <c r="F3" s="3"/>
      <c r="G3" s="3"/>
      <c r="H3" s="3"/>
    </row>
    <row r="4" spans="1:8" s="5" customFormat="1" ht="20.100000000000001" customHeight="1" x14ac:dyDescent="0.25">
      <c r="A4" s="319" t="s">
        <v>59</v>
      </c>
      <c r="B4" s="319"/>
      <c r="C4" s="322">
        <f>'Quote Request'!E5</f>
        <v>0</v>
      </c>
      <c r="D4" s="322"/>
      <c r="E4" s="322"/>
      <c r="F4" s="3"/>
      <c r="G4" s="3"/>
      <c r="H4" s="3"/>
    </row>
    <row r="5" spans="1:8" s="5" customFormat="1" ht="20.100000000000001" customHeight="1" x14ac:dyDescent="0.25">
      <c r="A5" s="209" t="s">
        <v>101</v>
      </c>
      <c r="B5" s="209"/>
      <c r="C5" s="215">
        <f>'Quote Request'!J5</f>
        <v>0</v>
      </c>
      <c r="D5" s="210"/>
      <c r="E5" s="210"/>
      <c r="F5" s="3"/>
      <c r="G5" s="3"/>
      <c r="H5" s="3"/>
    </row>
    <row r="6" spans="1:8" s="5" customFormat="1" ht="20.100000000000001" customHeight="1" x14ac:dyDescent="0.25">
      <c r="A6" s="319" t="s">
        <v>1</v>
      </c>
      <c r="B6" s="319"/>
      <c r="C6" s="320">
        <f>'Quote Request'!B6</f>
        <v>0</v>
      </c>
      <c r="D6" s="320"/>
      <c r="E6" s="320"/>
      <c r="F6" s="3"/>
      <c r="G6" s="3"/>
      <c r="H6" s="3"/>
    </row>
    <row r="7" spans="1:8" s="5" customFormat="1" ht="20.100000000000001" customHeight="1" thickBot="1" x14ac:dyDescent="0.3">
      <c r="A7" s="323" t="s">
        <v>2</v>
      </c>
      <c r="B7" s="323"/>
      <c r="C7" s="324">
        <f>'Quote Request'!B7</f>
        <v>0</v>
      </c>
      <c r="D7" s="325"/>
      <c r="E7" s="325"/>
      <c r="F7" s="3"/>
      <c r="G7" s="3"/>
      <c r="H7" s="3"/>
    </row>
    <row r="8" spans="1:8" s="5" customFormat="1" ht="20.100000000000001" customHeight="1" thickBot="1" x14ac:dyDescent="0.3">
      <c r="A8" s="4"/>
      <c r="B8" s="4"/>
      <c r="C8" s="4"/>
      <c r="D8" s="6"/>
      <c r="E8" s="6"/>
      <c r="F8" s="4"/>
      <c r="G8" s="6"/>
      <c r="H8" s="6"/>
    </row>
    <row r="9" spans="1:8" s="9" customFormat="1" ht="21.95" customHeight="1" thickBot="1" x14ac:dyDescent="0.3">
      <c r="A9" s="93" t="s">
        <v>12</v>
      </c>
      <c r="B9" s="93"/>
      <c r="C9" s="32"/>
      <c r="D9" s="20"/>
      <c r="E9" s="93" t="s">
        <v>14</v>
      </c>
      <c r="F9"/>
      <c r="G9"/>
      <c r="H9"/>
    </row>
    <row r="10" spans="1:8" s="10" customFormat="1" ht="18.95" customHeight="1" x14ac:dyDescent="0.25">
      <c r="A10" s="331" t="s">
        <v>38</v>
      </c>
      <c r="B10" s="331"/>
      <c r="C10" s="45"/>
      <c r="D10" s="21"/>
      <c r="E10" s="94">
        <f>SUM('Quote Request'!L27+'Quote Request'!L29+'Quote Request'!L30+'Quote Request'!L32+'Quote Request'!L33+'Quote Request'!L35+'Quote Request'!L37+'Quote Request'!L39)*1.25</f>
        <v>0</v>
      </c>
      <c r="F10"/>
      <c r="G10"/>
      <c r="H10"/>
    </row>
    <row r="11" spans="1:8" s="10" customFormat="1" ht="18.95" customHeight="1" x14ac:dyDescent="0.25">
      <c r="A11" s="98" t="s">
        <v>46</v>
      </c>
      <c r="B11" s="98"/>
      <c r="C11" s="45"/>
      <c r="D11" s="21"/>
      <c r="E11" s="94">
        <f>('Quote Request'!L28+'Quote Request'!L31+'Quote Request'!L40)*1.25</f>
        <v>0</v>
      </c>
      <c r="F11"/>
      <c r="G11"/>
      <c r="H11"/>
    </row>
    <row r="12" spans="1:8" s="10" customFormat="1" ht="18.95" customHeight="1" x14ac:dyDescent="0.25">
      <c r="A12" s="327" t="s">
        <v>19</v>
      </c>
      <c r="B12" s="328"/>
      <c r="C12" s="44"/>
      <c r="D12" s="22"/>
      <c r="E12" s="95">
        <f>'Quote Request'!L34*1.25</f>
        <v>0</v>
      </c>
      <c r="F12"/>
      <c r="G12"/>
      <c r="H12"/>
    </row>
    <row r="13" spans="1:8" s="10" customFormat="1" ht="18.95" customHeight="1" x14ac:dyDescent="0.25">
      <c r="A13" s="327" t="s">
        <v>27</v>
      </c>
      <c r="B13" s="328"/>
      <c r="C13" s="44"/>
      <c r="D13" s="22"/>
      <c r="E13" s="95">
        <f>'Quote Request'!L36*1.25</f>
        <v>0</v>
      </c>
      <c r="F13"/>
      <c r="G13"/>
      <c r="H13"/>
    </row>
    <row r="14" spans="1:8" s="10" customFormat="1" ht="18.95" customHeight="1" x14ac:dyDescent="0.25">
      <c r="A14" s="329" t="s">
        <v>103</v>
      </c>
      <c r="B14" s="330"/>
      <c r="C14" s="119"/>
      <c r="D14" s="23"/>
      <c r="E14" s="121">
        <f>('Quote Request'!L38+'Quote Request'!L41)*1.25</f>
        <v>0</v>
      </c>
      <c r="F14" s="67"/>
      <c r="G14" s="67"/>
      <c r="H14" s="67"/>
    </row>
    <row r="15" spans="1:8" s="10" customFormat="1" ht="18.95" customHeight="1" thickBot="1" x14ac:dyDescent="0.3">
      <c r="A15" s="324" t="str">
        <f>'Quote Request'!A42</f>
        <v/>
      </c>
      <c r="B15" s="325"/>
      <c r="C15" s="117"/>
      <c r="D15" s="30"/>
      <c r="E15" s="96">
        <f>'Quote Request'!L42*1.25</f>
        <v>0</v>
      </c>
      <c r="F15" s="67"/>
      <c r="G15" s="67"/>
      <c r="H15" s="67"/>
    </row>
    <row r="16" spans="1:8" s="10" customFormat="1" ht="20.100000000000001" customHeight="1" thickBot="1" x14ac:dyDescent="0.3">
      <c r="A16" s="24"/>
      <c r="B16" s="24"/>
      <c r="C16" s="24"/>
      <c r="D16" s="92" t="s">
        <v>15</v>
      </c>
      <c r="E16" s="97">
        <f>SUM(E10:E15)</f>
        <v>0</v>
      </c>
      <c r="F16" s="4"/>
      <c r="G16" s="4"/>
      <c r="H16" s="4"/>
    </row>
    <row r="17" spans="1:8" s="10" customFormat="1" ht="20.100000000000001" customHeight="1" thickBot="1" x14ac:dyDescent="0.3">
      <c r="A17" s="4"/>
      <c r="B17" s="4"/>
      <c r="C17" s="4"/>
      <c r="D17" s="92" t="s">
        <v>17</v>
      </c>
      <c r="E17" s="97" t="e">
        <f>E16/'Quote Request'!C18</f>
        <v>#DIV/0!</v>
      </c>
      <c r="F17" s="4"/>
      <c r="G17" s="4"/>
      <c r="H17" s="4"/>
    </row>
    <row r="18" spans="1:8" ht="20.100000000000001" customHeight="1" thickBot="1" x14ac:dyDescent="0.3"/>
    <row r="19" spans="1:8" ht="20.100000000000001" customHeight="1" thickBot="1" x14ac:dyDescent="0.3">
      <c r="A19" s="332" t="s">
        <v>68</v>
      </c>
      <c r="B19" s="332"/>
      <c r="C19" s="333">
        <f>'Quote Request'!J15</f>
        <v>0</v>
      </c>
      <c r="D19" s="333"/>
      <c r="E19" s="333"/>
    </row>
    <row r="20" spans="1:8" ht="20.100000000000001" customHeight="1" x14ac:dyDescent="0.25">
      <c r="A20" s="106"/>
      <c r="B20" s="106"/>
      <c r="C20" s="107"/>
      <c r="D20" s="107"/>
      <c r="E20" s="107"/>
    </row>
    <row r="21" spans="1:8" s="10" customFormat="1" ht="20.100000000000001" customHeight="1" thickBot="1" x14ac:dyDescent="0.3">
      <c r="A21" s="99" t="s">
        <v>16</v>
      </c>
      <c r="B21" s="36"/>
      <c r="C21" s="36"/>
      <c r="D21" s="36"/>
      <c r="E21" s="36"/>
      <c r="F21" s="36"/>
      <c r="G21" s="36"/>
      <c r="H21" s="36"/>
    </row>
    <row r="22" spans="1:8" s="10" customFormat="1" ht="29.1" customHeight="1" thickBot="1" x14ac:dyDescent="0.3">
      <c r="A22" s="334">
        <f>IF('Quote Request'!M44, "Price based on working digital files supplied by customer. Quote subject to review upon receipt and assessment of supplied files.",0)</f>
        <v>0</v>
      </c>
      <c r="B22" s="334"/>
      <c r="C22" s="334"/>
      <c r="D22" s="334"/>
      <c r="E22" s="334"/>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x14ac:dyDescent="0.25">
      <c r="A25" s="69"/>
      <c r="B25" s="69"/>
      <c r="C25" s="69"/>
      <c r="D25" s="69"/>
      <c r="E25" s="69"/>
      <c r="F25"/>
      <c r="G25"/>
      <c r="H25"/>
    </row>
    <row r="26" spans="1:8" s="10" customFormat="1" ht="29.1" customHeight="1" x14ac:dyDescent="0.25">
      <c r="A26" s="69"/>
      <c r="B26" s="69"/>
      <c r="C26" s="69"/>
      <c r="D26" s="69"/>
      <c r="E26" s="69"/>
      <c r="F26"/>
      <c r="G26"/>
      <c r="H26"/>
    </row>
    <row r="27" spans="1:8" s="10" customFormat="1" ht="29.1" customHeight="1" thickBot="1" x14ac:dyDescent="0.3">
      <c r="A27" s="70"/>
      <c r="B27" s="70"/>
      <c r="C27" s="70"/>
      <c r="D27" s="70"/>
      <c r="E27" s="70"/>
      <c r="F27" s="67"/>
      <c r="G27" s="67"/>
      <c r="H27" s="67"/>
    </row>
    <row r="28" spans="1:8" s="10" customFormat="1" ht="36.950000000000003" customHeight="1" thickBot="1" x14ac:dyDescent="0.3">
      <c r="A28" s="326" t="s">
        <v>58</v>
      </c>
      <c r="B28" s="326"/>
      <c r="C28" s="326"/>
      <c r="D28" s="326"/>
      <c r="E28" s="326"/>
      <c r="F28" s="71"/>
      <c r="G28" s="71"/>
      <c r="H28" s="71"/>
    </row>
  </sheetData>
  <sheetProtection sheet="1" objects="1" scenarios="1" insertHyperlinks="0"/>
  <mergeCells count="19">
    <mergeCell ref="A7:B7"/>
    <mergeCell ref="C7:E7"/>
    <mergeCell ref="A15:B15"/>
    <mergeCell ref="A28:E28"/>
    <mergeCell ref="A12:B12"/>
    <mergeCell ref="A14:B14"/>
    <mergeCell ref="A10:B10"/>
    <mergeCell ref="A19:B19"/>
    <mergeCell ref="C19:E19"/>
    <mergeCell ref="A13:B13"/>
    <mergeCell ref="A22:E22"/>
    <mergeCell ref="F1:H1"/>
    <mergeCell ref="A3:B3"/>
    <mergeCell ref="C3:E3"/>
    <mergeCell ref="A6:B6"/>
    <mergeCell ref="C6:E6"/>
    <mergeCell ref="A2:E2"/>
    <mergeCell ref="A4:B4"/>
    <mergeCell ref="C4:E4"/>
  </mergeCells>
  <phoneticPr fontId="1" type="noConversion"/>
  <conditionalFormatting sqref="A22:E22">
    <cfRule type="beginsWith" dxfId="0" priority="1" operator="beginsWith" text="Price">
      <formula>LEFT(A22,LEN("Price"))="Price"</formula>
    </cfRule>
  </conditionalFormatting>
  <dataValidations count="1">
    <dataValidation allowBlank="1" showInputMessage="1" showErrorMessage="1" prompt="Enter a brief description." sqref="C7:E7"/>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headerFooter>
    <oddFooter>&amp;C&amp;"Arial,Regular"&amp;11&amp;K000000Issue Date: 01-Feb-16  Revision No.: 0  Revision Date: N/A</oddFooter>
  </headerFooter>
  <drawing r:id="rId1"/>
  <extLst>
    <ext xmlns:mx="http://schemas.microsoft.com/office/mac/excel/2008/main" uri="{64002731-A6B0-56B0-2670-7721B7C09600}">
      <mx:PLV Mode="0" OnePage="0" WScale="10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H26"/>
  <sheetViews>
    <sheetView showGridLines="0" zoomScale="115" zoomScaleNormal="115" zoomScalePageLayoutView="115" workbookViewId="0">
      <selection activeCell="C4" sqref="C4:E4"/>
    </sheetView>
  </sheetViews>
  <sheetFormatPr defaultColWidth="10.625" defaultRowHeight="15.75" x14ac:dyDescent="0.25"/>
  <cols>
    <col min="1" max="1" width="10.75" style="3" customWidth="1"/>
    <col min="2" max="2" width="9.25" style="3" customWidth="1"/>
    <col min="3" max="3" width="18.5" style="3" customWidth="1"/>
    <col min="4" max="4" width="6.875" style="3" customWidth="1"/>
    <col min="5" max="5" width="10.625" style="3" customWidth="1"/>
    <col min="6" max="8" width="7.625" style="3" customWidth="1"/>
    <col min="9" max="16384" width="10.625" style="3"/>
  </cols>
  <sheetData>
    <row r="1" spans="1:8" ht="30" customHeight="1" x14ac:dyDescent="0.25">
      <c r="D1" s="214" t="s">
        <v>99</v>
      </c>
      <c r="E1" s="214">
        <f>'Quote Request'!K1</f>
        <v>0</v>
      </c>
      <c r="F1" s="316"/>
      <c r="G1" s="316"/>
      <c r="H1" s="316"/>
    </row>
    <row r="2" spans="1:8" ht="29.1" customHeight="1" x14ac:dyDescent="0.25">
      <c r="B2" s="213"/>
      <c r="C2" s="213"/>
      <c r="D2" s="214" t="s">
        <v>100</v>
      </c>
      <c r="E2" s="214">
        <f>'Quote Request'!K2</f>
        <v>0</v>
      </c>
      <c r="F2" s="211"/>
      <c r="G2" s="211"/>
      <c r="H2" s="211"/>
    </row>
    <row r="3" spans="1:8" ht="30" customHeight="1" thickBot="1" x14ac:dyDescent="0.3">
      <c r="A3" s="321" t="s">
        <v>96</v>
      </c>
      <c r="B3" s="321"/>
      <c r="C3" s="321"/>
      <c r="D3" s="214" t="s">
        <v>98</v>
      </c>
      <c r="E3" s="216">
        <f>'Quote Request'!K3</f>
        <v>0</v>
      </c>
      <c r="F3" s="211"/>
      <c r="G3" s="211"/>
      <c r="H3" s="211"/>
    </row>
    <row r="4" spans="1:8" s="5" customFormat="1" ht="20.100000000000001" customHeight="1" x14ac:dyDescent="0.25">
      <c r="A4" s="317" t="s">
        <v>97</v>
      </c>
      <c r="B4" s="317"/>
      <c r="C4" s="318" t="str">
        <f>'Quote Request'!E3</f>
        <v/>
      </c>
      <c r="D4" s="318"/>
      <c r="E4" s="318"/>
      <c r="F4" s="3"/>
      <c r="G4" s="3"/>
      <c r="H4" s="3"/>
    </row>
    <row r="5" spans="1:8" s="5" customFormat="1" ht="20.100000000000001" customHeight="1" x14ac:dyDescent="0.25">
      <c r="A5" s="319" t="s">
        <v>59</v>
      </c>
      <c r="B5" s="319"/>
      <c r="C5" s="322">
        <f>'Quote Request'!E5</f>
        <v>0</v>
      </c>
      <c r="D5" s="322"/>
      <c r="E5" s="322"/>
      <c r="F5" s="3"/>
      <c r="G5" s="3"/>
      <c r="H5" s="3"/>
    </row>
    <row r="6" spans="1:8" s="5" customFormat="1" ht="20.100000000000001" customHeight="1" x14ac:dyDescent="0.25">
      <c r="A6" s="209" t="s">
        <v>101</v>
      </c>
      <c r="B6" s="209"/>
      <c r="C6" s="215">
        <f>'Quote Request'!J5</f>
        <v>0</v>
      </c>
      <c r="D6" s="210"/>
      <c r="E6" s="210"/>
      <c r="F6" s="3"/>
      <c r="G6" s="3"/>
      <c r="H6" s="3"/>
    </row>
    <row r="7" spans="1:8" s="5" customFormat="1" ht="20.100000000000001" customHeight="1" x14ac:dyDescent="0.25">
      <c r="A7" s="319" t="s">
        <v>1</v>
      </c>
      <c r="B7" s="319"/>
      <c r="C7" s="320">
        <f>'Quote Request'!B6</f>
        <v>0</v>
      </c>
      <c r="D7" s="320"/>
      <c r="E7" s="320"/>
      <c r="F7" s="3"/>
      <c r="G7" s="3"/>
      <c r="H7" s="3"/>
    </row>
    <row r="8" spans="1:8" s="5" customFormat="1" ht="20.100000000000001" customHeight="1" thickBot="1" x14ac:dyDescent="0.3">
      <c r="A8" s="323" t="s">
        <v>2</v>
      </c>
      <c r="B8" s="323"/>
      <c r="C8" s="324">
        <f>'Quote Request'!B7</f>
        <v>0</v>
      </c>
      <c r="D8" s="325"/>
      <c r="E8" s="325"/>
      <c r="F8" s="3"/>
      <c r="G8" s="3"/>
      <c r="H8" s="3"/>
    </row>
    <row r="9" spans="1:8" s="5" customFormat="1" ht="20.100000000000001" customHeight="1" thickBot="1" x14ac:dyDescent="0.3">
      <c r="A9" s="4"/>
      <c r="B9" s="4"/>
      <c r="C9" s="4"/>
      <c r="D9" s="6"/>
      <c r="E9" s="6"/>
      <c r="F9" s="4"/>
      <c r="G9" s="6"/>
      <c r="H9" s="6"/>
    </row>
    <row r="10" spans="1:8" s="9" customFormat="1" ht="21.95" customHeight="1" thickBot="1" x14ac:dyDescent="0.3">
      <c r="A10" s="93" t="s">
        <v>12</v>
      </c>
      <c r="B10" s="93"/>
      <c r="C10" s="32"/>
      <c r="D10" s="20"/>
      <c r="E10" s="93" t="s">
        <v>14</v>
      </c>
      <c r="F10"/>
      <c r="G10"/>
      <c r="H10"/>
    </row>
    <row r="11" spans="1:8" s="10" customFormat="1" ht="18.95" customHeight="1" x14ac:dyDescent="0.25">
      <c r="A11" s="331" t="s">
        <v>38</v>
      </c>
      <c r="B11" s="331"/>
      <c r="C11" s="207"/>
      <c r="D11" s="21"/>
      <c r="E11" s="94">
        <f>SUM('Quote Request'!L27+'Quote Request'!L29+'Quote Request'!L30+'Quote Request'!L32+'Quote Request'!L33+'Quote Request'!L35+'Quote Request'!L37+'Quote Request'!L39)</f>
        <v>0</v>
      </c>
      <c r="F11"/>
      <c r="G11"/>
      <c r="H11"/>
    </row>
    <row r="12" spans="1:8" s="10" customFormat="1" ht="18.95" customHeight="1" x14ac:dyDescent="0.25">
      <c r="A12" s="212" t="s">
        <v>46</v>
      </c>
      <c r="B12" s="212"/>
      <c r="C12" s="207"/>
      <c r="D12" s="21"/>
      <c r="E12" s="94">
        <f>('Quote Request'!L28+'Quote Request'!L31+'Quote Request'!L40)</f>
        <v>0</v>
      </c>
      <c r="F12"/>
      <c r="G12"/>
      <c r="H12"/>
    </row>
    <row r="13" spans="1:8" s="10" customFormat="1" ht="18.95" customHeight="1" x14ac:dyDescent="0.25">
      <c r="A13" s="327" t="s">
        <v>19</v>
      </c>
      <c r="B13" s="328"/>
      <c r="C13" s="208"/>
      <c r="D13" s="22"/>
      <c r="E13" s="95">
        <f>'Quote Request'!L34</f>
        <v>0</v>
      </c>
      <c r="F13"/>
      <c r="G13"/>
      <c r="H13"/>
    </row>
    <row r="14" spans="1:8" s="10" customFormat="1" ht="18.95" customHeight="1" x14ac:dyDescent="0.25">
      <c r="A14" s="327" t="s">
        <v>27</v>
      </c>
      <c r="B14" s="328"/>
      <c r="C14" s="208"/>
      <c r="D14" s="22"/>
      <c r="E14" s="95">
        <f>'Quote Request'!L36</f>
        <v>0</v>
      </c>
      <c r="F14"/>
      <c r="G14"/>
      <c r="H14"/>
    </row>
    <row r="15" spans="1:8" s="10" customFormat="1" ht="18.95" customHeight="1" x14ac:dyDescent="0.25">
      <c r="A15" s="329" t="s">
        <v>103</v>
      </c>
      <c r="B15" s="330"/>
      <c r="C15" s="206"/>
      <c r="D15" s="23"/>
      <c r="E15" s="121">
        <f>('Quote Request'!L38+'Quote Request'!L41)</f>
        <v>0</v>
      </c>
      <c r="F15" s="67"/>
      <c r="G15" s="67"/>
      <c r="H15" s="67"/>
    </row>
    <row r="16" spans="1:8" s="10" customFormat="1" ht="18.95" customHeight="1" thickBot="1" x14ac:dyDescent="0.3">
      <c r="A16" s="324" t="str">
        <f>'Quote Request'!A42</f>
        <v/>
      </c>
      <c r="B16" s="325"/>
      <c r="C16" s="117"/>
      <c r="D16" s="30"/>
      <c r="E16" s="96">
        <f>'Quote Request'!L42</f>
        <v>0</v>
      </c>
      <c r="F16" s="67"/>
      <c r="G16" s="67"/>
      <c r="H16" s="67"/>
    </row>
    <row r="17" spans="1:8" s="10" customFormat="1" ht="20.100000000000001" customHeight="1" thickBot="1" x14ac:dyDescent="0.3">
      <c r="A17" s="24"/>
      <c r="B17" s="24"/>
      <c r="C17" s="336" t="s">
        <v>102</v>
      </c>
      <c r="D17" s="336"/>
      <c r="E17" s="97">
        <f>SUM(E11:E16)</f>
        <v>0</v>
      </c>
      <c r="F17" s="4"/>
      <c r="G17" s="4"/>
      <c r="H17" s="4"/>
    </row>
    <row r="18" spans="1:8" ht="20.100000000000001" customHeight="1" x14ac:dyDescent="0.25"/>
    <row r="19" spans="1:8" s="10" customFormat="1" ht="20.100000000000001" customHeight="1" thickBot="1" x14ac:dyDescent="0.3">
      <c r="A19" s="99" t="s">
        <v>16</v>
      </c>
      <c r="B19" s="36"/>
      <c r="C19" s="36"/>
      <c r="D19" s="36"/>
      <c r="E19" s="36"/>
      <c r="F19" s="36"/>
      <c r="G19" s="36"/>
      <c r="H19" s="36"/>
    </row>
    <row r="20" spans="1:8" s="10" customFormat="1" ht="29.1" customHeight="1" x14ac:dyDescent="0.25">
      <c r="A20" s="68"/>
      <c r="B20" s="68"/>
      <c r="C20" s="68"/>
      <c r="D20" s="68"/>
      <c r="E20" s="68"/>
      <c r="F20"/>
      <c r="G20"/>
      <c r="H20"/>
    </row>
    <row r="21" spans="1:8" s="10" customFormat="1" ht="29.1" customHeight="1" x14ac:dyDescent="0.25">
      <c r="A21" s="69"/>
      <c r="B21" s="69"/>
      <c r="C21" s="69"/>
      <c r="D21" s="69"/>
      <c r="E21" s="69"/>
      <c r="F21"/>
      <c r="G21"/>
      <c r="H21"/>
    </row>
    <row r="22" spans="1:8" s="10" customFormat="1" ht="29.1" customHeight="1" x14ac:dyDescent="0.25">
      <c r="A22" s="69"/>
      <c r="B22" s="69"/>
      <c r="C22" s="69"/>
      <c r="D22" s="69"/>
      <c r="E22" s="69"/>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thickBot="1" x14ac:dyDescent="0.3">
      <c r="A25" s="70"/>
      <c r="B25" s="70"/>
      <c r="C25" s="70"/>
      <c r="D25" s="70"/>
      <c r="E25" s="70"/>
      <c r="F25" s="67"/>
      <c r="G25" s="67"/>
      <c r="H25" s="67"/>
    </row>
    <row r="26" spans="1:8" s="10" customFormat="1" ht="36.950000000000003" customHeight="1" thickBot="1" x14ac:dyDescent="0.3">
      <c r="A26" s="335" t="s">
        <v>58</v>
      </c>
      <c r="B26" s="335"/>
      <c r="C26" s="335"/>
      <c r="D26" s="238"/>
      <c r="E26" s="238"/>
      <c r="F26" s="71"/>
      <c r="G26" s="71"/>
      <c r="H26" s="71"/>
    </row>
  </sheetData>
  <sheetProtection sheet="1" objects="1" scenarios="1" insertHyperlinks="0"/>
  <mergeCells count="17">
    <mergeCell ref="C8:E8"/>
    <mergeCell ref="A11:B11"/>
    <mergeCell ref="A26:C26"/>
    <mergeCell ref="F1:H1"/>
    <mergeCell ref="A4:B4"/>
    <mergeCell ref="C4:E4"/>
    <mergeCell ref="A5:B5"/>
    <mergeCell ref="C5:E5"/>
    <mergeCell ref="C17:D17"/>
    <mergeCell ref="A3:C3"/>
    <mergeCell ref="A13:B13"/>
    <mergeCell ref="A14:B14"/>
    <mergeCell ref="A15:B15"/>
    <mergeCell ref="A16:B16"/>
    <mergeCell ref="A7:B7"/>
    <mergeCell ref="C7:E7"/>
    <mergeCell ref="A8:B8"/>
  </mergeCells>
  <phoneticPr fontId="15" type="noConversion"/>
  <dataValidations count="1">
    <dataValidation allowBlank="1" showInputMessage="1" showErrorMessage="1" prompt="Enter a brief description." sqref="C8 D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headerFooter>
    <oddFooter>&amp;C&amp;"Arial,Regular"&amp;11&amp;K000000Issue Date: 01-Feb-16  Revision No.: 0  Revision Date: N/A</oddFooter>
  </headerFooter>
  <drawing r:id="rId1"/>
  <extLst>
    <ext xmlns:mx="http://schemas.microsoft.com/office/mac/excel/2008/main" uri="{64002731-A6B0-56B0-2670-7721B7C09600}">
      <mx:PLV Mode="0" OnePage="0" WScale="85"/>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26"/>
  <sheetViews>
    <sheetView showGridLines="0" zoomScale="115" zoomScaleNormal="115" zoomScalePageLayoutView="115" workbookViewId="0">
      <selection activeCell="E11" sqref="E11"/>
    </sheetView>
  </sheetViews>
  <sheetFormatPr defaultColWidth="10.625" defaultRowHeight="15.75" x14ac:dyDescent="0.25"/>
  <cols>
    <col min="1" max="1" width="10.75" style="3" customWidth="1"/>
    <col min="2" max="2" width="9.25" style="3" customWidth="1"/>
    <col min="3" max="3" width="18.5" style="3" customWidth="1"/>
    <col min="4" max="4" width="6.875" style="3" customWidth="1"/>
    <col min="5" max="5" width="10.625" style="3" customWidth="1"/>
    <col min="6" max="8" width="7.625" style="3" customWidth="1"/>
    <col min="9" max="16384" width="10.625" style="3"/>
  </cols>
  <sheetData>
    <row r="1" spans="1:8" ht="30" customHeight="1" x14ac:dyDescent="0.25">
      <c r="D1" s="214" t="s">
        <v>99</v>
      </c>
      <c r="E1" s="214">
        <f>'Quote Request'!K1</f>
        <v>0</v>
      </c>
      <c r="F1" s="316"/>
      <c r="G1" s="316"/>
      <c r="H1" s="316"/>
    </row>
    <row r="2" spans="1:8" ht="29.1" customHeight="1" x14ac:dyDescent="0.25">
      <c r="B2" s="213"/>
      <c r="C2" s="213"/>
      <c r="D2" s="214" t="s">
        <v>100</v>
      </c>
      <c r="E2" s="214">
        <f>'Quote Request'!K2</f>
        <v>0</v>
      </c>
      <c r="F2" s="220"/>
      <c r="G2" s="220"/>
      <c r="H2" s="220"/>
    </row>
    <row r="3" spans="1:8" ht="30" customHeight="1" thickBot="1" x14ac:dyDescent="0.3">
      <c r="A3" s="321" t="s">
        <v>96</v>
      </c>
      <c r="B3" s="321"/>
      <c r="C3" s="321"/>
      <c r="D3" s="214" t="s">
        <v>98</v>
      </c>
      <c r="E3" s="216">
        <f>'Quote Request'!K3</f>
        <v>0</v>
      </c>
      <c r="F3" s="220"/>
      <c r="G3" s="220"/>
      <c r="H3" s="220"/>
    </row>
    <row r="4" spans="1:8" s="5" customFormat="1" ht="20.100000000000001" customHeight="1" x14ac:dyDescent="0.25">
      <c r="A4" s="317" t="s">
        <v>97</v>
      </c>
      <c r="B4" s="317"/>
      <c r="C4" s="318" t="str">
        <f>'Quote Request'!E3</f>
        <v/>
      </c>
      <c r="D4" s="318"/>
      <c r="E4" s="318"/>
      <c r="F4" s="3"/>
      <c r="G4" s="3"/>
      <c r="H4" s="3"/>
    </row>
    <row r="5" spans="1:8" s="5" customFormat="1" ht="20.100000000000001" customHeight="1" x14ac:dyDescent="0.25">
      <c r="A5" s="319" t="s">
        <v>59</v>
      </c>
      <c r="B5" s="319"/>
      <c r="C5" s="322">
        <f>'Quote Request'!E5</f>
        <v>0</v>
      </c>
      <c r="D5" s="322"/>
      <c r="E5" s="322"/>
      <c r="F5" s="3"/>
      <c r="G5" s="3"/>
      <c r="H5" s="3"/>
    </row>
    <row r="6" spans="1:8" s="5" customFormat="1" ht="20.100000000000001" customHeight="1" x14ac:dyDescent="0.25">
      <c r="A6" s="221" t="s">
        <v>101</v>
      </c>
      <c r="B6" s="221"/>
      <c r="C6" s="215">
        <f>'Quote Request'!J5</f>
        <v>0</v>
      </c>
      <c r="D6" s="222"/>
      <c r="E6" s="222"/>
      <c r="F6" s="3"/>
      <c r="G6" s="3"/>
      <c r="H6" s="3"/>
    </row>
    <row r="7" spans="1:8" s="5" customFormat="1" ht="20.100000000000001" customHeight="1" x14ac:dyDescent="0.25">
      <c r="A7" s="319" t="s">
        <v>1</v>
      </c>
      <c r="B7" s="319"/>
      <c r="C7" s="320">
        <f>'Quote Request'!B6</f>
        <v>0</v>
      </c>
      <c r="D7" s="320"/>
      <c r="E7" s="320"/>
      <c r="F7" s="3"/>
      <c r="G7" s="3"/>
      <c r="H7" s="3"/>
    </row>
    <row r="8" spans="1:8" s="5" customFormat="1" ht="20.100000000000001" customHeight="1" thickBot="1" x14ac:dyDescent="0.3">
      <c r="A8" s="323" t="s">
        <v>2</v>
      </c>
      <c r="B8" s="323"/>
      <c r="C8" s="324">
        <f>'Quote Request'!B7</f>
        <v>0</v>
      </c>
      <c r="D8" s="325"/>
      <c r="E8" s="325"/>
      <c r="F8" s="3"/>
      <c r="G8" s="3"/>
      <c r="H8" s="3"/>
    </row>
    <row r="9" spans="1:8" s="5" customFormat="1" ht="20.100000000000001" customHeight="1" thickBot="1" x14ac:dyDescent="0.3">
      <c r="A9" s="4"/>
      <c r="B9" s="4"/>
      <c r="C9" s="4"/>
      <c r="D9" s="6"/>
      <c r="E9" s="6"/>
      <c r="F9" s="4"/>
      <c r="G9" s="6"/>
      <c r="H9" s="6"/>
    </row>
    <row r="10" spans="1:8" s="9" customFormat="1" ht="21.95" customHeight="1" thickBot="1" x14ac:dyDescent="0.3">
      <c r="A10" s="93" t="s">
        <v>12</v>
      </c>
      <c r="B10" s="93"/>
      <c r="C10" s="32"/>
      <c r="D10" s="20"/>
      <c r="E10" s="224" t="s">
        <v>14</v>
      </c>
      <c r="F10"/>
      <c r="G10"/>
      <c r="H10"/>
    </row>
    <row r="11" spans="1:8" s="10" customFormat="1" ht="18.95" customHeight="1" x14ac:dyDescent="0.25">
      <c r="A11" s="331" t="s">
        <v>38</v>
      </c>
      <c r="B11" s="331"/>
      <c r="C11" s="218"/>
      <c r="D11" s="21"/>
      <c r="E11" s="225"/>
      <c r="F11"/>
      <c r="G11"/>
      <c r="H11"/>
    </row>
    <row r="12" spans="1:8" s="10" customFormat="1" ht="18.95" customHeight="1" x14ac:dyDescent="0.25">
      <c r="A12" s="223" t="s">
        <v>46</v>
      </c>
      <c r="B12" s="223"/>
      <c r="C12" s="218"/>
      <c r="D12" s="21"/>
      <c r="E12" s="225"/>
      <c r="F12"/>
      <c r="G12"/>
      <c r="H12"/>
    </row>
    <row r="13" spans="1:8" s="10" customFormat="1" ht="18.95" customHeight="1" x14ac:dyDescent="0.25">
      <c r="A13" s="327" t="s">
        <v>19</v>
      </c>
      <c r="B13" s="328"/>
      <c r="C13" s="219"/>
      <c r="D13" s="22"/>
      <c r="E13" s="226"/>
      <c r="F13"/>
      <c r="G13"/>
      <c r="H13"/>
    </row>
    <row r="14" spans="1:8" s="10" customFormat="1" ht="18.95" customHeight="1" x14ac:dyDescent="0.25">
      <c r="A14" s="327" t="s">
        <v>27</v>
      </c>
      <c r="B14" s="328"/>
      <c r="C14" s="219"/>
      <c r="D14" s="22"/>
      <c r="E14" s="226"/>
      <c r="F14"/>
      <c r="G14"/>
      <c r="H14"/>
    </row>
    <row r="15" spans="1:8" s="10" customFormat="1" ht="18.95" customHeight="1" x14ac:dyDescent="0.25">
      <c r="A15" s="329" t="s">
        <v>103</v>
      </c>
      <c r="B15" s="330"/>
      <c r="C15" s="217"/>
      <c r="D15" s="23"/>
      <c r="E15" s="227"/>
      <c r="F15" s="67"/>
      <c r="G15" s="67"/>
      <c r="H15" s="67"/>
    </row>
    <row r="16" spans="1:8" s="10" customFormat="1" ht="18.95" customHeight="1" thickBot="1" x14ac:dyDescent="0.3">
      <c r="A16" s="324" t="str">
        <f>'Quote Request'!A42</f>
        <v/>
      </c>
      <c r="B16" s="325"/>
      <c r="C16" s="117"/>
      <c r="D16" s="30"/>
      <c r="E16" s="228"/>
      <c r="F16" s="67"/>
      <c r="G16" s="67"/>
      <c r="H16" s="67"/>
    </row>
    <row r="17" spans="1:8" s="10" customFormat="1" ht="20.100000000000001" customHeight="1" thickBot="1" x14ac:dyDescent="0.3">
      <c r="A17" s="24"/>
      <c r="B17" s="24"/>
      <c r="C17" s="336" t="s">
        <v>102</v>
      </c>
      <c r="D17" s="336"/>
      <c r="E17" s="97">
        <f>SUM(E11:E16)</f>
        <v>0</v>
      </c>
      <c r="F17" s="4"/>
      <c r="G17" s="4"/>
      <c r="H17" s="4"/>
    </row>
    <row r="18" spans="1:8" ht="20.100000000000001" customHeight="1" x14ac:dyDescent="0.25"/>
    <row r="19" spans="1:8" s="10" customFormat="1" ht="20.100000000000001" customHeight="1" thickBot="1" x14ac:dyDescent="0.3">
      <c r="A19" s="99" t="s">
        <v>16</v>
      </c>
      <c r="B19" s="36"/>
      <c r="C19" s="36"/>
      <c r="D19" s="36"/>
      <c r="E19" s="36"/>
      <c r="F19" s="36"/>
      <c r="G19" s="36"/>
      <c r="H19" s="36"/>
    </row>
    <row r="20" spans="1:8" s="10" customFormat="1" ht="29.1" customHeight="1" x14ac:dyDescent="0.25">
      <c r="A20" s="68"/>
      <c r="B20" s="68"/>
      <c r="C20" s="68"/>
      <c r="D20" s="68"/>
      <c r="E20" s="68"/>
      <c r="F20"/>
      <c r="G20"/>
      <c r="H20"/>
    </row>
    <row r="21" spans="1:8" s="10" customFormat="1" ht="29.1" customHeight="1" x14ac:dyDescent="0.25">
      <c r="A21" s="69"/>
      <c r="B21" s="69"/>
      <c r="C21" s="69"/>
      <c r="D21" s="69"/>
      <c r="E21" s="69"/>
      <c r="F21"/>
      <c r="G21"/>
      <c r="H21"/>
    </row>
    <row r="22" spans="1:8" s="10" customFormat="1" ht="29.1" customHeight="1" x14ac:dyDescent="0.25">
      <c r="A22" s="69"/>
      <c r="B22" s="69"/>
      <c r="C22" s="69"/>
      <c r="D22" s="69"/>
      <c r="E22" s="69"/>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thickBot="1" x14ac:dyDescent="0.3">
      <c r="A25" s="70"/>
      <c r="B25" s="70"/>
      <c r="C25" s="70"/>
      <c r="D25" s="70"/>
      <c r="E25" s="70"/>
      <c r="F25" s="67"/>
      <c r="G25" s="67"/>
      <c r="H25" s="67"/>
    </row>
    <row r="26" spans="1:8" s="10" customFormat="1" ht="36.950000000000003" customHeight="1" thickBot="1" x14ac:dyDescent="0.3">
      <c r="A26" s="326" t="s">
        <v>58</v>
      </c>
      <c r="B26" s="326"/>
      <c r="C26" s="326"/>
      <c r="D26" s="326"/>
      <c r="E26" s="326"/>
      <c r="F26" s="71"/>
      <c r="G26" s="71"/>
      <c r="H26" s="71"/>
    </row>
  </sheetData>
  <sheetProtection sheet="1" objects="1" scenarios="1" insertHyperlinks="0"/>
  <mergeCells count="17">
    <mergeCell ref="F1:H1"/>
    <mergeCell ref="A3:C3"/>
    <mergeCell ref="A4:B4"/>
    <mergeCell ref="C4:E4"/>
    <mergeCell ref="A5:B5"/>
    <mergeCell ref="C5:E5"/>
    <mergeCell ref="A26:E26"/>
    <mergeCell ref="A7:B7"/>
    <mergeCell ref="C7:E7"/>
    <mergeCell ref="A8:B8"/>
    <mergeCell ref="C8:E8"/>
    <mergeCell ref="A11:B11"/>
    <mergeCell ref="A13:B13"/>
    <mergeCell ref="A14:B14"/>
    <mergeCell ref="A15:B15"/>
    <mergeCell ref="A16:B16"/>
    <mergeCell ref="C17:D17"/>
  </mergeCells>
  <phoneticPr fontId="44" type="noConversion"/>
  <dataValidations count="1">
    <dataValidation allowBlank="1" showInputMessage="1" showErrorMessage="1" prompt="Enter a brief description." sqref="C8 D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drawing r:id="rId1"/>
  <extLst>
    <ext xmlns:mx="http://schemas.microsoft.com/office/mac/excel/2008/main" uri="{64002731-A6B0-56B0-2670-7721B7C09600}">
      <mx:PLV Mode="0" OnePage="0" WScale="85"/>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2:H78"/>
  <sheetViews>
    <sheetView showGridLines="0" zoomScale="125" zoomScaleNormal="125" zoomScalePageLayoutView="125" workbookViewId="0">
      <selection activeCell="A12" sqref="A12"/>
    </sheetView>
  </sheetViews>
  <sheetFormatPr defaultColWidth="10.625" defaultRowHeight="12.75" x14ac:dyDescent="0.2"/>
  <cols>
    <col min="1" max="6" width="13.375" style="25" customWidth="1"/>
    <col min="7" max="8" width="13.375" style="26" customWidth="1"/>
    <col min="9" max="9" width="45.125" style="25" customWidth="1"/>
    <col min="10" max="10" width="7.625" style="25" customWidth="1"/>
    <col min="11" max="16384" width="10.625" style="25"/>
  </cols>
  <sheetData>
    <row r="2" spans="1:8" ht="20.100000000000001" customHeight="1" x14ac:dyDescent="0.2"/>
    <row r="4" spans="1:8" ht="30" customHeight="1" x14ac:dyDescent="0.2">
      <c r="A4" s="47" t="s">
        <v>22</v>
      </c>
      <c r="B4" s="55"/>
      <c r="C4" s="55"/>
      <c r="D4" s="55"/>
      <c r="E4" s="55"/>
      <c r="F4" s="55"/>
    </row>
    <row r="5" spans="1:8" ht="20.100000000000001" customHeight="1" x14ac:dyDescent="0.2">
      <c r="A5" s="48">
        <v>0</v>
      </c>
      <c r="B5" s="55"/>
      <c r="C5" s="55"/>
      <c r="D5" s="55"/>
      <c r="E5" s="55"/>
      <c r="F5" s="55"/>
    </row>
    <row r="6" spans="1:8" ht="9" customHeight="1" x14ac:dyDescent="0.2">
      <c r="A6" s="49"/>
      <c r="B6" s="55"/>
      <c r="C6" s="55"/>
      <c r="D6" s="55"/>
      <c r="E6" s="55"/>
      <c r="F6" s="55"/>
    </row>
    <row r="7" spans="1:8" ht="30" customHeight="1" x14ac:dyDescent="0.2">
      <c r="A7" s="50" t="s">
        <v>36</v>
      </c>
      <c r="B7" s="55"/>
      <c r="C7" s="55"/>
      <c r="D7" s="55"/>
      <c r="E7" s="55"/>
      <c r="F7" s="55"/>
    </row>
    <row r="8" spans="1:8" ht="20.100000000000001" customHeight="1" x14ac:dyDescent="0.2">
      <c r="A8" s="48">
        <f>'Quote Request'!A18</f>
        <v>0</v>
      </c>
      <c r="B8" s="55"/>
      <c r="C8" s="55"/>
      <c r="D8" s="55"/>
      <c r="E8" s="55"/>
      <c r="F8" s="55"/>
    </row>
    <row r="9" spans="1:8" ht="9.9499999999999993" customHeight="1" x14ac:dyDescent="0.2">
      <c r="A9" s="49"/>
      <c r="B9" s="55"/>
      <c r="C9" s="55"/>
      <c r="D9" s="55"/>
      <c r="E9" s="55"/>
      <c r="F9" s="55"/>
    </row>
    <row r="10" spans="1:8" ht="20.100000000000001" customHeight="1" x14ac:dyDescent="0.2">
      <c r="A10" s="49"/>
      <c r="B10" s="60"/>
      <c r="C10" s="59" t="s">
        <v>52</v>
      </c>
      <c r="D10" s="59" t="s">
        <v>53</v>
      </c>
      <c r="E10" s="59" t="s">
        <v>54</v>
      </c>
      <c r="F10" s="59"/>
      <c r="G10" s="61"/>
      <c r="H10" s="61"/>
    </row>
    <row r="11" spans="1:8" ht="30" customHeight="1" x14ac:dyDescent="0.2">
      <c r="A11" s="51" t="s">
        <v>34</v>
      </c>
      <c r="B11" s="51" t="s">
        <v>35</v>
      </c>
      <c r="C11" s="58" t="b">
        <f>AND(A8&gt;1,'Quote Request'!C24="Yes",OR(A5=1,A5=4))</f>
        <v>0</v>
      </c>
      <c r="D11" s="58" t="b">
        <f>AND(A8&gt;1,'Quote Request'!C24="Yes",OR(A5=2,A5=5))</f>
        <v>0</v>
      </c>
      <c r="E11" s="58" t="b">
        <f>AND(A8&gt;1,'Quote Request'!C24="Yes",OR(A5=3,A5=6))</f>
        <v>0</v>
      </c>
      <c r="F11" s="56" t="s">
        <v>30</v>
      </c>
    </row>
    <row r="12" spans="1:8" ht="20.100000000000001" customHeight="1" x14ac:dyDescent="0.2">
      <c r="A12" s="48" t="b">
        <f>IF('Quote Request'!C15="All new art",".5",IF('Quote Request'!C15="RWC with all new art",".5",IF('Quote Request'!C15="RWC to existing art",".25",IF('Quote Request'!C15="New - Redraw","1.5",IF('Quote Request'!C15="New - use existing art",".25")))))</f>
        <v>0</v>
      </c>
      <c r="B12" s="48" t="b">
        <f>IF(A5=1,(0.5*A8),IF(A5=2,(1.5*A8),IF(A5=3,(2.5*A8),IF(A5=4,(1*A8),IF(A5=5,(2.25*A8),IF(A5=6,(3.5*A8),IF(A5=7,(0.25*A8),IF(A5=8,(1*A8)))))))))</f>
        <v>0</v>
      </c>
      <c r="C12" s="57">
        <f>IF(C11,(A8-1)*0.25,0)</f>
        <v>0</v>
      </c>
      <c r="D12" s="57">
        <f>IF(D11,(A8-1)*0.5,0)</f>
        <v>0</v>
      </c>
      <c r="E12" s="57">
        <f>IF(E11,(A8-1)*0.75,0)</f>
        <v>0</v>
      </c>
      <c r="F12" s="57">
        <f>A12+B12-C12-D12-E12</f>
        <v>0</v>
      </c>
    </row>
    <row r="13" spans="1:8" ht="9" customHeight="1" x14ac:dyDescent="0.2">
      <c r="A13" s="52"/>
      <c r="B13" s="55"/>
      <c r="C13" s="55"/>
      <c r="D13" s="55"/>
      <c r="E13" s="55"/>
      <c r="F13" s="55"/>
    </row>
    <row r="14" spans="1:8" ht="20.100000000000001" customHeight="1" x14ac:dyDescent="0.2">
      <c r="A14" s="52"/>
      <c r="B14" s="55"/>
      <c r="C14" s="59" t="s">
        <v>49</v>
      </c>
      <c r="D14" s="59" t="s">
        <v>50</v>
      </c>
      <c r="E14" s="59" t="s">
        <v>51</v>
      </c>
      <c r="F14" s="55"/>
    </row>
    <row r="15" spans="1:8" ht="30" customHeight="1" x14ac:dyDescent="0.2">
      <c r="A15" s="47" t="s">
        <v>37</v>
      </c>
      <c r="B15" s="56" t="s">
        <v>48</v>
      </c>
      <c r="C15" s="58" t="b">
        <f>AND(A16&gt;1,'Quote Request'!C24="Yes",A5=4)</f>
        <v>0</v>
      </c>
      <c r="D15" s="58" t="b">
        <f>AND(A16&gt;1,'Quote Request'!C24="Yes",A5=5)</f>
        <v>0</v>
      </c>
      <c r="E15" s="58" t="b">
        <f>AND(A16&gt;1,'Quote Request'!C24="Yes",A5=6)</f>
        <v>0</v>
      </c>
      <c r="F15" s="56" t="s">
        <v>32</v>
      </c>
      <c r="H15" s="62"/>
    </row>
    <row r="16" spans="1:8" ht="20.100000000000001" customHeight="1" x14ac:dyDescent="0.2">
      <c r="A16" s="48">
        <f>'Quote Request'!K18</f>
        <v>0</v>
      </c>
      <c r="B16" s="57">
        <f>IF(A16&lt;1,0,IF(A5=4,(1.5*A16),IF(A5=5,(2.75*A16),IF(A5=6,(4*A16)))))</f>
        <v>0</v>
      </c>
      <c r="C16" s="57">
        <f>IF(C15,(A16-1)*0.25,0)</f>
        <v>0</v>
      </c>
      <c r="D16" s="57">
        <f>IF(D15,(A16-1)*0.5,0)</f>
        <v>0</v>
      </c>
      <c r="E16" s="57">
        <f>IF(E15,(A16-1)*0.75,0)</f>
        <v>0</v>
      </c>
      <c r="F16" s="57">
        <f>B16-C16-D16-E16</f>
        <v>0</v>
      </c>
    </row>
    <row r="17" spans="1:6" ht="9" customHeight="1" x14ac:dyDescent="0.2">
      <c r="A17" s="52"/>
      <c r="B17" s="60"/>
      <c r="C17" s="55"/>
      <c r="D17" s="55"/>
      <c r="E17" s="55"/>
      <c r="F17" s="55"/>
    </row>
    <row r="18" spans="1:6" ht="30" customHeight="1" x14ac:dyDescent="0.2">
      <c r="A18" s="47" t="s">
        <v>70</v>
      </c>
      <c r="B18" s="53" t="s">
        <v>31</v>
      </c>
      <c r="C18" s="55"/>
      <c r="D18" s="55"/>
      <c r="E18" s="55"/>
      <c r="F18" s="55"/>
    </row>
    <row r="19" spans="1:6" ht="20.100000000000001" customHeight="1" x14ac:dyDescent="0.2">
      <c r="A19" s="111" t="b">
        <f>IF('Quote Request'!C24="Yes",(A8-1)*0.25,IF('Quote Request'!C24="No",0,IF('Quote Request'!C24="N/A",0)))</f>
        <v>0</v>
      </c>
      <c r="B19" s="48" t="b">
        <f>IF(A5=1,(0.5*A8)-A19,IF(A5=2,(0.75*A8)-A19,IF(A5=3,(1*A8)-A19,IF(A5=4,(0.5*A8)-A19,IF(A5=5,(0.75*A8)-A19,IF(A5=6,(1*A8)-A19,IF(A5=7,(0.25*A8),IF(A5=8,(0.25*A8)))))))))</f>
        <v>0</v>
      </c>
      <c r="C19" s="55"/>
      <c r="D19" s="55"/>
      <c r="E19" s="55"/>
      <c r="F19" s="55"/>
    </row>
    <row r="20" spans="1:6" ht="9" customHeight="1" x14ac:dyDescent="0.2">
      <c r="A20" s="52"/>
      <c r="B20" s="55"/>
      <c r="C20" s="55"/>
      <c r="D20" s="55"/>
      <c r="E20" s="55"/>
      <c r="F20" s="55"/>
    </row>
    <row r="21" spans="1:6" ht="30" customHeight="1" x14ac:dyDescent="0.2">
      <c r="A21" s="54" t="s">
        <v>47</v>
      </c>
      <c r="B21" s="56" t="s">
        <v>33</v>
      </c>
      <c r="C21" s="55"/>
      <c r="D21" s="55"/>
      <c r="E21" s="55"/>
      <c r="F21" s="55"/>
    </row>
    <row r="22" spans="1:6" ht="20.100000000000001" customHeight="1" thickBot="1" x14ac:dyDescent="0.25">
      <c r="A22" s="63" t="b">
        <f>IF(A8&gt;0,".25")</f>
        <v>0</v>
      </c>
      <c r="B22" s="64">
        <f>(0.25*A8)+A22</f>
        <v>0</v>
      </c>
      <c r="C22" s="65"/>
      <c r="D22" s="65"/>
      <c r="E22" s="65"/>
      <c r="F22" s="65"/>
    </row>
    <row r="23" spans="1:6" ht="9" customHeight="1" x14ac:dyDescent="0.2">
      <c r="A23" s="27"/>
      <c r="B23" s="26"/>
      <c r="C23" s="26"/>
      <c r="D23" s="26"/>
    </row>
    <row r="24" spans="1:6" ht="30" customHeight="1" thickBot="1" x14ac:dyDescent="0.25">
      <c r="A24" s="46" t="s">
        <v>23</v>
      </c>
    </row>
    <row r="25" spans="1:6" ht="27.95" customHeight="1" x14ac:dyDescent="0.2">
      <c r="A25" s="2" t="s">
        <v>8</v>
      </c>
      <c r="B25" s="2" t="s">
        <v>9</v>
      </c>
      <c r="C25" s="2" t="s">
        <v>10</v>
      </c>
      <c r="D25" s="13" t="s">
        <v>11</v>
      </c>
    </row>
    <row r="26" spans="1:6" ht="20.100000000000001" customHeight="1" thickBot="1" x14ac:dyDescent="0.25">
      <c r="A26" s="1">
        <f>('Quote Request'!D18*'Quote Request'!E18+23)</f>
        <v>23</v>
      </c>
      <c r="B26" s="1">
        <f>('Quote Request'!G18+'Quote Request'!H18)</f>
        <v>0</v>
      </c>
      <c r="C26" s="1">
        <f>ROUND(A26/25.4,0.5)+2</f>
        <v>3</v>
      </c>
      <c r="D26" s="14">
        <f>ROUND(B26/25.4,0.5)+2</f>
        <v>2</v>
      </c>
    </row>
    <row r="27" spans="1:6" ht="20.100000000000001" customHeight="1" x14ac:dyDescent="0.2"/>
    <row r="28" spans="1:6" ht="20.100000000000001" customHeight="1" x14ac:dyDescent="0.2"/>
    <row r="29" spans="1:6" ht="20.100000000000001" customHeight="1" x14ac:dyDescent="0.2"/>
    <row r="30" spans="1:6" ht="20.100000000000001" customHeight="1" x14ac:dyDescent="0.2"/>
    <row r="31" spans="1:6" ht="20.100000000000001" customHeight="1" x14ac:dyDescent="0.2"/>
    <row r="32" spans="1:6"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sheetData>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Quote Request</vt:lpstr>
      <vt:lpstr>Quote</vt:lpstr>
      <vt:lpstr>Invoice</vt:lpstr>
      <vt:lpstr>Invoice to Date</vt:lpstr>
      <vt:lpstr>Calculations</vt:lpstr>
      <vt:lpstr>Invoice!Print_Area</vt:lpstr>
      <vt:lpstr>'Invoice to Date'!Print_Area</vt:lpstr>
      <vt:lpstr>Quote!Print_Area</vt:lpstr>
      <vt:lpstr>'Quote Request'!Print_Area</vt:lpstr>
    </vt:vector>
  </TitlesOfParts>
  <Company>Winpak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 Kelvin</dc:creator>
  <cp:lastModifiedBy>Lee, Kelvin</cp:lastModifiedBy>
  <cp:lastPrinted>2016-02-24T15:41:04Z</cp:lastPrinted>
  <dcterms:created xsi:type="dcterms:W3CDTF">2014-03-27T14:55:21Z</dcterms:created>
  <dcterms:modified xsi:type="dcterms:W3CDTF">2016-08-26T21:23:48Z</dcterms:modified>
</cp:coreProperties>
</file>