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0095" yWindow="465" windowWidth="18180" windowHeight="16440" tabRatio="500"/>
  </bookViews>
  <sheets>
    <sheet name="Quote Request" sheetId="1" r:id="rId1"/>
    <sheet name="Quote" sheetId="5" r:id="rId2"/>
    <sheet name="Invoice" sheetId="6" state="hidden" r:id="rId3"/>
    <sheet name="Invoice to Date" sheetId="7" state="hidden" r:id="rId4"/>
    <sheet name="Calculations" sheetId="3" state="hidden" r:id="rId5"/>
  </sheets>
  <definedNames>
    <definedName name="_xlnm.Print_Area" localSheetId="2">Invoice!$A$1:$E$27</definedName>
    <definedName name="_xlnm.Print_Area" localSheetId="3">'Invoice to Date'!$A$1:$E$27</definedName>
    <definedName name="_xlnm.Print_Area" localSheetId="1">Quote!$A$1:$E$29</definedName>
    <definedName name="_xlnm.Print_Area" localSheetId="0">'Quote Request'!$A$1:$L$59</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42" i="1" l="1"/>
  <c r="A16" i="7"/>
  <c r="L42" i="1"/>
  <c r="E16" i="6"/>
  <c r="A16" i="6"/>
  <c r="E15" i="5"/>
  <c r="A15" i="5"/>
  <c r="A43" i="1"/>
  <c r="L43" i="1"/>
  <c r="A23" i="5"/>
  <c r="A12" i="3"/>
  <c r="B12" i="3"/>
  <c r="A8" i="3"/>
  <c r="C11" i="3"/>
  <c r="C12" i="3"/>
  <c r="D11" i="3"/>
  <c r="D12" i="3"/>
  <c r="E11" i="3"/>
  <c r="E12" i="3"/>
  <c r="F12" i="3"/>
  <c r="D29" i="1"/>
  <c r="L29" i="1"/>
  <c r="A16" i="3"/>
  <c r="B16" i="3"/>
  <c r="C15" i="3"/>
  <c r="C16" i="3"/>
  <c r="D15" i="3"/>
  <c r="D16" i="3"/>
  <c r="E15" i="3"/>
  <c r="E16" i="3"/>
  <c r="F16" i="3"/>
  <c r="D32" i="1"/>
  <c r="L32" i="1"/>
  <c r="B19" i="3"/>
  <c r="D35" i="1"/>
  <c r="L35" i="1"/>
  <c r="A22" i="3"/>
  <c r="B22" i="3"/>
  <c r="D37" i="1"/>
  <c r="L37" i="1"/>
  <c r="L30" i="1"/>
  <c r="L33" i="1"/>
  <c r="D27" i="1"/>
  <c r="L27" i="1"/>
  <c r="L39" i="1"/>
  <c r="E10" i="5"/>
  <c r="D31" i="1"/>
  <c r="L31" i="1"/>
  <c r="D28" i="1"/>
  <c r="L28" i="1"/>
  <c r="L40" i="1"/>
  <c r="E11" i="5"/>
  <c r="D34" i="1"/>
  <c r="L34" i="1"/>
  <c r="E12" i="5"/>
  <c r="D36" i="1"/>
  <c r="L36" i="1"/>
  <c r="E13" i="5"/>
  <c r="A26" i="3"/>
  <c r="C26" i="3"/>
  <c r="B26" i="3"/>
  <c r="D26" i="3"/>
  <c r="D38" i="1"/>
  <c r="L38" i="1"/>
  <c r="L41" i="1"/>
  <c r="E14" i="5"/>
  <c r="E16" i="5"/>
  <c r="E17" i="5"/>
  <c r="E18" i="5"/>
  <c r="L50" i="1"/>
  <c r="E18" i="7"/>
  <c r="A17" i="7"/>
  <c r="C8" i="7"/>
  <c r="C7" i="7"/>
  <c r="C6" i="7"/>
  <c r="C5" i="7"/>
  <c r="E3" i="1"/>
  <c r="C4" i="7"/>
  <c r="E3" i="7"/>
  <c r="E2" i="7"/>
  <c r="E1" i="7"/>
  <c r="A3" i="1"/>
  <c r="L44" i="1"/>
  <c r="L48" i="1"/>
  <c r="L47" i="1"/>
  <c r="E1" i="6"/>
  <c r="C8" i="1"/>
  <c r="C5" i="5"/>
  <c r="E3" i="6"/>
  <c r="E2" i="6"/>
  <c r="C6" i="6"/>
  <c r="C4" i="6"/>
  <c r="E17" i="6"/>
  <c r="E15" i="6"/>
  <c r="E14" i="6"/>
  <c r="E13" i="6"/>
  <c r="E12" i="6"/>
  <c r="E11" i="6"/>
  <c r="E18" i="6"/>
  <c r="A17" i="6"/>
  <c r="C8" i="6"/>
  <c r="C7" i="6"/>
  <c r="C5" i="6"/>
  <c r="C20" i="5"/>
  <c r="C4" i="5"/>
  <c r="E26" i="1"/>
  <c r="H50" i="1"/>
  <c r="A41" i="1"/>
  <c r="A40" i="1"/>
  <c r="A39" i="1"/>
  <c r="M41" i="1"/>
  <c r="M40" i="1"/>
  <c r="M39" i="1"/>
  <c r="K48" i="1"/>
  <c r="K47" i="1"/>
  <c r="E29" i="1"/>
  <c r="E38" i="1"/>
  <c r="M43" i="1"/>
  <c r="A16" i="5"/>
  <c r="E27" i="1"/>
  <c r="E30" i="1"/>
  <c r="E32" i="1"/>
  <c r="E33" i="1"/>
  <c r="A19" i="3"/>
  <c r="E35" i="1"/>
  <c r="E37" i="1"/>
  <c r="E28" i="1"/>
  <c r="E31" i="1"/>
  <c r="E34" i="1"/>
  <c r="E36" i="1"/>
  <c r="C7" i="5"/>
  <c r="E1" i="1"/>
  <c r="D26" i="1"/>
  <c r="M51" i="1"/>
  <c r="C6" i="5"/>
  <c r="C3" i="5"/>
  <c r="A33" i="1"/>
  <c r="A30" i="1"/>
  <c r="L45" i="1"/>
</calcChain>
</file>

<file path=xl/comments1.xml><?xml version="1.0" encoding="utf-8"?>
<comments xmlns="http://schemas.openxmlformats.org/spreadsheetml/2006/main">
  <authors>
    <author>Leann Chastko</author>
  </authors>
  <commentList>
    <comment ref="A20" authorId="0">
      <text>
        <r>
          <rPr>
            <b/>
            <sz val="9"/>
            <color indexed="81"/>
            <rFont val="Calibri"/>
            <family val="2"/>
          </rPr>
          <t>Note: Level applies to the complexity of the work required on either a new or a rwc job.</t>
        </r>
      </text>
    </comment>
  </commentList>
</comments>
</file>

<file path=xl/comments2.xml><?xml version="1.0" encoding="utf-8"?>
<comments xmlns="http://schemas.openxmlformats.org/spreadsheetml/2006/main">
  <authors>
    <author>Leann Chastko</author>
  </authors>
  <commentList>
    <comment ref="C10" authorId="0">
      <text>
        <r>
          <rPr>
            <sz val="9"/>
            <color indexed="81"/>
            <rFont val="Calibri"/>
            <family val="2"/>
          </rPr>
          <t>Time is reduced if common elements exist between the items being quoted.</t>
        </r>
      </text>
    </comment>
    <comment ref="A11" authorId="0">
      <text>
        <r>
          <rPr>
            <sz val="9"/>
            <color indexed="81"/>
            <rFont val="Calibri"/>
            <family val="2"/>
          </rPr>
          <t xml:space="preserve">BASE time initially calculated for PF based on NEW, RWC, RWC with all new art OR a Redraw.
</t>
        </r>
      </text>
    </comment>
    <comment ref="B11" authorId="0">
      <text>
        <r>
          <rPr>
            <sz val="9"/>
            <color indexed="81"/>
            <rFont val="Calibri"/>
            <family val="2"/>
          </rPr>
          <t>Additional time is then calculated based on level of difficulty of work required.</t>
        </r>
      </text>
    </comment>
    <comment ref="B15" authorId="0">
      <text>
        <r>
          <rPr>
            <sz val="9"/>
            <color indexed="81"/>
            <rFont val="Calibri"/>
            <family val="2"/>
          </rPr>
          <t>Time for CC is calculated in the same manner as Pre-flight except for the amount of time to do the task and is based on number of contract proofs, not the number of items.</t>
        </r>
      </text>
    </comment>
    <comment ref="B26" authorId="0">
      <text>
        <r>
          <rPr>
            <b/>
            <sz val="9"/>
            <color indexed="81"/>
            <rFont val="Calibri"/>
            <family val="2"/>
          </rPr>
          <t>Leann Chastko:</t>
        </r>
        <r>
          <rPr>
            <sz val="9"/>
            <color indexed="81"/>
            <rFont val="Calibri"/>
            <family val="2"/>
          </rPr>
          <t xml:space="preserve">
20mm is an average amount allotted for the ID Bar. This takes into consideration staggered jobs where the ID Bar is within the trim box and extra plate area is not needed. 40mm is actually needed so I used 1/2.</t>
        </r>
      </text>
    </comment>
  </commentList>
</comments>
</file>

<file path=xl/sharedStrings.xml><?xml version="1.0" encoding="utf-8"?>
<sst xmlns="http://schemas.openxmlformats.org/spreadsheetml/2006/main" count="149" uniqueCount="111">
  <si>
    <t>GRAPHICS QUOTE</t>
  </si>
  <si>
    <t>Customer:</t>
  </si>
  <si>
    <t>Design Description:</t>
  </si>
  <si>
    <t># Items</t>
  </si>
  <si>
    <t># Plates</t>
  </si>
  <si>
    <t>Web Width</t>
  </si>
  <si>
    <t># Webs Ac</t>
  </si>
  <si>
    <t>Cyl Size</t>
  </si>
  <si>
    <t>Plate Width (mm)</t>
  </si>
  <si>
    <t>Plate Length (mm)</t>
  </si>
  <si>
    <t>Plate Width (in)</t>
  </si>
  <si>
    <t>Plate Length (in)</t>
  </si>
  <si>
    <t>Description</t>
  </si>
  <si>
    <t>Cost Per Unit</t>
  </si>
  <si>
    <t>Amount</t>
  </si>
  <si>
    <t>Total:</t>
  </si>
  <si>
    <t>Comments:</t>
  </si>
  <si>
    <t>Per Plate:</t>
  </si>
  <si>
    <t># Content Proofs</t>
  </si>
  <si>
    <t>Contract Proof(s)</t>
  </si>
  <si>
    <t>Content Proof(s)</t>
  </si>
  <si>
    <t>Plates (sq inches)</t>
  </si>
  <si>
    <t>Job Type Cell Link:</t>
  </si>
  <si>
    <t>Plate Size:</t>
  </si>
  <si>
    <t>Preflight Time (PDF)</t>
  </si>
  <si>
    <t>Assessment Proof(s)</t>
  </si>
  <si>
    <t>Colour Correction Time</t>
  </si>
  <si>
    <t>Key Overlays</t>
  </si>
  <si>
    <t>Trap Time</t>
  </si>
  <si>
    <t>Step and Repeat Time</t>
  </si>
  <si>
    <t>Total Pre-F Time:</t>
  </si>
  <si>
    <t>Total T Time:</t>
  </si>
  <si>
    <t>Total CC Time:</t>
  </si>
  <si>
    <t>Total SR Time:</t>
  </si>
  <si>
    <t>PF Base Time for
NEW or RWC</t>
  </si>
  <si>
    <t>PF Additional Time
based on level:</t>
  </si>
  <si>
    <t># Items:</t>
  </si>
  <si>
    <t># Contract Proofs:</t>
  </si>
  <si>
    <t>Mac Time</t>
  </si>
  <si>
    <t>Repeat</t>
  </si>
  <si>
    <t>Structure:</t>
  </si>
  <si>
    <t>Quote Date:</t>
  </si>
  <si>
    <t>New or RWC?</t>
  </si>
  <si>
    <t>Select Art Option:</t>
  </si>
  <si>
    <t>Price is subject to change if further changes to original instructions are required. This quote is valid for 30 days.</t>
  </si>
  <si>
    <t>Total # Change-overs:</t>
  </si>
  <si>
    <t>100% Proof(s)</t>
  </si>
  <si>
    <t>SR Base Time:</t>
  </si>
  <si>
    <t>Base CC Time:</t>
  </si>
  <si>
    <t>cc minus for level 1
w common elements</t>
  </si>
  <si>
    <t>cc minus for level 2
w common elements</t>
  </si>
  <si>
    <t>cc minus for level 3
w common elements</t>
  </si>
  <si>
    <t>pf minus time for sp level 1
w common elements</t>
  </si>
  <si>
    <t>pf minus time for sp level 2
w common elements</t>
  </si>
  <si>
    <t>pf minus time for sp level 3
w common elements</t>
  </si>
  <si>
    <t># Items that require CC</t>
  </si>
  <si>
    <t>Keys (Mylar/Paper)</t>
  </si>
  <si>
    <t># Contract Proofs</t>
  </si>
  <si>
    <t>Price is subject to change if further changes to original
instructions are required. This quote is valid for 30 days.</t>
  </si>
  <si>
    <t>Coordinator:</t>
  </si>
  <si>
    <t># Assmts</t>
  </si>
  <si>
    <t># Keys</t>
  </si>
  <si>
    <t>Stagger Size</t>
  </si>
  <si>
    <t>Design:</t>
  </si>
  <si>
    <t>Random or Registered:</t>
  </si>
  <si>
    <t>Assessment(s)</t>
  </si>
  <si>
    <t>Sales Rep #:</t>
  </si>
  <si>
    <t>Quoted By:</t>
  </si>
  <si>
    <t>Total # of Change-overs</t>
  </si>
  <si>
    <t>Common Elements?</t>
  </si>
  <si>
    <t>T minus time for
common elements</t>
  </si>
  <si>
    <t>PO#</t>
  </si>
  <si>
    <t>Movex # (if applic.):</t>
  </si>
  <si>
    <t>INV#</t>
  </si>
  <si>
    <r>
      <t xml:space="preserve">Design Category:
</t>
    </r>
    <r>
      <rPr>
        <sz val="9"/>
        <color indexed="8"/>
        <rFont val="Arial"/>
        <family val="2"/>
      </rPr>
      <t>Select</t>
    </r>
    <r>
      <rPr>
        <b/>
        <sz val="9"/>
        <color indexed="8"/>
        <rFont val="Arial"/>
        <family val="2"/>
      </rPr>
      <t xml:space="preserve"> </t>
    </r>
    <r>
      <rPr>
        <sz val="9"/>
        <color indexed="8"/>
        <rFont val="Arial"/>
        <family val="2"/>
      </rPr>
      <t>only</t>
    </r>
    <r>
      <rPr>
        <b/>
        <sz val="9"/>
        <color indexed="8"/>
        <rFont val="Arial"/>
        <family val="2"/>
      </rPr>
      <t xml:space="preserve"> ONE
</t>
    </r>
    <r>
      <rPr>
        <sz val="9"/>
        <color indexed="8"/>
        <rFont val="Arial"/>
        <family val="2"/>
      </rPr>
      <t>of the 9 categories
based on print type
and level of difficulty.</t>
    </r>
  </si>
  <si>
    <r>
      <t xml:space="preserve">Close &amp; Invoice Cost to Date
</t>
    </r>
    <r>
      <rPr>
        <b/>
        <sz val="8.5"/>
        <color indexed="10"/>
        <rFont val="Arial"/>
        <family val="2"/>
      </rPr>
      <t>JOB CANCELLED</t>
    </r>
  </si>
  <si>
    <r>
      <t xml:space="preserve">Close &amp; Invoice
</t>
    </r>
    <r>
      <rPr>
        <b/>
        <sz val="8.5"/>
        <color indexed="10"/>
        <rFont val="Arial"/>
        <family val="2"/>
      </rPr>
      <t>QUOTED</t>
    </r>
  </si>
  <si>
    <t>SO#</t>
  </si>
  <si>
    <t>Regular
Quote</t>
  </si>
  <si>
    <t>Manual
Quote</t>
  </si>
  <si>
    <t>Eyespot
Trial</t>
  </si>
  <si>
    <t>Dieline</t>
  </si>
  <si>
    <r>
      <rPr>
        <b/>
        <sz val="8"/>
        <color indexed="8"/>
        <rFont val="Arial"/>
        <family val="2"/>
      </rPr>
      <t>Plates Only</t>
    </r>
    <r>
      <rPr>
        <b/>
        <sz val="10"/>
        <color indexed="8"/>
        <rFont val="Arial"/>
        <family val="2"/>
      </rPr>
      <t xml:space="preserve"> </t>
    </r>
    <r>
      <rPr>
        <b/>
        <sz val="8"/>
        <color indexed="8"/>
        <rFont val="Arial"/>
        <family val="2"/>
      </rPr>
      <t>(plus
ext. charges if applic.)</t>
    </r>
  </si>
  <si>
    <r>
      <rPr>
        <b/>
        <sz val="10"/>
        <color indexed="8"/>
        <rFont val="Arial"/>
        <family val="2"/>
      </rPr>
      <t>1 Colour</t>
    </r>
    <r>
      <rPr>
        <sz val="10"/>
        <color indexed="8"/>
        <rFont val="Arial"/>
        <family val="2"/>
      </rPr>
      <t xml:space="preserve">
Continuous</t>
    </r>
  </si>
  <si>
    <r>
      <rPr>
        <b/>
        <sz val="10"/>
        <color indexed="8"/>
        <rFont val="Arial"/>
        <family val="2"/>
      </rPr>
      <t>Eyespot Trial or Dieline Drawing</t>
    </r>
  </si>
  <si>
    <r>
      <rPr>
        <b/>
        <sz val="10"/>
        <color indexed="8"/>
        <rFont val="Arial"/>
        <family val="2"/>
      </rPr>
      <t>Spot</t>
    </r>
    <r>
      <rPr>
        <sz val="10"/>
        <color indexed="8"/>
        <rFont val="Arial"/>
        <family val="2"/>
      </rPr>
      <t xml:space="preserve"> - Level 1</t>
    </r>
  </si>
  <si>
    <r>
      <rPr>
        <b/>
        <sz val="10"/>
        <color indexed="8"/>
        <rFont val="Arial"/>
        <family val="2"/>
      </rPr>
      <t>Spot</t>
    </r>
    <r>
      <rPr>
        <sz val="10"/>
        <color indexed="8"/>
        <rFont val="Arial"/>
        <family val="2"/>
      </rPr>
      <t xml:space="preserve"> - Level 2</t>
    </r>
  </si>
  <si>
    <r>
      <rPr>
        <b/>
        <sz val="10"/>
        <color indexed="8"/>
        <rFont val="Arial"/>
        <family val="2"/>
      </rPr>
      <t>Spot</t>
    </r>
    <r>
      <rPr>
        <sz val="10"/>
        <color indexed="8"/>
        <rFont val="Arial"/>
        <family val="2"/>
      </rPr>
      <t xml:space="preserve"> - Level 3</t>
    </r>
  </si>
  <si>
    <r>
      <rPr>
        <b/>
        <sz val="10"/>
        <color indexed="8"/>
        <rFont val="Arial"/>
        <family val="2"/>
      </rPr>
      <t>Process</t>
    </r>
    <r>
      <rPr>
        <sz val="10"/>
        <color indexed="8"/>
        <rFont val="Arial"/>
        <family val="2"/>
      </rPr>
      <t xml:space="preserve"> - Level 1</t>
    </r>
  </si>
  <si>
    <r>
      <rPr>
        <b/>
        <sz val="10"/>
        <color indexed="8"/>
        <rFont val="Arial"/>
        <family val="2"/>
      </rPr>
      <t>Process</t>
    </r>
    <r>
      <rPr>
        <sz val="10"/>
        <color indexed="8"/>
        <rFont val="Arial"/>
        <family val="2"/>
      </rPr>
      <t xml:space="preserve"> - Level 2</t>
    </r>
  </si>
  <si>
    <r>
      <rPr>
        <b/>
        <sz val="10"/>
        <color indexed="8"/>
        <rFont val="Arial"/>
        <family val="2"/>
      </rPr>
      <t>Process</t>
    </r>
    <r>
      <rPr>
        <sz val="10"/>
        <color indexed="8"/>
        <rFont val="Arial"/>
        <family val="2"/>
      </rPr>
      <t xml:space="preserve"> - Level 3</t>
    </r>
  </si>
  <si>
    <t>Mac Time:</t>
  </si>
  <si>
    <t>Proofs:</t>
  </si>
  <si>
    <t>Plates:</t>
  </si>
  <si>
    <t>Sleeves:</t>
  </si>
  <si>
    <t>COMMENTS:</t>
  </si>
  <si>
    <t>GRAPHICS INVOICE</t>
  </si>
  <si>
    <t>Invoice Closed Date:</t>
  </si>
  <si>
    <t>SO#:</t>
  </si>
  <si>
    <t>PO#:</t>
  </si>
  <si>
    <t>INV#:</t>
  </si>
  <si>
    <t>Sales Rep. #:</t>
  </si>
  <si>
    <t>Total Before Markup:</t>
  </si>
  <si>
    <t>Plates</t>
  </si>
  <si>
    <t>Rev Quote or
Additional Time</t>
  </si>
  <si>
    <r>
      <rPr>
        <b/>
        <sz val="10"/>
        <color indexed="8"/>
        <rFont val="Arial"/>
        <family val="2"/>
      </rPr>
      <t>1 Colour</t>
    </r>
  </si>
  <si>
    <t>Pouch Size (if applic.):</t>
  </si>
  <si>
    <t>OD or ID?:</t>
  </si>
  <si>
    <t>Add Disclaimer</t>
  </si>
  <si>
    <t>External
Charges</t>
  </si>
  <si>
    <t>DCR 
Label Art: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</si>
</sst>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quot;$&quot;#,##0.00_);[Red]\(&quot;$&quot;#,##0.00\)"/>
    <numFmt numFmtId="165" formatCode="_(&quot;$&quot;* #,##0.00_);_(&quot;$&quot;* \(#,##0.00\);_(&quot;$&quot;* &quot;-&quot;??_);_(@_)"/>
    <numFmt numFmtId="166" formatCode="[$-1009]mmmm\ d\,\ yyyy;@"/>
    <numFmt numFmtId="167" formatCode="[$-1009]d/mmm/yy;@"/>
    <numFmt numFmtId="168" formatCode=";;;"/>
  </numFmts>
  <fonts count="47" x14ac:knownFonts="1">
    <font>
      <sz val="12"/>
      <color theme="1"/>
      <name val="Calibri"/>
      <family val="2"/>
      <scheme val="minor"/>
    </font>
    <font>
      <sz val="8"/>
      <name val="Calibri"/>
      <family val="2"/>
    </font>
    <font>
      <b/>
      <sz val="10"/>
      <name val="Arial"/>
      <family val="2"/>
    </font>
    <font>
      <b/>
      <sz val="9"/>
      <color indexed="8"/>
      <name val="Arial"/>
      <family val="2"/>
    </font>
    <font>
      <b/>
      <sz val="9"/>
      <name val="Arial"/>
      <family val="2"/>
    </font>
    <font>
      <sz val="9"/>
      <color indexed="81"/>
      <name val="Calibri"/>
      <family val="2"/>
    </font>
    <font>
      <b/>
      <sz val="9"/>
      <color indexed="81"/>
      <name val="Calibri"/>
      <family val="2"/>
    </font>
    <font>
      <sz val="9"/>
      <color indexed="8"/>
      <name val="Arial"/>
      <family val="2"/>
    </font>
    <font>
      <sz val="10"/>
      <name val="Arial"/>
      <family val="2"/>
    </font>
    <font>
      <b/>
      <sz val="12"/>
      <name val="Arial"/>
      <family val="2"/>
    </font>
    <font>
      <b/>
      <sz val="8"/>
      <name val="Arial"/>
      <family val="2"/>
    </font>
    <font>
      <b/>
      <sz val="8.5"/>
      <color indexed="10"/>
      <name val="Arial"/>
      <family val="2"/>
    </font>
    <font>
      <b/>
      <sz val="8"/>
      <color indexed="8"/>
      <name val="Arial"/>
      <family val="2"/>
    </font>
    <font>
      <b/>
      <sz val="10"/>
      <color indexed="8"/>
      <name val="Arial"/>
      <family val="2"/>
    </font>
    <font>
      <sz val="10"/>
      <color indexed="8"/>
      <name val="Arial"/>
      <family val="2"/>
    </font>
    <font>
      <sz val="8"/>
      <name val="Calibri"/>
      <family val="2"/>
    </font>
    <font>
      <sz val="10"/>
      <color theme="1"/>
      <name val="Arial"/>
      <family val="2"/>
    </font>
    <font>
      <sz val="11"/>
      <color theme="1"/>
      <name val="Calibri"/>
      <family val="2"/>
      <scheme val="minor"/>
    </font>
    <font>
      <sz val="10"/>
      <color theme="1"/>
      <name val="Calibri"/>
      <family val="2"/>
      <scheme val="minor"/>
    </font>
    <font>
      <sz val="11"/>
      <color theme="1"/>
      <name val="Arial"/>
      <family val="2"/>
    </font>
    <font>
      <b/>
      <sz val="12"/>
      <color theme="1"/>
      <name val="Arial"/>
      <family val="2"/>
    </font>
    <font>
      <b/>
      <sz val="10"/>
      <color theme="1"/>
      <name val="Arial"/>
      <family val="2"/>
    </font>
    <font>
      <b/>
      <sz val="10"/>
      <color rgb="FFFF0000"/>
      <name val="Arial"/>
      <family val="2"/>
    </font>
    <font>
      <b/>
      <sz val="9"/>
      <color theme="1"/>
      <name val="Arial"/>
      <family val="2"/>
    </font>
    <font>
      <b/>
      <sz val="8"/>
      <color theme="1"/>
      <name val="Arial"/>
      <family val="2"/>
    </font>
    <font>
      <b/>
      <sz val="20"/>
      <color theme="1"/>
      <name val="Arial"/>
      <family val="2"/>
    </font>
    <font>
      <b/>
      <sz val="12"/>
      <color rgb="FFFF0000"/>
      <name val="Arial"/>
      <family val="2"/>
    </font>
    <font>
      <sz val="10"/>
      <color rgb="FFFF0000"/>
      <name val="Arial"/>
      <family val="2"/>
    </font>
    <font>
      <b/>
      <sz val="10"/>
      <color rgb="FF000000"/>
      <name val="Arial"/>
      <family val="2"/>
    </font>
    <font>
      <sz val="10"/>
      <color rgb="FF000000"/>
      <name val="Arial"/>
      <family val="2"/>
    </font>
    <font>
      <sz val="9"/>
      <color theme="1"/>
      <name val="Arial"/>
      <family val="2"/>
    </font>
    <font>
      <b/>
      <sz val="20"/>
      <color rgb="FF000000"/>
      <name val="Arial"/>
      <family val="2"/>
    </font>
    <font>
      <b/>
      <sz val="16"/>
      <color rgb="FF000000"/>
      <name val="Arial"/>
      <family val="2"/>
    </font>
    <font>
      <sz val="12"/>
      <name val="Calibri"/>
      <family val="2"/>
      <scheme val="minor"/>
    </font>
    <font>
      <b/>
      <sz val="12"/>
      <name val="Calibri"/>
      <family val="2"/>
      <scheme val="minor"/>
    </font>
    <font>
      <b/>
      <sz val="12"/>
      <color rgb="FFFF0000"/>
      <name val="Calibri"/>
      <family val="2"/>
      <scheme val="minor"/>
    </font>
    <font>
      <b/>
      <sz val="8.5"/>
      <color theme="1"/>
      <name val="Arial"/>
      <family val="2"/>
    </font>
    <font>
      <b/>
      <sz val="11"/>
      <color rgb="FFFF0000"/>
      <name val="Arial"/>
      <family val="2"/>
    </font>
    <font>
      <sz val="8.5"/>
      <color theme="1"/>
      <name val="Arial"/>
      <family val="2"/>
    </font>
    <font>
      <b/>
      <sz val="18"/>
      <color theme="1"/>
      <name val="Arial"/>
      <family val="2"/>
    </font>
    <font>
      <b/>
      <sz val="14"/>
      <color rgb="FF000000"/>
      <name val="Arial"/>
      <family val="2"/>
    </font>
    <font>
      <u/>
      <sz val="12"/>
      <color theme="10"/>
      <name val="Calibri"/>
      <family val="2"/>
      <scheme val="minor"/>
    </font>
    <font>
      <u/>
      <sz val="12"/>
      <color theme="11"/>
      <name val="Calibri"/>
      <family val="2"/>
      <scheme val="minor"/>
    </font>
    <font>
      <b/>
      <sz val="12"/>
      <color theme="1"/>
      <name val="Calibri"/>
      <family val="2"/>
      <scheme val="minor"/>
    </font>
    <font>
      <sz val="8"/>
      <name val="Calibri"/>
      <family val="2"/>
      <scheme val="minor"/>
    </font>
    <font>
      <sz val="9.5"/>
      <color theme="1"/>
      <name val="Arial"/>
      <family val="2"/>
    </font>
    <font>
      <sz val="9.5"/>
      <color theme="1"/>
      <name val="Calibri"/>
      <family val="2"/>
      <scheme val="minor"/>
    </font>
  </fonts>
  <fills count="16">
    <fill>
      <patternFill patternType="none"/>
    </fill>
    <fill>
      <patternFill patternType="gray125"/>
    </fill>
    <fill>
      <patternFill patternType="solid">
        <fgColor indexed="6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indexed="65"/>
        <bgColor theme="0"/>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4.9989318521683403E-2"/>
        <bgColor theme="0"/>
      </patternFill>
    </fill>
    <fill>
      <patternFill patternType="solid">
        <fgColor theme="0" tint="-4.9989318521683403E-2"/>
        <bgColor indexed="64"/>
      </patternFill>
    </fill>
    <fill>
      <patternFill patternType="solid">
        <fgColor rgb="FFD9D9D9"/>
        <bgColor rgb="FF000000"/>
      </patternFill>
    </fill>
    <fill>
      <patternFill patternType="solid">
        <fgColor indexed="65"/>
        <bgColor rgb="FF000000"/>
      </patternFill>
    </fill>
    <fill>
      <patternFill patternType="solid">
        <fgColor rgb="FFFFF25A"/>
        <bgColor indexed="64"/>
      </patternFill>
    </fill>
    <fill>
      <patternFill patternType="solid">
        <fgColor rgb="FFBCD9DE"/>
        <bgColor rgb="FF000000"/>
      </patternFill>
    </fill>
    <fill>
      <patternFill patternType="solid">
        <fgColor rgb="FFDDECEE"/>
        <bgColor rgb="FF000000"/>
      </patternFill>
    </fill>
    <fill>
      <patternFill patternType="solid">
        <fgColor theme="4" tint="0.79998168889431442"/>
        <bgColor theme="0"/>
      </patternFill>
    </fill>
  </fills>
  <borders count="29">
    <border>
      <left/>
      <right/>
      <top/>
      <bottom/>
      <diagonal/>
    </border>
    <border>
      <left style="thin">
        <color theme="8" tint="-0.249977111117893"/>
      </left>
      <right style="thin">
        <color theme="8" tint="-0.249977111117893"/>
      </right>
      <top style="thin">
        <color theme="8" tint="-0.249977111117893"/>
      </top>
      <bottom style="medium">
        <color theme="8" tint="-0.249977111117893"/>
      </bottom>
      <diagonal/>
    </border>
    <border>
      <left style="thin">
        <color theme="8" tint="-0.249977111117893"/>
      </left>
      <right style="thin">
        <color theme="8" tint="-0.249977111117893"/>
      </right>
      <top style="medium">
        <color theme="8" tint="-0.249977111117893"/>
      </top>
      <bottom style="thin">
        <color theme="8" tint="-0.249977111117893"/>
      </bottom>
      <diagonal/>
    </border>
    <border>
      <left/>
      <right/>
      <top style="thin">
        <color theme="8" tint="-0.249977111117893"/>
      </top>
      <bottom style="thin">
        <color theme="8" tint="-0.249977111117893"/>
      </bottom>
      <diagonal/>
    </border>
    <border>
      <left style="thin">
        <color theme="8" tint="-0.249977111117893"/>
      </left>
      <right/>
      <top style="medium">
        <color theme="8" tint="-0.249977111117893"/>
      </top>
      <bottom style="thin">
        <color theme="8" tint="-0.249977111117893"/>
      </bottom>
      <diagonal/>
    </border>
    <border>
      <left style="thin">
        <color theme="8" tint="-0.249977111117893"/>
      </left>
      <right/>
      <top style="thin">
        <color theme="8" tint="-0.249977111117893"/>
      </top>
      <bottom style="medium">
        <color theme="8" tint="-0.249977111117893"/>
      </bottom>
      <diagonal/>
    </border>
    <border>
      <left/>
      <right/>
      <top/>
      <bottom style="thin">
        <color theme="8" tint="-0.249977111117893"/>
      </bottom>
      <diagonal/>
    </border>
    <border>
      <left/>
      <right/>
      <top style="thin">
        <color theme="8" tint="-0.249977111117893"/>
      </top>
      <bottom/>
      <diagonal/>
    </border>
    <border>
      <left/>
      <right/>
      <top style="medium">
        <color theme="8" tint="-0.249977111117893"/>
      </top>
      <bottom style="medium">
        <color theme="8" tint="-0.249977111117893"/>
      </bottom>
      <diagonal/>
    </border>
    <border>
      <left/>
      <right/>
      <top style="medium">
        <color theme="8" tint="-0.249977111117893"/>
      </top>
      <bottom/>
      <diagonal/>
    </border>
    <border>
      <left/>
      <right/>
      <top style="thin">
        <color theme="8" tint="-0.249977111117893"/>
      </top>
      <bottom style="medium">
        <color theme="8" tint="-0.249977111117893"/>
      </bottom>
      <diagonal/>
    </border>
    <border>
      <left/>
      <right style="thin">
        <color theme="8" tint="-0.249977111117893"/>
      </right>
      <top/>
      <bottom/>
      <diagonal/>
    </border>
    <border>
      <left style="thin">
        <color theme="8" tint="-0.249977111117893"/>
      </left>
      <right style="thin">
        <color theme="8" tint="-0.249977111117893"/>
      </right>
      <top/>
      <bottom/>
      <diagonal/>
    </border>
    <border>
      <left/>
      <right style="thin">
        <color theme="8" tint="-0.249977111117893"/>
      </right>
      <top/>
      <bottom style="medium">
        <color theme="8" tint="-0.249977111117893"/>
      </bottom>
      <diagonal/>
    </border>
    <border>
      <left style="thin">
        <color theme="8" tint="-0.249977111117893"/>
      </left>
      <right style="thin">
        <color theme="8" tint="-0.249977111117893"/>
      </right>
      <top/>
      <bottom style="medium">
        <color theme="8" tint="-0.249977111117893"/>
      </bottom>
      <diagonal/>
    </border>
    <border>
      <left/>
      <right/>
      <top/>
      <bottom style="medium">
        <color theme="8" tint="-0.249977111117893"/>
      </bottom>
      <diagonal/>
    </border>
    <border>
      <left style="thin">
        <color theme="8" tint="-0.249977111117893"/>
      </left>
      <right style="thin">
        <color theme="8" tint="-0.249977111117893"/>
      </right>
      <top style="medium">
        <color theme="8" tint="-0.249977111117893"/>
      </top>
      <bottom style="medium">
        <color theme="8" tint="-0.249977111117893"/>
      </bottom>
      <diagonal/>
    </border>
    <border>
      <left/>
      <right/>
      <top style="medium">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theme="8" tint="-0.249977111117893"/>
      </left>
      <right style="thin">
        <color theme="8" tint="-0.249977111117893"/>
      </right>
      <top/>
      <bottom style="thin">
        <color theme="8" tint="-0.249977111117893"/>
      </bottom>
      <diagonal/>
    </border>
    <border>
      <left/>
      <right style="thin">
        <color theme="8" tint="-0.249977111117893"/>
      </right>
      <top style="thin">
        <color theme="8" tint="-0.249977111117893"/>
      </top>
      <bottom style="medium">
        <color theme="8" tint="-0.249977111117893"/>
      </bottom>
      <diagonal/>
    </border>
    <border>
      <left/>
      <right style="thin">
        <color theme="8" tint="-0.249977111117893"/>
      </right>
      <top style="medium">
        <color theme="8" tint="-0.249977111117893"/>
      </top>
      <bottom style="thin">
        <color theme="8" tint="-0.249977111117893"/>
      </bottom>
      <diagonal/>
    </border>
    <border>
      <left/>
      <right style="thin">
        <color theme="8" tint="-0.249977111117893"/>
      </right>
      <top style="thin">
        <color theme="8" tint="-0.249977111117893"/>
      </top>
      <bottom/>
      <diagonal/>
    </border>
    <border>
      <left/>
      <right style="thin">
        <color theme="8" tint="-0.249977111117893"/>
      </right>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bottom/>
      <diagonal/>
    </border>
    <border>
      <left style="thin">
        <color theme="8" tint="-0.249977111117893"/>
      </left>
      <right/>
      <top style="thin">
        <color theme="8" tint="-0.249977111117893"/>
      </top>
      <bottom style="thin">
        <color theme="8" tint="-0.249977111117893"/>
      </bottom>
      <diagonal/>
    </border>
    <border>
      <left/>
      <right/>
      <top style="medium">
        <color rgb="FF417A85"/>
      </top>
      <bottom style="medium">
        <color rgb="FF417A85"/>
      </bottom>
      <diagonal/>
    </border>
  </borders>
  <cellStyleXfs count="14">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8" fillId="0" borderId="0"/>
    <xf numFmtId="0" fontId="41" fillId="0" borderId="0" applyNumberFormat="0" applyFill="0" applyBorder="0" applyAlignment="0" applyProtection="0"/>
    <xf numFmtId="0" fontId="42" fillId="0" borderId="0" applyNumberFormat="0" applyFill="0" applyBorder="0" applyAlignment="0" applyProtection="0"/>
  </cellStyleXfs>
  <cellXfs count="345">
    <xf numFmtId="0" fontId="0" fillId="0" borderId="0" xfId="0"/>
    <xf numFmtId="2" fontId="2" fillId="3" borderId="1" xfId="0" applyNumberFormat="1"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0" fillId="0" borderId="0" xfId="0" applyProtection="1"/>
    <xf numFmtId="0" fontId="16" fillId="2" borderId="0" xfId="0" applyFont="1" applyFill="1" applyBorder="1" applyAlignment="1" applyProtection="1">
      <alignment horizontal="left" vertical="center"/>
    </xf>
    <xf numFmtId="0" fontId="17" fillId="0" borderId="0" xfId="0" applyFont="1" applyProtection="1"/>
    <xf numFmtId="0" fontId="18" fillId="2" borderId="0" xfId="0" applyFont="1" applyFill="1" applyBorder="1" applyProtection="1"/>
    <xf numFmtId="0" fontId="16" fillId="4" borderId="3" xfId="0" applyFont="1" applyFill="1" applyBorder="1" applyAlignment="1" applyProtection="1">
      <alignment horizontal="left" vertical="center"/>
    </xf>
    <xf numFmtId="0" fontId="19" fillId="0" borderId="0" xfId="0" applyFont="1" applyProtection="1"/>
    <xf numFmtId="0" fontId="18" fillId="0" borderId="0" xfId="0" applyFont="1" applyProtection="1"/>
    <xf numFmtId="0" fontId="16" fillId="0" borderId="0" xfId="0" applyFont="1" applyAlignment="1" applyProtection="1">
      <alignment horizontal="left" vertical="center"/>
    </xf>
    <xf numFmtId="165" fontId="16" fillId="4" borderId="3" xfId="0" applyNumberFormat="1" applyFont="1" applyFill="1" applyBorder="1" applyAlignment="1" applyProtection="1">
      <alignment horizontal="left" vertical="center"/>
    </xf>
    <xf numFmtId="0" fontId="16" fillId="5" borderId="0" xfId="0" applyFont="1" applyFill="1" applyBorder="1" applyAlignment="1" applyProtection="1">
      <alignment horizontal="left" vertical="center"/>
    </xf>
    <xf numFmtId="0" fontId="4" fillId="3" borderId="4" xfId="0" applyFont="1" applyFill="1" applyBorder="1" applyAlignment="1" applyProtection="1">
      <alignment horizontal="center" vertical="center" wrapText="1"/>
    </xf>
    <xf numFmtId="2" fontId="2" fillId="3" borderId="5" xfId="0" applyNumberFormat="1" applyFont="1" applyFill="1" applyBorder="1" applyAlignment="1" applyProtection="1">
      <alignment horizontal="center" vertical="center" wrapText="1"/>
    </xf>
    <xf numFmtId="0" fontId="16" fillId="4" borderId="6" xfId="0" applyFont="1" applyFill="1" applyBorder="1" applyAlignment="1" applyProtection="1">
      <alignment horizontal="left" vertical="center"/>
    </xf>
    <xf numFmtId="165" fontId="16" fillId="4" borderId="6" xfId="0" applyNumberFormat="1"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165" fontId="16" fillId="4" borderId="7"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xf>
    <xf numFmtId="0" fontId="21" fillId="3" borderId="8" xfId="0" applyFont="1" applyFill="1" applyBorder="1" applyAlignment="1" applyProtection="1">
      <alignment horizontal="center" vertical="center"/>
    </xf>
    <xf numFmtId="0" fontId="16" fillId="4" borderId="6" xfId="0" applyFont="1" applyFill="1" applyBorder="1" applyAlignment="1" applyProtection="1">
      <alignment horizontal="center" vertical="center"/>
    </xf>
    <xf numFmtId="0" fontId="16" fillId="4" borderId="3" xfId="0" applyFont="1" applyFill="1" applyBorder="1" applyAlignment="1" applyProtection="1">
      <alignment horizontal="center" vertical="center"/>
    </xf>
    <xf numFmtId="0" fontId="16" fillId="4" borderId="7" xfId="0" applyFont="1" applyFill="1" applyBorder="1" applyAlignment="1" applyProtection="1">
      <alignment horizontal="center" vertical="center"/>
    </xf>
    <xf numFmtId="0" fontId="16" fillId="2" borderId="9" xfId="0" applyFont="1" applyFill="1" applyBorder="1" applyAlignment="1" applyProtection="1">
      <alignment horizontal="left" vertical="center"/>
    </xf>
    <xf numFmtId="0" fontId="16" fillId="0" borderId="0" xfId="0" applyFont="1"/>
    <xf numFmtId="0" fontId="16" fillId="0" borderId="0" xfId="0" applyFont="1" applyBorder="1"/>
    <xf numFmtId="0" fontId="16" fillId="0" borderId="0" xfId="0" applyFont="1" applyFill="1" applyBorder="1" applyAlignment="1">
      <alignment horizontal="left" vertical="center"/>
    </xf>
    <xf numFmtId="0" fontId="18" fillId="2" borderId="9" xfId="0" applyFont="1" applyFill="1" applyBorder="1" applyProtection="1"/>
    <xf numFmtId="0" fontId="16" fillId="0" borderId="0" xfId="0" applyFont="1" applyFill="1" applyBorder="1" applyAlignment="1" applyProtection="1">
      <alignment vertical="center"/>
    </xf>
    <xf numFmtId="0" fontId="16" fillId="4" borderId="10" xfId="0" applyFont="1" applyFill="1" applyBorder="1" applyAlignment="1" applyProtection="1">
      <alignment horizontal="center" vertical="center"/>
    </xf>
    <xf numFmtId="164" fontId="17" fillId="0" borderId="0" xfId="0" applyNumberFormat="1" applyFont="1" applyProtection="1"/>
    <xf numFmtId="0" fontId="21" fillId="3" borderId="8" xfId="0" applyFont="1" applyFill="1" applyBorder="1" applyAlignment="1" applyProtection="1">
      <alignment horizontal="left" vertical="center"/>
    </xf>
    <xf numFmtId="0" fontId="22" fillId="0" borderId="0" xfId="0" applyNumberFormat="1" applyFont="1" applyFill="1" applyBorder="1" applyAlignment="1" applyProtection="1">
      <alignment horizontal="center" vertical="center" wrapText="1"/>
    </xf>
    <xf numFmtId="0" fontId="20" fillId="0" borderId="0" xfId="0" applyFont="1" applyBorder="1" applyAlignment="1" applyProtection="1">
      <alignment horizontal="left" vertical="center"/>
    </xf>
    <xf numFmtId="165" fontId="21" fillId="0" borderId="0" xfId="0" applyNumberFormat="1" applyFont="1" applyFill="1" applyBorder="1" applyAlignment="1" applyProtection="1">
      <alignment horizontal="left" vertical="center"/>
    </xf>
    <xf numFmtId="0" fontId="16" fillId="0" borderId="0" xfId="0" applyFont="1" applyBorder="1" applyAlignment="1" applyProtection="1">
      <alignment horizontal="left" vertical="center"/>
    </xf>
    <xf numFmtId="14" fontId="17" fillId="0" borderId="0" xfId="0" applyNumberFormat="1" applyFont="1" applyProtection="1"/>
    <xf numFmtId="166" fontId="17" fillId="0" borderId="0" xfId="0" applyNumberFormat="1" applyFont="1" applyProtection="1"/>
    <xf numFmtId="0" fontId="21" fillId="6" borderId="8" xfId="0" applyFont="1" applyFill="1" applyBorder="1" applyAlignment="1" applyProtection="1">
      <alignment horizontal="left" vertical="center"/>
    </xf>
    <xf numFmtId="0" fontId="21" fillId="6" borderId="8" xfId="0" applyFont="1" applyFill="1" applyBorder="1" applyAlignment="1" applyProtection="1">
      <alignment horizontal="center" vertical="center"/>
    </xf>
    <xf numFmtId="0" fontId="22" fillId="0" borderId="0" xfId="0" applyFont="1" applyFill="1" applyBorder="1" applyAlignment="1" applyProtection="1">
      <alignment horizontal="center" vertical="center"/>
    </xf>
    <xf numFmtId="0" fontId="22" fillId="0" borderId="0" xfId="0" applyFont="1" applyFill="1" applyBorder="1" applyAlignment="1" applyProtection="1">
      <alignment horizontal="center" vertical="center" wrapText="1"/>
    </xf>
    <xf numFmtId="0" fontId="17" fillId="0" borderId="0" xfId="0" applyFont="1" applyProtection="1">
      <protection locked="0" hidden="1"/>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3" fillId="0" borderId="0" xfId="0" applyFont="1" applyAlignment="1">
      <alignment horizontal="center"/>
    </xf>
    <xf numFmtId="0" fontId="23" fillId="0" borderId="11" xfId="0" applyFont="1" applyBorder="1" applyAlignment="1">
      <alignment horizontal="left" wrapText="1"/>
    </xf>
    <xf numFmtId="0" fontId="22" fillId="3" borderId="11" xfId="0" applyFont="1" applyFill="1" applyBorder="1" applyAlignment="1">
      <alignment horizontal="left" vertical="center"/>
    </xf>
    <xf numFmtId="0" fontId="16" fillId="0" borderId="11" xfId="0" applyFont="1" applyBorder="1" applyAlignment="1">
      <alignment horizontal="left" vertical="center"/>
    </xf>
    <xf numFmtId="0" fontId="23" fillId="0" borderId="11" xfId="0" applyFont="1" applyBorder="1" applyAlignment="1">
      <alignment horizontal="left"/>
    </xf>
    <xf numFmtId="0" fontId="23" fillId="0" borderId="11" xfId="0" applyFont="1" applyFill="1" applyBorder="1" applyAlignment="1">
      <alignment wrapText="1"/>
    </xf>
    <xf numFmtId="0" fontId="16" fillId="0" borderId="11" xfId="0" applyFont="1" applyFill="1" applyBorder="1" applyAlignment="1">
      <alignment horizontal="left" vertical="center"/>
    </xf>
    <xf numFmtId="0" fontId="23" fillId="0" borderId="11" xfId="0" applyFont="1" applyFill="1" applyBorder="1" applyAlignment="1">
      <alignment horizontal="left"/>
    </xf>
    <xf numFmtId="0" fontId="23" fillId="0" borderId="11" xfId="0" applyFont="1" applyFill="1" applyBorder="1" applyAlignment="1">
      <alignment horizontal="left" wrapText="1"/>
    </xf>
    <xf numFmtId="0" fontId="16" fillId="0" borderId="12" xfId="0" applyFont="1" applyBorder="1"/>
    <xf numFmtId="0" fontId="23" fillId="0" borderId="12" xfId="0" applyFont="1" applyFill="1" applyBorder="1" applyAlignment="1">
      <alignment horizontal="left"/>
    </xf>
    <xf numFmtId="0" fontId="22" fillId="3" borderId="12" xfId="0" applyFont="1" applyFill="1" applyBorder="1" applyAlignment="1">
      <alignment horizontal="left" vertical="center"/>
    </xf>
    <xf numFmtId="0" fontId="22" fillId="7" borderId="12" xfId="0" applyFont="1" applyFill="1" applyBorder="1" applyAlignment="1">
      <alignment horizontal="left" vertical="center"/>
    </xf>
    <xf numFmtId="0" fontId="24" fillId="0" borderId="12" xfId="0" applyFont="1" applyBorder="1" applyAlignment="1">
      <alignment horizontal="left" wrapText="1"/>
    </xf>
    <xf numFmtId="0" fontId="16" fillId="0" borderId="11" xfId="0" applyFont="1" applyBorder="1"/>
    <xf numFmtId="0" fontId="24" fillId="0" borderId="0" xfId="0" applyFont="1" applyBorder="1" applyAlignment="1">
      <alignment horizontal="left" wrapText="1"/>
    </xf>
    <xf numFmtId="0" fontId="24" fillId="0" borderId="0" xfId="0" applyFont="1" applyFill="1" applyBorder="1" applyAlignment="1">
      <alignment wrapText="1"/>
    </xf>
    <xf numFmtId="0" fontId="22" fillId="3" borderId="13" xfId="0" applyFont="1" applyFill="1" applyBorder="1" applyAlignment="1">
      <alignment horizontal="left" vertical="center"/>
    </xf>
    <xf numFmtId="0" fontId="22" fillId="3" borderId="14" xfId="0" applyFont="1" applyFill="1" applyBorder="1" applyAlignment="1">
      <alignment horizontal="left" vertical="center"/>
    </xf>
    <xf numFmtId="0" fontId="16" fillId="0" borderId="14" xfId="0" applyFont="1" applyBorder="1"/>
    <xf numFmtId="0" fontId="25" fillId="2" borderId="0" xfId="0" applyFont="1" applyFill="1" applyBorder="1" applyAlignment="1" applyProtection="1">
      <alignment horizontal="center" vertical="center"/>
    </xf>
    <xf numFmtId="0" fontId="0" fillId="0" borderId="0" xfId="0" applyBorder="1"/>
    <xf numFmtId="0" fontId="16" fillId="8" borderId="9" xfId="0" applyFont="1" applyFill="1" applyBorder="1" applyAlignment="1" applyProtection="1">
      <alignment vertical="top" wrapText="1"/>
      <protection locked="0"/>
    </xf>
    <xf numFmtId="0" fontId="16" fillId="8" borderId="0" xfId="0" applyFont="1" applyFill="1" applyBorder="1" applyAlignment="1" applyProtection="1">
      <alignment vertical="top" wrapText="1"/>
      <protection locked="0"/>
    </xf>
    <xf numFmtId="0" fontId="16" fillId="8" borderId="15" xfId="0" applyFont="1" applyFill="1" applyBorder="1" applyAlignment="1" applyProtection="1">
      <alignment vertical="top" wrapText="1"/>
      <protection locked="0"/>
    </xf>
    <xf numFmtId="0" fontId="23" fillId="5" borderId="0" xfId="0" applyFont="1" applyFill="1" applyBorder="1" applyAlignment="1" applyProtection="1">
      <alignment vertical="center"/>
    </xf>
    <xf numFmtId="0" fontId="25" fillId="2" borderId="0" xfId="0" applyFont="1" applyFill="1" applyBorder="1" applyAlignment="1" applyProtection="1">
      <alignment vertical="center"/>
    </xf>
    <xf numFmtId="166" fontId="26" fillId="0" borderId="0" xfId="0" applyNumberFormat="1" applyFont="1" applyFill="1" applyAlignment="1" applyProtection="1">
      <alignment horizontal="center" vertical="center"/>
    </xf>
    <xf numFmtId="0" fontId="19" fillId="0" borderId="0" xfId="0" applyFont="1" applyFill="1" applyProtection="1"/>
    <xf numFmtId="0" fontId="17" fillId="4" borderId="0" xfId="0" applyFont="1" applyFill="1" applyAlignment="1" applyProtection="1">
      <alignment horizontal="center" vertical="center"/>
      <protection locked="0"/>
    </xf>
    <xf numFmtId="0" fontId="19" fillId="0" borderId="0" xfId="0" applyFont="1" applyProtection="1">
      <protection locked="0"/>
    </xf>
    <xf numFmtId="14" fontId="19" fillId="4" borderId="0" xfId="0" applyNumberFormat="1" applyFont="1" applyFill="1" applyAlignment="1" applyProtection="1">
      <alignment horizontal="center" vertical="center"/>
      <protection locked="0"/>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21" fillId="6" borderId="16" xfId="0" applyFont="1" applyFill="1" applyBorder="1" applyAlignment="1" applyProtection="1">
      <alignment horizontal="center" vertical="center"/>
    </xf>
    <xf numFmtId="0" fontId="21" fillId="7" borderId="17" xfId="0" applyFont="1" applyFill="1" applyBorder="1" applyAlignment="1" applyProtection="1">
      <alignment vertical="center" shrinkToFit="1"/>
    </xf>
    <xf numFmtId="0" fontId="21" fillId="7" borderId="3" xfId="0" applyFont="1" applyFill="1" applyBorder="1" applyAlignment="1" applyProtection="1">
      <alignment vertical="center" shrinkToFit="1"/>
    </xf>
    <xf numFmtId="0" fontId="17" fillId="0" borderId="0" xfId="0" applyFont="1" applyFill="1" applyAlignment="1" applyProtection="1">
      <alignment horizontal="center" vertical="center"/>
    </xf>
    <xf numFmtId="168" fontId="19" fillId="0" borderId="0" xfId="0" applyNumberFormat="1" applyFont="1" applyProtection="1"/>
    <xf numFmtId="0" fontId="0" fillId="0" borderId="0" xfId="0" applyBorder="1" applyProtection="1"/>
    <xf numFmtId="0" fontId="16" fillId="8" borderId="15" xfId="0" applyFont="1" applyFill="1" applyBorder="1" applyAlignment="1" applyProtection="1">
      <alignment vertical="top" wrapText="1"/>
    </xf>
    <xf numFmtId="0" fontId="21" fillId="7" borderId="10" xfId="0" applyFont="1" applyFill="1" applyBorder="1" applyAlignment="1" applyProtection="1">
      <alignment vertical="center"/>
    </xf>
    <xf numFmtId="0" fontId="16" fillId="4" borderId="3" xfId="0" applyFont="1" applyFill="1" applyBorder="1" applyAlignment="1" applyProtection="1">
      <alignment horizontal="left" vertical="center"/>
    </xf>
    <xf numFmtId="0" fontId="27" fillId="4" borderId="3"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shrinkToFit="1"/>
    </xf>
    <xf numFmtId="0" fontId="21" fillId="3" borderId="8" xfId="0" applyFont="1" applyFill="1" applyBorder="1" applyAlignment="1" applyProtection="1">
      <alignment horizontal="left" vertical="center" shrinkToFit="1"/>
    </xf>
    <xf numFmtId="165" fontId="16" fillId="4" borderId="6" xfId="0" applyNumberFormat="1" applyFont="1" applyFill="1" applyBorder="1" applyAlignment="1" applyProtection="1">
      <alignment horizontal="left" vertical="center" shrinkToFit="1"/>
    </xf>
    <xf numFmtId="165" fontId="16" fillId="4" borderId="3" xfId="0" applyNumberFormat="1" applyFont="1" applyFill="1" applyBorder="1" applyAlignment="1" applyProtection="1">
      <alignment horizontal="left" vertical="center" shrinkToFit="1"/>
    </xf>
    <xf numFmtId="165" fontId="16" fillId="4" borderId="10" xfId="0" applyNumberFormat="1" applyFont="1" applyFill="1" applyBorder="1" applyAlignment="1" applyProtection="1">
      <alignment horizontal="left" vertical="center" shrinkToFit="1"/>
    </xf>
    <xf numFmtId="165" fontId="21" fillId="3" borderId="8"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5" borderId="0" xfId="0" applyFont="1" applyFill="1" applyBorder="1" applyAlignment="1" applyProtection="1">
      <alignment horizontal="left" vertical="center" shrinkToFit="1"/>
    </xf>
    <xf numFmtId="0" fontId="27" fillId="4" borderId="18" xfId="0" applyFont="1" applyFill="1" applyBorder="1" applyAlignment="1" applyProtection="1">
      <alignment horizontal="center" vertical="center"/>
      <protection locked="0"/>
    </xf>
    <xf numFmtId="0" fontId="27" fillId="4" borderId="18" xfId="0" applyNumberFormat="1" applyFont="1" applyFill="1" applyBorder="1" applyAlignment="1" applyProtection="1">
      <alignment horizontal="center" vertical="center"/>
      <protection locked="0"/>
    </xf>
    <xf numFmtId="0" fontId="21" fillId="6" borderId="17" xfId="0" applyFont="1" applyFill="1" applyBorder="1" applyAlignment="1" applyProtection="1">
      <alignment horizontal="left" vertical="center" shrinkToFit="1"/>
    </xf>
    <xf numFmtId="0" fontId="17" fillId="0" borderId="0" xfId="0" applyFont="1" applyFill="1" applyAlignment="1" applyProtection="1">
      <alignment horizontal="center"/>
    </xf>
    <xf numFmtId="0" fontId="17" fillId="0" borderId="0" xfId="0" applyFont="1" applyFill="1" applyAlignment="1" applyProtection="1">
      <alignment horizontal="center"/>
      <protection locked="0"/>
    </xf>
    <xf numFmtId="0" fontId="21" fillId="7" borderId="0" xfId="0" applyFont="1" applyFill="1" applyAlignment="1" applyProtection="1">
      <alignment horizontal="left" vertical="center"/>
    </xf>
    <xf numFmtId="0" fontId="28" fillId="0" borderId="0" xfId="0" applyFont="1" applyFill="1" applyBorder="1" applyAlignment="1">
      <alignment horizontal="left" vertical="center" shrinkToFit="1"/>
    </xf>
    <xf numFmtId="0" fontId="29" fillId="0" borderId="0" xfId="0" applyFont="1" applyFill="1" applyBorder="1" applyAlignment="1">
      <alignment horizontal="left" vertical="center" shrinkToFit="1"/>
    </xf>
    <xf numFmtId="0" fontId="27" fillId="4" borderId="19" xfId="0" applyFont="1" applyFill="1" applyBorder="1" applyAlignment="1" applyProtection="1">
      <alignment horizontal="center" vertical="center"/>
      <protection locked="0"/>
    </xf>
    <xf numFmtId="0" fontId="8" fillId="4" borderId="20" xfId="0" applyFont="1" applyFill="1" applyBorder="1" applyAlignment="1" applyProtection="1">
      <alignment horizontal="center" vertical="center"/>
    </xf>
    <xf numFmtId="0" fontId="8" fillId="4" borderId="18" xfId="0" applyFont="1" applyFill="1" applyBorder="1" applyAlignment="1" applyProtection="1">
      <alignment horizontal="center" vertical="center"/>
    </xf>
    <xf numFmtId="0" fontId="22" fillId="3" borderId="11" xfId="0" applyFont="1" applyFill="1" applyBorder="1" applyAlignment="1">
      <alignment horizontal="left" vertical="center" wrapText="1"/>
    </xf>
    <xf numFmtId="0" fontId="20" fillId="2" borderId="0" xfId="0" applyFont="1" applyFill="1" applyBorder="1" applyAlignment="1" applyProtection="1">
      <alignment horizontal="right" vertical="center"/>
    </xf>
    <xf numFmtId="0" fontId="21" fillId="0" borderId="7" xfId="0" applyFont="1" applyFill="1" applyBorder="1" applyAlignment="1" applyProtection="1">
      <alignment vertical="center"/>
    </xf>
    <xf numFmtId="0" fontId="21" fillId="9" borderId="10" xfId="0" applyFont="1" applyFill="1" applyBorder="1" applyAlignment="1" applyProtection="1">
      <alignment vertical="center" shrinkToFit="1"/>
      <protection locked="0"/>
    </xf>
    <xf numFmtId="0" fontId="10" fillId="6" borderId="2" xfId="0" applyFont="1" applyFill="1" applyBorder="1" applyAlignment="1" applyProtection="1">
      <alignment horizontal="center" vertical="center" wrapText="1"/>
    </xf>
    <xf numFmtId="0" fontId="10" fillId="6" borderId="4" xfId="0" applyFont="1" applyFill="1" applyBorder="1" applyAlignment="1" applyProtection="1">
      <alignment horizontal="center" vertical="center" wrapText="1"/>
    </xf>
    <xf numFmtId="0" fontId="16" fillId="4" borderId="10" xfId="0" applyFont="1" applyFill="1" applyBorder="1" applyAlignment="1" applyProtection="1">
      <alignment horizontal="left" vertical="center"/>
    </xf>
    <xf numFmtId="0" fontId="20" fillId="0" borderId="15" xfId="0" applyFont="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0" xfId="0" applyFill="1" applyProtection="1">
      <protection locked="0"/>
    </xf>
    <xf numFmtId="165" fontId="16" fillId="4" borderId="7" xfId="0" applyNumberFormat="1" applyFont="1" applyFill="1" applyBorder="1" applyAlignment="1" applyProtection="1">
      <alignment horizontal="left" vertical="center" shrinkToFit="1"/>
    </xf>
    <xf numFmtId="0" fontId="16" fillId="4" borderId="0" xfId="0" applyFont="1" applyFill="1" applyBorder="1" applyAlignment="1" applyProtection="1">
      <alignment horizontal="center" vertical="center"/>
    </xf>
    <xf numFmtId="0" fontId="21" fillId="6" borderId="8" xfId="0" applyFont="1" applyFill="1" applyBorder="1" applyAlignment="1" applyProtection="1">
      <alignment horizontal="left" vertical="center" indent="2" shrinkToFit="1"/>
    </xf>
    <xf numFmtId="0" fontId="21" fillId="6" borderId="8" xfId="0" applyFont="1" applyFill="1" applyBorder="1" applyAlignment="1" applyProtection="1">
      <alignment horizontal="left" vertical="center" indent="3" shrinkToFit="1"/>
    </xf>
    <xf numFmtId="165" fontId="21" fillId="0" borderId="0" xfId="0" applyNumberFormat="1" applyFont="1" applyFill="1" applyBorder="1" applyAlignment="1" applyProtection="1">
      <alignment horizontal="left" vertical="center" shrinkToFit="1"/>
    </xf>
    <xf numFmtId="0" fontId="21" fillId="0" borderId="0" xfId="0" applyFont="1" applyBorder="1" applyAlignment="1" applyProtection="1">
      <alignment horizontal="left" vertical="center" shrinkToFit="1"/>
    </xf>
    <xf numFmtId="0" fontId="24" fillId="6" borderId="8" xfId="0" applyFont="1" applyFill="1" applyBorder="1" applyAlignment="1" applyProtection="1">
      <alignment horizontal="left" vertical="center" wrapText="1" shrinkToFit="1"/>
    </xf>
    <xf numFmtId="0" fontId="24" fillId="6" borderId="8" xfId="0" applyFont="1" applyFill="1" applyBorder="1" applyAlignment="1" applyProtection="1">
      <alignment horizontal="left" vertical="center" wrapText="1" indent="2" shrinkToFit="1"/>
    </xf>
    <xf numFmtId="0" fontId="24" fillId="6" borderId="8" xfId="0" applyFont="1" applyFill="1" applyBorder="1" applyAlignment="1" applyProtection="1">
      <alignment horizontal="left" vertical="center" wrapText="1" indent="1" shrinkToFit="1"/>
    </xf>
    <xf numFmtId="165" fontId="21" fillId="6" borderId="8" xfId="0" applyNumberFormat="1" applyFont="1" applyFill="1" applyBorder="1" applyAlignment="1" applyProtection="1">
      <alignment horizontal="left" vertical="center" shrinkToFit="1"/>
      <protection locked="0"/>
    </xf>
    <xf numFmtId="165" fontId="21" fillId="6" borderId="15" xfId="0" applyNumberFormat="1" applyFont="1" applyFill="1" applyBorder="1" applyAlignment="1" applyProtection="1">
      <alignment horizontal="left" vertical="center" shrinkToFit="1"/>
    </xf>
    <xf numFmtId="165" fontId="21" fillId="6" borderId="8" xfId="0" applyNumberFormat="1" applyFont="1" applyFill="1" applyBorder="1" applyAlignment="1" applyProtection="1">
      <alignment horizontal="left" vertical="center" shrinkToFit="1"/>
    </xf>
    <xf numFmtId="0" fontId="22" fillId="9" borderId="21" xfId="0" applyFont="1" applyFill="1" applyBorder="1" applyAlignment="1" applyProtection="1">
      <alignment horizontal="center" vertical="center" shrinkToFit="1"/>
      <protection locked="0"/>
    </xf>
    <xf numFmtId="0" fontId="22" fillId="9" borderId="5" xfId="0" applyFont="1" applyFill="1" applyBorder="1" applyAlignment="1" applyProtection="1">
      <alignment horizontal="center" vertical="center" shrinkToFit="1"/>
      <protection locked="0"/>
    </xf>
    <xf numFmtId="0" fontId="22" fillId="9" borderId="1" xfId="0" applyFont="1" applyFill="1" applyBorder="1" applyAlignment="1" applyProtection="1">
      <alignment horizontal="center" vertical="center" shrinkToFit="1"/>
      <protection locked="0"/>
    </xf>
    <xf numFmtId="0" fontId="16" fillId="4" borderId="3"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4" borderId="6" xfId="0" applyFont="1" applyFill="1" applyBorder="1" applyAlignment="1" applyProtection="1">
      <alignment horizontal="left" vertical="center"/>
    </xf>
    <xf numFmtId="0" fontId="4" fillId="7" borderId="22" xfId="0" applyFont="1" applyFill="1" applyBorder="1" applyAlignment="1" applyProtection="1">
      <alignment horizontal="center" vertical="center" shrinkToFit="1"/>
    </xf>
    <xf numFmtId="0" fontId="4" fillId="6" borderId="22" xfId="0" applyFont="1" applyFill="1" applyBorder="1" applyAlignment="1" applyProtection="1">
      <alignment horizontal="center" vertical="center" shrinkToFit="1"/>
    </xf>
    <xf numFmtId="0" fontId="4" fillId="6" borderId="2" xfId="0" applyFont="1" applyFill="1" applyBorder="1" applyAlignment="1" applyProtection="1">
      <alignment horizontal="center" vertical="center" shrinkToFit="1"/>
    </xf>
    <xf numFmtId="0" fontId="4" fillId="7" borderId="2" xfId="0" applyFont="1" applyFill="1" applyBorder="1" applyAlignment="1" applyProtection="1">
      <alignment horizontal="center" vertical="center" shrinkToFit="1"/>
    </xf>
    <xf numFmtId="0" fontId="3" fillId="6" borderId="2" xfId="0" applyFont="1" applyFill="1" applyBorder="1" applyAlignment="1" applyProtection="1">
      <alignment horizontal="center" vertical="center" shrinkToFit="1"/>
    </xf>
    <xf numFmtId="0" fontId="10" fillId="6" borderId="22" xfId="0" applyFont="1" applyFill="1" applyBorder="1" applyAlignment="1" applyProtection="1">
      <alignment horizontal="center" vertical="center" wrapText="1"/>
    </xf>
    <xf numFmtId="0" fontId="4" fillId="6" borderId="4" xfId="0" applyFont="1" applyFill="1" applyBorder="1" applyAlignment="1" applyProtection="1">
      <alignment horizontal="center" vertical="center" shrinkToFit="1"/>
    </xf>
    <xf numFmtId="0" fontId="21" fillId="0" borderId="9" xfId="0" applyFont="1" applyFill="1" applyBorder="1" applyAlignment="1" applyProtection="1">
      <alignment horizontal="center" vertical="center" wrapText="1"/>
    </xf>
    <xf numFmtId="0" fontId="17" fillId="0" borderId="0" xfId="0" applyFont="1" applyBorder="1" applyProtection="1"/>
    <xf numFmtId="0" fontId="20" fillId="2" borderId="0" xfId="0" applyFont="1" applyFill="1" applyBorder="1" applyAlignment="1" applyProtection="1">
      <alignment horizontal="center"/>
    </xf>
    <xf numFmtId="0" fontId="16" fillId="4" borderId="23" xfId="0" applyFont="1" applyFill="1" applyBorder="1" applyAlignment="1" applyProtection="1">
      <alignment horizontal="center" vertical="center"/>
    </xf>
    <xf numFmtId="0" fontId="16" fillId="4" borderId="19" xfId="0" applyFont="1" applyFill="1" applyBorder="1" applyAlignment="1" applyProtection="1">
      <alignment horizontal="center" vertical="center"/>
    </xf>
    <xf numFmtId="0" fontId="0" fillId="4" borderId="6" xfId="0" applyFill="1" applyBorder="1" applyAlignment="1" applyProtection="1">
      <alignment horizontal="left" vertical="center"/>
    </xf>
    <xf numFmtId="0" fontId="16" fillId="4" borderId="24" xfId="0" applyFont="1" applyFill="1" applyBorder="1" applyAlignment="1" applyProtection="1">
      <alignment horizontal="center" vertical="center"/>
    </xf>
    <xf numFmtId="0" fontId="16" fillId="4" borderId="20" xfId="0" applyFont="1" applyFill="1" applyBorder="1" applyAlignment="1" applyProtection="1">
      <alignment horizontal="center" vertical="center"/>
    </xf>
    <xf numFmtId="0" fontId="16" fillId="3" borderId="6" xfId="0" applyFont="1" applyFill="1" applyBorder="1" applyAlignment="1" applyProtection="1">
      <alignment horizontal="left" vertical="center"/>
    </xf>
    <xf numFmtId="0" fontId="16" fillId="3" borderId="6" xfId="0" applyFont="1" applyFill="1" applyBorder="1" applyAlignment="1" applyProtection="1">
      <alignment horizontal="center" vertical="center"/>
    </xf>
    <xf numFmtId="0" fontId="8" fillId="3" borderId="20" xfId="0" applyFont="1" applyFill="1" applyBorder="1" applyAlignment="1" applyProtection="1">
      <alignment horizontal="center" vertical="center"/>
    </xf>
    <xf numFmtId="165" fontId="16" fillId="3" borderId="6" xfId="0" applyNumberFormat="1" applyFont="1" applyFill="1" applyBorder="1" applyAlignment="1" applyProtection="1">
      <alignment horizontal="left" vertical="center"/>
    </xf>
    <xf numFmtId="165" fontId="16" fillId="3" borderId="6" xfId="0" applyNumberFormat="1" applyFont="1" applyFill="1" applyBorder="1" applyAlignment="1" applyProtection="1">
      <alignment horizontal="left" vertical="center" shrinkToFit="1"/>
    </xf>
    <xf numFmtId="0" fontId="27" fillId="3" borderId="3" xfId="0" applyFont="1" applyFill="1" applyBorder="1" applyAlignment="1" applyProtection="1">
      <alignment horizontal="left" vertical="center"/>
    </xf>
    <xf numFmtId="0" fontId="16" fillId="3" borderId="3" xfId="0" applyFont="1" applyFill="1" applyBorder="1" applyAlignment="1" applyProtection="1">
      <alignment horizontal="left" vertical="center"/>
    </xf>
    <xf numFmtId="0" fontId="16" fillId="3" borderId="3" xfId="0" applyFont="1" applyFill="1" applyBorder="1" applyAlignment="1" applyProtection="1">
      <alignment horizontal="center" vertical="center"/>
    </xf>
    <xf numFmtId="0" fontId="27" fillId="3" borderId="18" xfId="0" applyFont="1" applyFill="1" applyBorder="1" applyAlignment="1" applyProtection="1">
      <alignment horizontal="center" vertical="center"/>
      <protection locked="0"/>
    </xf>
    <xf numFmtId="165" fontId="16" fillId="3" borderId="3" xfId="0" applyNumberFormat="1" applyFont="1" applyFill="1" applyBorder="1" applyAlignment="1" applyProtection="1">
      <alignment horizontal="left" vertical="center"/>
    </xf>
    <xf numFmtId="0" fontId="16" fillId="3" borderId="18"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16" fillId="3" borderId="7" xfId="0" applyFont="1" applyFill="1" applyBorder="1" applyAlignment="1" applyProtection="1">
      <alignment horizontal="left" vertical="center"/>
    </xf>
    <xf numFmtId="0" fontId="16" fillId="3" borderId="7" xfId="0" applyFont="1" applyFill="1" applyBorder="1" applyAlignment="1" applyProtection="1">
      <alignment horizontal="center" vertical="center"/>
    </xf>
    <xf numFmtId="0" fontId="8" fillId="3" borderId="19" xfId="0" applyFont="1" applyFill="1" applyBorder="1" applyAlignment="1" applyProtection="1">
      <alignment horizontal="center" vertical="center"/>
    </xf>
    <xf numFmtId="165" fontId="16" fillId="3" borderId="7" xfId="0" applyNumberFormat="1" applyFont="1" applyFill="1" applyBorder="1" applyAlignment="1" applyProtection="1">
      <alignment horizontal="left" vertical="center"/>
    </xf>
    <xf numFmtId="165" fontId="16" fillId="3" borderId="3" xfId="0" applyNumberFormat="1" applyFont="1" applyFill="1" applyBorder="1" applyAlignment="1" applyProtection="1">
      <alignment horizontal="left" vertical="center" shrinkToFit="1"/>
    </xf>
    <xf numFmtId="0" fontId="0" fillId="3" borderId="3" xfId="0" applyFill="1" applyBorder="1" applyAlignment="1" applyProtection="1">
      <alignment horizontal="left" vertical="center"/>
    </xf>
    <xf numFmtId="0" fontId="16" fillId="3" borderId="25" xfId="0" applyFont="1" applyFill="1" applyBorder="1" applyAlignment="1" applyProtection="1">
      <alignment horizontal="center" vertical="center"/>
    </xf>
    <xf numFmtId="0" fontId="16" fillId="8" borderId="0" xfId="0" applyFont="1" applyFill="1" applyBorder="1" applyAlignment="1" applyProtection="1">
      <alignment vertical="top" wrapText="1"/>
    </xf>
    <xf numFmtId="14" fontId="19" fillId="0" borderId="0" xfId="0" applyNumberFormat="1" applyFont="1" applyFill="1" applyAlignment="1" applyProtection="1">
      <alignment horizontal="center" vertical="center"/>
      <protection locked="0"/>
    </xf>
    <xf numFmtId="0" fontId="18" fillId="4" borderId="9" xfId="0" applyFont="1" applyFill="1" applyBorder="1" applyProtection="1"/>
    <xf numFmtId="0" fontId="18" fillId="4" borderId="0" xfId="0" applyFont="1" applyFill="1" applyBorder="1" applyProtection="1"/>
    <xf numFmtId="0" fontId="17" fillId="4" borderId="0" xfId="0" applyFont="1" applyFill="1" applyBorder="1" applyProtection="1"/>
    <xf numFmtId="0" fontId="18" fillId="4" borderId="15" xfId="0" applyFont="1" applyFill="1" applyBorder="1" applyProtection="1"/>
    <xf numFmtId="0" fontId="17" fillId="4" borderId="15" xfId="0" applyFont="1" applyFill="1" applyBorder="1" applyProtection="1"/>
    <xf numFmtId="0" fontId="25" fillId="2" borderId="0" xfId="0" applyFont="1" applyFill="1" applyBorder="1" applyAlignment="1" applyProtection="1">
      <alignment vertical="center"/>
    </xf>
    <xf numFmtId="0" fontId="0" fillId="0" borderId="0" xfId="0" applyAlignment="1"/>
    <xf numFmtId="0" fontId="0" fillId="0" borderId="15" xfId="0" applyBorder="1" applyAlignment="1"/>
    <xf numFmtId="0" fontId="21" fillId="9" borderId="17" xfId="0" applyFont="1" applyFill="1" applyBorder="1" applyAlignment="1" applyProtection="1">
      <alignment horizontal="left" vertical="center" shrinkToFit="1"/>
      <protection locked="0"/>
    </xf>
    <xf numFmtId="49" fontId="22" fillId="9" borderId="17" xfId="0" applyNumberFormat="1" applyFont="1" applyFill="1" applyBorder="1" applyAlignment="1" applyProtection="1">
      <alignment horizontal="left" vertical="center" shrinkToFit="1"/>
      <protection locked="0"/>
    </xf>
    <xf numFmtId="0" fontId="0" fillId="0" borderId="26" xfId="0" applyBorder="1" applyAlignment="1">
      <alignment horizontal="left" vertical="center" shrinkToFit="1"/>
    </xf>
    <xf numFmtId="0" fontId="20" fillId="4" borderId="26" xfId="0" applyFont="1" applyFill="1" applyBorder="1" applyAlignment="1" applyProtection="1">
      <alignment horizontal="left" vertical="center" shrinkToFit="1"/>
      <protection locked="0"/>
    </xf>
    <xf numFmtId="165" fontId="21" fillId="9" borderId="3" xfId="0" applyNumberFormat="1" applyFont="1" applyFill="1" applyBorder="1" applyAlignment="1" applyProtection="1">
      <alignment horizontal="right" vertical="center" shrinkToFit="1"/>
    </xf>
    <xf numFmtId="0" fontId="21" fillId="0" borderId="3" xfId="0" applyFont="1" applyFill="1" applyBorder="1" applyAlignment="1" applyProtection="1">
      <alignment horizontal="right" vertical="center" shrinkToFit="1"/>
    </xf>
    <xf numFmtId="0" fontId="16" fillId="0" borderId="15" xfId="0" applyFont="1" applyFill="1" applyBorder="1" applyAlignment="1" applyProtection="1">
      <alignment vertical="top" wrapText="1"/>
    </xf>
    <xf numFmtId="0" fontId="27" fillId="4" borderId="7" xfId="0" applyFont="1" applyFill="1" applyBorder="1" applyAlignment="1" applyProtection="1">
      <alignment horizontal="left" vertical="center"/>
    </xf>
    <xf numFmtId="0" fontId="27" fillId="4" borderId="6" xfId="0" applyFont="1" applyFill="1" applyBorder="1" applyAlignment="1" applyProtection="1">
      <alignment horizontal="left" vertical="center"/>
    </xf>
    <xf numFmtId="165" fontId="30" fillId="4" borderId="18" xfId="0" applyNumberFormat="1" applyFont="1" applyFill="1" applyBorder="1" applyAlignment="1" applyProtection="1">
      <alignment vertical="center" shrinkToFit="1"/>
      <protection locked="0"/>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25" fillId="2" borderId="0" xfId="0" applyFont="1" applyFill="1" applyBorder="1" applyAlignment="1" applyProtection="1">
      <alignment horizontal="center" vertical="center"/>
    </xf>
    <xf numFmtId="0" fontId="16" fillId="4" borderId="6" xfId="0" applyFont="1" applyFill="1" applyBorder="1" applyAlignment="1" applyProtection="1">
      <alignment horizontal="left" vertical="center" shrinkToFit="1"/>
    </xf>
    <xf numFmtId="0" fontId="31" fillId="11" borderId="0" xfId="0" applyFont="1" applyFill="1" applyBorder="1" applyAlignment="1">
      <alignment vertical="center"/>
    </xf>
    <xf numFmtId="0" fontId="32" fillId="11" borderId="0" xfId="0" applyFont="1" applyFill="1" applyBorder="1" applyAlignment="1">
      <alignment horizontal="left" vertical="center"/>
    </xf>
    <xf numFmtId="49" fontId="22" fillId="4" borderId="3" xfId="0" applyNumberFormat="1" applyFont="1" applyFill="1" applyBorder="1" applyAlignment="1" applyProtection="1">
      <alignment horizontal="left" vertical="center" shrinkToFit="1"/>
    </xf>
    <xf numFmtId="0" fontId="40" fillId="11" borderId="0" xfId="0" applyFont="1" applyFill="1" applyBorder="1" applyAlignment="1">
      <alignment horizontal="left" vertical="center" shrinkToFit="1"/>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5" fillId="2" borderId="0" xfId="0" applyFont="1" applyFill="1" applyBorder="1" applyAlignment="1" applyProtection="1">
      <alignment horizontal="center"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3" borderId="8" xfId="0" applyFont="1" applyFill="1" applyBorder="1" applyAlignment="1" applyProtection="1">
      <alignment horizontal="center" vertical="center" shrinkToFit="1"/>
    </xf>
    <xf numFmtId="165" fontId="16" fillId="3" borderId="6" xfId="0" applyNumberFormat="1" applyFont="1" applyFill="1" applyBorder="1" applyAlignment="1" applyProtection="1">
      <alignment horizontal="left" vertical="center" shrinkToFit="1"/>
      <protection locked="0"/>
    </xf>
    <xf numFmtId="165" fontId="16" fillId="3" borderId="3" xfId="0" applyNumberFormat="1" applyFont="1" applyFill="1" applyBorder="1" applyAlignment="1" applyProtection="1">
      <alignment horizontal="left" vertical="center" shrinkToFit="1"/>
      <protection locked="0"/>
    </xf>
    <xf numFmtId="165" fontId="16" fillId="3" borderId="7" xfId="0" applyNumberFormat="1" applyFont="1" applyFill="1" applyBorder="1" applyAlignment="1" applyProtection="1">
      <alignment horizontal="left" vertical="center" shrinkToFit="1"/>
      <protection locked="0"/>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0" fillId="0" borderId="10" xfId="0" applyBorder="1" applyAlignment="1" applyProtection="1">
      <alignment horizontal="left" vertical="center" shrinkToFit="1"/>
    </xf>
    <xf numFmtId="0" fontId="28" fillId="10" borderId="10" xfId="0" applyFont="1" applyFill="1" applyBorder="1" applyAlignment="1">
      <alignment vertical="center" shrinkToFit="1"/>
    </xf>
    <xf numFmtId="0" fontId="16" fillId="0" borderId="0" xfId="0" applyFont="1" applyFill="1" applyBorder="1" applyAlignment="1" applyProtection="1">
      <alignment horizontal="left" vertical="center" indent="2"/>
    </xf>
    <xf numFmtId="0" fontId="16" fillId="4" borderId="0" xfId="0" applyFont="1" applyFill="1" applyAlignment="1" applyProtection="1">
      <alignment horizontal="center" vertical="center"/>
      <protection locked="0"/>
    </xf>
    <xf numFmtId="0" fontId="43" fillId="0" borderId="0" xfId="0" applyFont="1" applyBorder="1" applyAlignment="1">
      <alignment vertical="center"/>
    </xf>
    <xf numFmtId="0" fontId="21" fillId="0" borderId="0" xfId="0" applyFont="1" applyFill="1" applyBorder="1" applyAlignment="1" applyProtection="1">
      <alignment vertical="center"/>
    </xf>
    <xf numFmtId="0" fontId="16" fillId="0" borderId="0" xfId="0" applyFont="1" applyFill="1" applyAlignment="1" applyProtection="1">
      <alignment horizontal="left" vertical="center"/>
    </xf>
    <xf numFmtId="0" fontId="23" fillId="5" borderId="8" xfId="0" applyFont="1" applyFill="1" applyBorder="1" applyAlignment="1" applyProtection="1">
      <alignment vertical="center" wrapText="1"/>
    </xf>
    <xf numFmtId="0" fontId="21" fillId="9" borderId="3" xfId="0" applyFont="1" applyFill="1" applyBorder="1" applyAlignment="1" applyProtection="1">
      <alignment horizontal="left" vertical="center" shrinkToFit="1"/>
      <protection locked="0"/>
    </xf>
    <xf numFmtId="0" fontId="16" fillId="3" borderId="3" xfId="0" applyFont="1" applyFill="1" applyBorder="1" applyAlignment="1" applyProtection="1">
      <alignment horizontal="left" vertical="center"/>
    </xf>
    <xf numFmtId="0" fontId="0" fillId="3" borderId="3" xfId="0" applyFill="1" applyBorder="1" applyAlignment="1" applyProtection="1">
      <alignment horizontal="left" vertical="center"/>
    </xf>
    <xf numFmtId="0" fontId="16" fillId="4" borderId="7"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1" fillId="0" borderId="3" xfId="0" applyFont="1" applyFill="1" applyBorder="1" applyAlignment="1" applyProtection="1">
      <alignment horizontal="center" vertical="center" wrapText="1" shrinkToFit="1"/>
    </xf>
    <xf numFmtId="0" fontId="27" fillId="4" borderId="15"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16" fillId="4" borderId="15" xfId="0" applyFont="1" applyFill="1" applyBorder="1" applyAlignment="1" applyProtection="1">
      <alignment horizontal="left" vertical="center"/>
    </xf>
    <xf numFmtId="0" fontId="16" fillId="4" borderId="13" xfId="0" applyFont="1" applyFill="1" applyBorder="1" applyAlignment="1" applyProtection="1">
      <alignment horizontal="center" vertical="center"/>
    </xf>
    <xf numFmtId="0" fontId="16" fillId="4" borderId="14" xfId="0" applyFont="1" applyFill="1" applyBorder="1" applyAlignment="1" applyProtection="1">
      <alignment horizontal="center" vertical="center"/>
    </xf>
    <xf numFmtId="165" fontId="16" fillId="4" borderId="15" xfId="0" applyNumberFormat="1" applyFont="1" applyFill="1" applyBorder="1" applyAlignment="1" applyProtection="1">
      <alignment horizontal="left" vertical="center"/>
    </xf>
    <xf numFmtId="0" fontId="28" fillId="10" borderId="3" xfId="0" applyFont="1" applyFill="1" applyBorder="1" applyAlignment="1">
      <alignment vertical="center" shrinkToFit="1"/>
    </xf>
    <xf numFmtId="0" fontId="16" fillId="4" borderId="15" xfId="0" applyFont="1" applyFill="1" applyBorder="1" applyAlignment="1" applyProtection="1">
      <alignment horizontal="center" vertical="center"/>
    </xf>
    <xf numFmtId="165" fontId="16" fillId="4" borderId="15" xfId="0" applyNumberFormat="1" applyFont="1" applyFill="1" applyBorder="1" applyAlignment="1" applyProtection="1">
      <alignment horizontal="left" vertical="center" shrinkToFit="1"/>
    </xf>
    <xf numFmtId="165" fontId="16" fillId="3" borderId="15" xfId="0" applyNumberFormat="1" applyFont="1" applyFill="1" applyBorder="1" applyAlignment="1" applyProtection="1">
      <alignment horizontal="left" vertical="center" shrinkToFit="1"/>
      <protection locked="0"/>
    </xf>
    <xf numFmtId="0" fontId="20" fillId="4" borderId="27" xfId="0" applyFont="1" applyFill="1"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7" xfId="0" applyNumberFormat="1" applyFont="1" applyFill="1" applyBorder="1" applyAlignment="1" applyProtection="1">
      <alignment horizontal="left" vertical="center" shrinkToFit="1"/>
      <protection locked="0"/>
    </xf>
    <xf numFmtId="0" fontId="0" fillId="0" borderId="25" xfId="0" applyBorder="1" applyAlignment="1" applyProtection="1">
      <alignment horizontal="left" vertical="center" shrinkToFit="1"/>
      <protection locked="0"/>
    </xf>
    <xf numFmtId="0" fontId="21" fillId="9" borderId="17" xfId="0" applyFont="1" applyFill="1" applyBorder="1" applyAlignment="1" applyProtection="1">
      <alignment horizontal="left" vertical="center" shrinkToFit="1"/>
      <protection locked="0"/>
    </xf>
    <xf numFmtId="0" fontId="0" fillId="0" borderId="17" xfId="0" applyBorder="1" applyAlignment="1" applyProtection="1">
      <alignment vertical="center" shrinkToFit="1"/>
      <protection locked="0"/>
    </xf>
    <xf numFmtId="0" fontId="21" fillId="9" borderId="3" xfId="0" applyFont="1" applyFill="1" applyBorder="1" applyAlignment="1" applyProtection="1">
      <alignment horizontal="left" vertical="center" shrinkToFit="1"/>
      <protection locked="0"/>
    </xf>
    <xf numFmtId="0" fontId="0" fillId="0" borderId="3" xfId="0" applyBorder="1" applyAlignment="1" applyProtection="1">
      <alignment horizontal="left" vertical="center" shrinkToFit="1"/>
      <protection locked="0"/>
    </xf>
    <xf numFmtId="0" fontId="20" fillId="2" borderId="0" xfId="0" applyFont="1" applyFill="1" applyBorder="1" applyAlignment="1" applyProtection="1">
      <alignment horizontal="center"/>
    </xf>
    <xf numFmtId="0" fontId="23" fillId="5" borderId="9" xfId="0" applyFont="1" applyFill="1" applyBorder="1" applyAlignment="1" applyProtection="1">
      <alignment horizontal="center" vertical="center"/>
    </xf>
    <xf numFmtId="0" fontId="22" fillId="12" borderId="3" xfId="0" applyFont="1" applyFill="1" applyBorder="1" applyAlignment="1" applyProtection="1">
      <alignment horizontal="left" vertical="center"/>
      <protection locked="0"/>
    </xf>
    <xf numFmtId="0" fontId="35" fillId="12" borderId="3" xfId="0" applyFont="1" applyFill="1" applyBorder="1" applyAlignment="1" applyProtection="1">
      <alignment horizontal="left" vertical="center"/>
      <protection locked="0"/>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3" borderId="7" xfId="0" applyFont="1" applyFill="1" applyBorder="1" applyAlignment="1" applyProtection="1">
      <alignment horizontal="left" vertical="center"/>
    </xf>
    <xf numFmtId="0" fontId="0" fillId="3" borderId="7" xfId="0" applyFill="1" applyBorder="1" applyAlignment="1" applyProtection="1">
      <alignment horizontal="left" vertical="center"/>
    </xf>
    <xf numFmtId="0" fontId="16" fillId="3" borderId="3" xfId="0" applyFont="1" applyFill="1" applyBorder="1" applyAlignment="1" applyProtection="1">
      <alignment horizontal="left" vertical="center"/>
    </xf>
    <xf numFmtId="0" fontId="36" fillId="6" borderId="3" xfId="0" applyFont="1" applyFill="1" applyBorder="1" applyAlignment="1" applyProtection="1">
      <alignment horizontal="left" vertical="center" wrapText="1" indent="2" shrinkToFit="1"/>
    </xf>
    <xf numFmtId="0" fontId="16" fillId="4" borderId="6" xfId="0" applyFont="1" applyFill="1" applyBorder="1" applyAlignment="1" applyProtection="1">
      <alignment horizontal="left" vertical="center"/>
    </xf>
    <xf numFmtId="0" fontId="0" fillId="3" borderId="3" xfId="0" applyFill="1" applyBorder="1" applyAlignment="1" applyProtection="1">
      <alignment horizontal="left" vertical="center"/>
    </xf>
    <xf numFmtId="0" fontId="16" fillId="4" borderId="3" xfId="0" applyFont="1" applyFill="1" applyBorder="1" applyAlignment="1" applyProtection="1">
      <alignment horizontal="left" vertical="center"/>
    </xf>
    <xf numFmtId="0" fontId="0" fillId="4" borderId="3" xfId="0" applyFill="1" applyBorder="1" applyAlignment="1" applyProtection="1">
      <alignment horizontal="left" vertical="center"/>
    </xf>
    <xf numFmtId="0" fontId="37" fillId="5" borderId="0" xfId="0" applyFont="1" applyFill="1" applyBorder="1" applyAlignment="1" applyProtection="1">
      <alignment horizontal="right" vertical="center" wrapText="1"/>
    </xf>
    <xf numFmtId="0" fontId="36" fillId="6" borderId="3" xfId="0" applyFont="1" applyFill="1" applyBorder="1" applyAlignment="1" applyProtection="1">
      <alignment horizontal="left" vertical="center" wrapText="1" indent="3" shrinkToFit="1"/>
    </xf>
    <xf numFmtId="0" fontId="36" fillId="6" borderId="3" xfId="0" applyFont="1" applyFill="1" applyBorder="1" applyAlignment="1" applyProtection="1">
      <alignment horizontal="left" vertical="center" wrapText="1" indent="2"/>
    </xf>
    <xf numFmtId="0" fontId="38" fillId="6" borderId="3" xfId="0" applyFont="1" applyFill="1" applyBorder="1" applyAlignment="1" applyProtection="1">
      <alignment horizontal="left" vertical="center" indent="2"/>
    </xf>
    <xf numFmtId="0" fontId="21" fillId="0" borderId="15" xfId="0" applyFont="1" applyFill="1" applyBorder="1" applyAlignment="1" applyProtection="1">
      <alignment shrinkToFit="1"/>
    </xf>
    <xf numFmtId="0" fontId="0" fillId="0" borderId="15" xfId="0" applyBorder="1" applyAlignment="1">
      <alignment shrinkToFit="1"/>
    </xf>
    <xf numFmtId="0" fontId="21" fillId="7" borderId="3" xfId="0" applyFont="1" applyFill="1" applyBorder="1" applyAlignment="1" applyProtection="1">
      <alignment horizontal="left" vertical="center" shrinkToFit="1"/>
    </xf>
    <xf numFmtId="0" fontId="2" fillId="9" borderId="3" xfId="0" applyFont="1" applyFill="1" applyBorder="1" applyAlignment="1" applyProtection="1">
      <alignment horizontal="left" vertical="center"/>
      <protection locked="0"/>
    </xf>
    <xf numFmtId="0" fontId="33" fillId="9" borderId="3" xfId="0" applyFont="1" applyFill="1" applyBorder="1" applyAlignment="1" applyProtection="1">
      <alignment horizontal="left" vertical="center"/>
      <protection locked="0"/>
    </xf>
    <xf numFmtId="0" fontId="0" fillId="0" borderId="3" xfId="0" applyBorder="1" applyAlignment="1" applyProtection="1">
      <protection locked="0"/>
    </xf>
    <xf numFmtId="166" fontId="26" fillId="4" borderId="27" xfId="0" applyNumberFormat="1" applyFont="1" applyFill="1" applyBorder="1" applyAlignment="1" applyProtection="1">
      <alignment horizontal="center" vertical="center"/>
    </xf>
    <xf numFmtId="166" fontId="26" fillId="4" borderId="3" xfId="0" applyNumberFormat="1" applyFont="1" applyFill="1" applyBorder="1" applyAlignment="1" applyProtection="1">
      <alignment horizontal="center" vertical="center"/>
    </xf>
    <xf numFmtId="166" fontId="26" fillId="4" borderId="25" xfId="0" applyNumberFormat="1" applyFont="1" applyFill="1" applyBorder="1" applyAlignment="1" applyProtection="1">
      <alignment horizontal="center" vertical="center"/>
    </xf>
    <xf numFmtId="167" fontId="21" fillId="9" borderId="17" xfId="0" applyNumberFormat="1" applyFont="1" applyFill="1" applyBorder="1" applyAlignment="1" applyProtection="1">
      <alignment horizontal="left" vertical="center" shrinkToFit="1"/>
      <protection locked="0"/>
    </xf>
    <xf numFmtId="0" fontId="0" fillId="0" borderId="17" xfId="0" applyBorder="1" applyAlignment="1" applyProtection="1">
      <protection locked="0"/>
    </xf>
    <xf numFmtId="0" fontId="21" fillId="6" borderId="3" xfId="0" applyFont="1" applyFill="1" applyBorder="1" applyAlignment="1">
      <alignment horizontal="center" vertical="center" shrinkToFit="1"/>
    </xf>
    <xf numFmtId="0" fontId="2" fillId="12" borderId="3" xfId="0" applyFont="1" applyFill="1" applyBorder="1" applyAlignment="1" applyProtection="1">
      <alignment horizontal="left" vertical="center"/>
      <protection locked="0"/>
    </xf>
    <xf numFmtId="0" fontId="34" fillId="12" borderId="3" xfId="0" applyFont="1" applyFill="1" applyBorder="1" applyAlignment="1" applyProtection="1">
      <alignment horizontal="left" vertical="center"/>
      <protection locked="0"/>
    </xf>
    <xf numFmtId="0" fontId="33" fillId="12" borderId="3" xfId="0" applyFont="1" applyFill="1" applyBorder="1" applyAlignment="1" applyProtection="1">
      <alignment horizontal="left" vertical="center"/>
      <protection locked="0"/>
    </xf>
    <xf numFmtId="2" fontId="24" fillId="6" borderId="8" xfId="0" applyNumberFormat="1" applyFont="1" applyFill="1" applyBorder="1" applyAlignment="1" applyProtection="1">
      <alignment horizontal="left" vertical="center" wrapText="1" indent="2" shrinkToFit="1"/>
    </xf>
    <xf numFmtId="0" fontId="21" fillId="7" borderId="10" xfId="0" applyFont="1" applyFill="1" applyBorder="1" applyAlignment="1" applyProtection="1">
      <alignment horizontal="left" vertical="center" shrinkToFit="1"/>
    </xf>
    <xf numFmtId="0" fontId="0" fillId="0" borderId="10" xfId="0" applyBorder="1" applyAlignment="1">
      <alignment horizontal="left" vertical="center" shrinkToFit="1"/>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21" fillId="7" borderId="10" xfId="0" applyFont="1" applyFill="1" applyBorder="1" applyAlignment="1" applyProtection="1">
      <alignment horizontal="center" vertical="center" shrinkToFit="1"/>
    </xf>
    <xf numFmtId="0" fontId="0" fillId="0" borderId="10" xfId="0" applyBorder="1" applyAlignment="1" applyProtection="1">
      <alignment horizontal="center" vertical="center" shrinkToFit="1"/>
    </xf>
    <xf numFmtId="0" fontId="39" fillId="2" borderId="0" xfId="0" applyFont="1" applyFill="1" applyBorder="1" applyAlignment="1" applyProtection="1">
      <alignment horizontal="center" vertical="center" shrinkToFit="1"/>
    </xf>
    <xf numFmtId="0" fontId="0" fillId="0" borderId="0" xfId="0" applyAlignment="1">
      <alignment horizontal="center" shrinkToFit="1"/>
    </xf>
    <xf numFmtId="0" fontId="21" fillId="6" borderId="8" xfId="0" applyFont="1" applyFill="1" applyBorder="1" applyAlignment="1" applyProtection="1">
      <alignment horizontal="left" vertical="center" shrinkToFit="1"/>
    </xf>
    <xf numFmtId="0" fontId="0" fillId="0" borderId="8" xfId="0" applyBorder="1" applyAlignment="1">
      <alignment shrinkToFit="1"/>
    </xf>
    <xf numFmtId="0" fontId="23" fillId="6" borderId="3" xfId="0" applyFont="1" applyFill="1" applyBorder="1" applyAlignment="1">
      <alignment horizontal="center" vertical="center" wrapText="1" shrinkToFit="1"/>
    </xf>
    <xf numFmtId="0" fontId="21" fillId="3" borderId="3"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indent="2" shrinkToFit="1"/>
    </xf>
    <xf numFmtId="0" fontId="18" fillId="0" borderId="9" xfId="0" applyFont="1" applyBorder="1" applyAlignment="1">
      <alignment shrinkToFit="1"/>
    </xf>
    <xf numFmtId="0" fontId="16" fillId="4" borderId="0" xfId="0" applyFont="1" applyFill="1" applyBorder="1" applyAlignment="1" applyProtection="1">
      <alignment horizontal="left" vertical="center" indent="2" shrinkToFit="1"/>
    </xf>
    <xf numFmtId="0" fontId="18" fillId="0" borderId="0" xfId="0" applyFont="1" applyBorder="1" applyAlignment="1">
      <alignment shrinkToFit="1"/>
    </xf>
    <xf numFmtId="0" fontId="16" fillId="4" borderId="15" xfId="0" applyFont="1" applyFill="1" applyBorder="1" applyAlignment="1" applyProtection="1">
      <alignment horizontal="left" vertical="center" indent="2" shrinkToFit="1"/>
    </xf>
    <xf numFmtId="0" fontId="18" fillId="0" borderId="15" xfId="0" applyFont="1" applyBorder="1" applyAlignment="1">
      <alignment shrinkToFit="1"/>
    </xf>
    <xf numFmtId="0" fontId="21" fillId="12" borderId="3" xfId="0" applyFont="1" applyFill="1"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21" fillId="6" borderId="3" xfId="0" applyFont="1" applyFill="1" applyBorder="1" applyAlignment="1" applyProtection="1">
      <alignment horizontal="left" vertical="center"/>
    </xf>
    <xf numFmtId="0" fontId="0" fillId="6" borderId="3" xfId="0" applyFill="1" applyBorder="1" applyAlignment="1">
      <alignment horizontal="left" vertical="center"/>
    </xf>
    <xf numFmtId="0" fontId="16" fillId="4" borderId="15" xfId="0" applyFont="1" applyFill="1" applyBorder="1" applyAlignment="1" applyProtection="1">
      <alignment horizontal="left" vertical="center" wrapText="1" indent="2"/>
    </xf>
    <xf numFmtId="0" fontId="16" fillId="4" borderId="15"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wrapText="1" indent="2"/>
    </xf>
    <xf numFmtId="0" fontId="16" fillId="4" borderId="9" xfId="0" applyFont="1" applyFill="1" applyBorder="1" applyAlignment="1" applyProtection="1">
      <alignment horizontal="left" vertical="center" indent="2"/>
    </xf>
    <xf numFmtId="0" fontId="21" fillId="6" borderId="9" xfId="0" applyFont="1" applyFill="1" applyBorder="1" applyAlignment="1" applyProtection="1">
      <alignment horizontal="center" vertical="center" wrapText="1"/>
    </xf>
    <xf numFmtId="0" fontId="21" fillId="6" borderId="0" xfId="0" applyFont="1" applyFill="1" applyBorder="1" applyAlignment="1" applyProtection="1">
      <alignment horizontal="center" vertical="center" wrapText="1"/>
    </xf>
    <xf numFmtId="0" fontId="21" fillId="6" borderId="15" xfId="0" applyFont="1" applyFill="1" applyBorder="1" applyAlignment="1" applyProtection="1">
      <alignment horizontal="center" vertical="center" wrapText="1"/>
    </xf>
    <xf numFmtId="0" fontId="21" fillId="6" borderId="3" xfId="0" applyFont="1" applyFill="1" applyBorder="1" applyAlignment="1" applyProtection="1">
      <alignment horizontal="left" vertical="center" shrinkToFit="1"/>
    </xf>
    <xf numFmtId="0" fontId="0" fillId="6" borderId="3" xfId="0" applyFill="1" applyBorder="1" applyAlignment="1">
      <alignment horizontal="left" vertical="center" shrinkToFit="1"/>
    </xf>
    <xf numFmtId="0" fontId="16" fillId="4" borderId="0" xfId="0" applyFont="1" applyFill="1" applyBorder="1" applyAlignment="1" applyProtection="1">
      <alignment horizontal="left" vertical="center" wrapText="1" indent="2"/>
    </xf>
    <xf numFmtId="0" fontId="16" fillId="4" borderId="0" xfId="0" applyFont="1" applyFill="1" applyBorder="1" applyAlignment="1" applyProtection="1">
      <alignment horizontal="left" vertical="center" indent="2"/>
    </xf>
    <xf numFmtId="0" fontId="21" fillId="3" borderId="10" xfId="0" applyFont="1" applyFill="1" applyBorder="1" applyAlignment="1" applyProtection="1">
      <alignment horizontal="left" vertical="center" shrinkToFit="1"/>
    </xf>
    <xf numFmtId="0" fontId="45" fillId="4" borderId="10" xfId="0" applyFont="1" applyFill="1" applyBorder="1" applyAlignment="1" applyProtection="1">
      <alignment horizontal="left" vertical="center" wrapText="1" shrinkToFit="1"/>
    </xf>
    <xf numFmtId="0" fontId="46" fillId="4" borderId="10" xfId="0" applyFont="1" applyFill="1" applyBorder="1" applyAlignment="1" applyProtection="1">
      <alignment horizontal="left" vertical="center" wrapText="1" shrinkToFit="1"/>
    </xf>
    <xf numFmtId="0" fontId="16" fillId="4" borderId="10" xfId="0" applyFont="1" applyFill="1" applyBorder="1" applyAlignment="1" applyProtection="1">
      <alignment horizontal="left" vertical="center" shrinkToFit="1"/>
    </xf>
    <xf numFmtId="0" fontId="0" fillId="4" borderId="10" xfId="0" applyFill="1" applyBorder="1" applyAlignment="1" applyProtection="1">
      <alignment horizontal="left" vertical="center" shrinkToFit="1"/>
    </xf>
    <xf numFmtId="0" fontId="23" fillId="5" borderId="8" xfId="0" applyFont="1" applyFill="1" applyBorder="1" applyAlignment="1" applyProtection="1">
      <alignment horizontal="center" vertical="center" wrapText="1"/>
    </xf>
    <xf numFmtId="0" fontId="16" fillId="4" borderId="3" xfId="0" applyFont="1" applyFill="1" applyBorder="1" applyAlignment="1" applyProtection="1">
      <alignment horizontal="left" vertical="center" shrinkToFit="1"/>
    </xf>
    <xf numFmtId="0" fontId="0" fillId="4" borderId="3" xfId="0" applyFill="1" applyBorder="1" applyAlignment="1" applyProtection="1">
      <alignment horizontal="left" vertical="center" shrinkToFit="1"/>
    </xf>
    <xf numFmtId="0" fontId="16" fillId="4" borderId="7" xfId="0" applyFont="1" applyFill="1" applyBorder="1" applyAlignment="1" applyProtection="1">
      <alignment horizontal="left" vertical="center" shrinkToFit="1"/>
    </xf>
    <xf numFmtId="0" fontId="0" fillId="4" borderId="7" xfId="0"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8" fillId="13" borderId="28" xfId="0" applyFont="1" applyFill="1" applyBorder="1" applyAlignment="1">
      <alignment horizontal="left" vertical="center" shrinkToFit="1"/>
    </xf>
    <xf numFmtId="0" fontId="29" fillId="14" borderId="28" xfId="0" applyFont="1" applyFill="1" applyBorder="1" applyAlignment="1">
      <alignment horizontal="left" vertical="center" shrinkToFit="1"/>
    </xf>
    <xf numFmtId="0" fontId="23" fillId="15" borderId="8" xfId="0" applyFont="1" applyFill="1" applyBorder="1" applyAlignment="1" applyProtection="1">
      <alignment horizontal="left" vertical="top" wrapText="1" indent="1"/>
    </xf>
    <xf numFmtId="0" fontId="25" fillId="2" borderId="0" xfId="0" applyFont="1" applyFill="1" applyBorder="1" applyAlignment="1" applyProtection="1">
      <alignment horizontal="center" vertical="center"/>
    </xf>
    <xf numFmtId="0" fontId="21" fillId="3" borderId="17" xfId="0" applyFont="1" applyFill="1" applyBorder="1" applyAlignment="1" applyProtection="1">
      <alignment horizontal="left" vertical="center" shrinkToFit="1"/>
    </xf>
    <xf numFmtId="166" fontId="16" fillId="4" borderId="17" xfId="0" applyNumberFormat="1" applyFont="1" applyFill="1" applyBorder="1" applyAlignment="1" applyProtection="1">
      <alignment horizontal="left" vertical="center" shrinkToFit="1"/>
    </xf>
    <xf numFmtId="0" fontId="21" fillId="3" borderId="3" xfId="0" applyFont="1" applyFill="1" applyBorder="1" applyAlignment="1" applyProtection="1">
      <alignment horizontal="left" vertical="center" shrinkToFit="1"/>
    </xf>
    <xf numFmtId="0" fontId="16" fillId="4" borderId="3" xfId="0" applyFont="1" applyFill="1" applyBorder="1" applyAlignment="1">
      <alignment horizontal="left" vertical="center"/>
    </xf>
    <xf numFmtId="0" fontId="31" fillId="11" borderId="15" xfId="0" applyFont="1" applyFill="1" applyBorder="1" applyAlignment="1">
      <alignment horizontal="center" vertical="center"/>
    </xf>
    <xf numFmtId="0" fontId="16" fillId="4" borderId="3" xfId="0" applyNumberFormat="1" applyFont="1" applyFill="1" applyBorder="1" applyAlignment="1" applyProtection="1">
      <alignment horizontal="left" vertical="center" shrinkToFit="1"/>
    </xf>
    <xf numFmtId="0" fontId="23" fillId="5" borderId="8" xfId="0" applyFont="1" applyFill="1" applyBorder="1" applyAlignment="1" applyProtection="1">
      <alignment vertical="center" wrapText="1"/>
    </xf>
    <xf numFmtId="0" fontId="20" fillId="0" borderId="9" xfId="0" applyFont="1" applyBorder="1" applyAlignment="1" applyProtection="1">
      <alignment horizontal="right" vertical="center" shrinkToFit="1"/>
    </xf>
    <xf numFmtId="0" fontId="16" fillId="4" borderId="15" xfId="0" applyFont="1" applyFill="1" applyBorder="1" applyAlignment="1" applyProtection="1">
      <alignment horizontal="left" vertical="center" shrinkToFit="1"/>
    </xf>
    <xf numFmtId="0" fontId="0" fillId="4" borderId="15" xfId="0" applyFill="1" applyBorder="1" applyAlignment="1" applyProtection="1">
      <alignment horizontal="left" vertical="center" shrinkToFit="1"/>
    </xf>
  </cellXfs>
  <cellStyles count="1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2" builtinId="8" hidden="1"/>
    <cellStyle name="Normal" xfId="0" builtinId="0"/>
    <cellStyle name="Normal 2" xfId="11"/>
  </cellStyles>
  <dxfs count="10">
    <dxf>
      <font>
        <color auto="1"/>
      </font>
      <fill>
        <patternFill patternType="solid">
          <fgColor indexed="64"/>
          <bgColor rgb="FFF9F844"/>
        </patternFill>
      </fill>
    </dxf>
    <dxf>
      <font>
        <color rgb="FFFF0000"/>
      </font>
    </dxf>
    <dxf>
      <font>
        <color rgb="FFFF0000"/>
      </font>
    </dxf>
    <dxf>
      <font>
        <color rgb="FFFF0000"/>
      </font>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solid">
          <fgColor indexed="64"/>
          <bgColor theme="8" tint="0.39997558519241921"/>
        </patternFill>
      </fill>
    </dxf>
    <dxf>
      <font>
        <color theme="8" tint="0.39997558519241921"/>
      </font>
      <fill>
        <patternFill patternType="solid">
          <fgColor indexed="64"/>
          <bgColor theme="8" tint="0.39997558519241921"/>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Calculations!$A$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M$50"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M$13"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CheckBox" fmlaLink="M1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CheckBox" fmlaLink="M4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20</xdr:row>
          <xdr:rowOff>66675</xdr:rowOff>
        </xdr:from>
        <xdr:to>
          <xdr:col>2</xdr:col>
          <xdr:colOff>409575</xdr:colOff>
          <xdr:row>20</xdr:row>
          <xdr:rowOff>276225</xdr:rowOff>
        </xdr:to>
        <xdr:sp macro="" textlink="">
          <xdr:nvSpPr>
            <xdr:cNvPr id="1110" name="Option Button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390525</xdr:colOff>
          <xdr:row>20</xdr:row>
          <xdr:rowOff>276225</xdr:rowOff>
        </xdr:to>
        <xdr:sp macro="" textlink="">
          <xdr:nvSpPr>
            <xdr:cNvPr id="1111" name="Option Button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66675</xdr:rowOff>
        </xdr:from>
        <xdr:to>
          <xdr:col>8</xdr:col>
          <xdr:colOff>390525</xdr:colOff>
          <xdr:row>20</xdr:row>
          <xdr:rowOff>276225</xdr:rowOff>
        </xdr:to>
        <xdr:sp macro="" textlink="">
          <xdr:nvSpPr>
            <xdr:cNvPr id="1112" name="Option Button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xdr:row>
          <xdr:rowOff>47625</xdr:rowOff>
        </xdr:from>
        <xdr:to>
          <xdr:col>2</xdr:col>
          <xdr:colOff>409575</xdr:colOff>
          <xdr:row>21</xdr:row>
          <xdr:rowOff>266700</xdr:rowOff>
        </xdr:to>
        <xdr:sp macro="" textlink="">
          <xdr:nvSpPr>
            <xdr:cNvPr id="1113" name="Option Button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47625</xdr:rowOff>
        </xdr:from>
        <xdr:to>
          <xdr:col>5</xdr:col>
          <xdr:colOff>390525</xdr:colOff>
          <xdr:row>21</xdr:row>
          <xdr:rowOff>266700</xdr:rowOff>
        </xdr:to>
        <xdr:sp macro="" textlink="">
          <xdr:nvSpPr>
            <xdr:cNvPr id="1114" name="Option Button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47625</xdr:rowOff>
        </xdr:from>
        <xdr:to>
          <xdr:col>8</xdr:col>
          <xdr:colOff>390525</xdr:colOff>
          <xdr:row>21</xdr:row>
          <xdr:rowOff>266700</xdr:rowOff>
        </xdr:to>
        <xdr:sp macro="" textlink="">
          <xdr:nvSpPr>
            <xdr:cNvPr id="1115" name="Option Button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47625</xdr:rowOff>
        </xdr:from>
        <xdr:to>
          <xdr:col>2</xdr:col>
          <xdr:colOff>409575</xdr:colOff>
          <xdr:row>19</xdr:row>
          <xdr:rowOff>266700</xdr:rowOff>
        </xdr:to>
        <xdr:sp macro="" textlink="">
          <xdr:nvSpPr>
            <xdr:cNvPr id="1124" name="Option Button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47625</xdr:rowOff>
        </xdr:from>
        <xdr:to>
          <xdr:col>5</xdr:col>
          <xdr:colOff>390525</xdr:colOff>
          <xdr:row>19</xdr:row>
          <xdr:rowOff>266700</xdr:rowOff>
        </xdr:to>
        <xdr:sp macro="" textlink="">
          <xdr:nvSpPr>
            <xdr:cNvPr id="1125" name="Option Button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19</xdr:row>
          <xdr:rowOff>0</xdr:rowOff>
        </xdr:from>
        <xdr:to>
          <xdr:col>11</xdr:col>
          <xdr:colOff>752475</xdr:colOff>
          <xdr:row>22</xdr:row>
          <xdr:rowOff>0</xdr:rowOff>
        </xdr:to>
        <xdr:sp macro="" textlink="">
          <xdr:nvSpPr>
            <xdr:cNvPr id="1321" name="Group Box 297" hidden="1">
              <a:extLst>
                <a:ext uri="{63B3BB69-23CF-44E3-9099-C40C66FF867C}">
                  <a14:compatExt spid="_x0000_s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49</xdr:row>
          <xdr:rowOff>38100</xdr:rowOff>
        </xdr:from>
        <xdr:to>
          <xdr:col>0</xdr:col>
          <xdr:colOff>428625</xdr:colOff>
          <xdr:row>49</xdr:row>
          <xdr:rowOff>295275</xdr:rowOff>
        </xdr:to>
        <xdr:sp macro="" textlink="">
          <xdr:nvSpPr>
            <xdr:cNvPr id="1333" name="Option Button 309" hidden="1">
              <a:extLst>
                <a:ext uri="{63B3BB69-23CF-44E3-9099-C40C66FF867C}">
                  <a14:compatExt spid="_x0000_s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49</xdr:row>
          <xdr:rowOff>38100</xdr:rowOff>
        </xdr:from>
        <xdr:to>
          <xdr:col>5</xdr:col>
          <xdr:colOff>447675</xdr:colOff>
          <xdr:row>49</xdr:row>
          <xdr:rowOff>295275</xdr:rowOff>
        </xdr:to>
        <xdr:sp macro="" textlink="">
          <xdr:nvSpPr>
            <xdr:cNvPr id="1334" name="Option Button 310" hidden="1">
              <a:extLst>
                <a:ext uri="{63B3BB69-23CF-44E3-9099-C40C66FF867C}">
                  <a14:compatExt spid="_x0000_s1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11</xdr:col>
          <xdr:colOff>762000</xdr:colOff>
          <xdr:row>12</xdr:row>
          <xdr:rowOff>352425</xdr:rowOff>
        </xdr:to>
        <xdr:sp macro="" textlink="">
          <xdr:nvSpPr>
            <xdr:cNvPr id="1350" name="Group Box 326" hidden="1">
              <a:extLst>
                <a:ext uri="{63B3BB69-23CF-44E3-9099-C40C66FF867C}">
                  <a14:compatExt spid="_x0000_s1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12</xdr:row>
          <xdr:rowOff>66675</xdr:rowOff>
        </xdr:from>
        <xdr:to>
          <xdr:col>0</xdr:col>
          <xdr:colOff>419100</xdr:colOff>
          <xdr:row>12</xdr:row>
          <xdr:rowOff>276225</xdr:rowOff>
        </xdr:to>
        <xdr:sp macro="" textlink="">
          <xdr:nvSpPr>
            <xdr:cNvPr id="1351" name="Option Button 327" hidden="1">
              <a:extLst>
                <a:ext uri="{63B3BB69-23CF-44E3-9099-C40C66FF867C}">
                  <a14:compatExt spid="_x0000_s1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12</xdr:row>
          <xdr:rowOff>66675</xdr:rowOff>
        </xdr:from>
        <xdr:to>
          <xdr:col>1</xdr:col>
          <xdr:colOff>952500</xdr:colOff>
          <xdr:row>12</xdr:row>
          <xdr:rowOff>276225</xdr:rowOff>
        </xdr:to>
        <xdr:sp macro="" textlink="">
          <xdr:nvSpPr>
            <xdr:cNvPr id="1352" name="Option Button 328" hidden="1">
              <a:extLst>
                <a:ext uri="{63B3BB69-23CF-44E3-9099-C40C66FF867C}">
                  <a14:compatExt spid="_x0000_s1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66675</xdr:rowOff>
        </xdr:from>
        <xdr:to>
          <xdr:col>3</xdr:col>
          <xdr:colOff>409575</xdr:colOff>
          <xdr:row>12</xdr:row>
          <xdr:rowOff>276225</xdr:rowOff>
        </xdr:to>
        <xdr:sp macro="" textlink="">
          <xdr:nvSpPr>
            <xdr:cNvPr id="1353" name="Option Button 329" hidden="1">
              <a:extLst>
                <a:ext uri="{63B3BB69-23CF-44E3-9099-C40C66FF867C}">
                  <a14:compatExt spid="_x0000_s1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12</xdr:row>
          <xdr:rowOff>66675</xdr:rowOff>
        </xdr:from>
        <xdr:to>
          <xdr:col>5</xdr:col>
          <xdr:colOff>85725</xdr:colOff>
          <xdr:row>12</xdr:row>
          <xdr:rowOff>276225</xdr:rowOff>
        </xdr:to>
        <xdr:sp macro="" textlink="">
          <xdr:nvSpPr>
            <xdr:cNvPr id="1560" name="Option Button 536" hidden="1">
              <a:extLst>
                <a:ext uri="{63B3BB69-23CF-44E3-9099-C40C66FF867C}">
                  <a14:compatExt spid="_x0000_s1560"/>
                </a:ext>
              </a:extLst>
            </xdr:cNvPr>
            <xdr:cNvSpPr/>
          </xdr:nvSpPr>
          <xdr:spPr>
            <a:xfrm>
              <a:off x="0" y="0"/>
              <a:ext cx="0" cy="0"/>
            </a:xfrm>
            <a:prstGeom prst="rect">
              <a:avLst/>
            </a:prstGeom>
          </xdr:spPr>
        </xdr:sp>
        <xdr:clientData/>
      </xdr:twoCellAnchor>
    </mc:Choice>
    <mc:Fallback/>
  </mc:AlternateContent>
  <xdr:twoCellAnchor>
    <xdr:from>
      <xdr:col>0</xdr:col>
      <xdr:colOff>22087</xdr:colOff>
      <xdr:row>51</xdr:row>
      <xdr:rowOff>23091</xdr:rowOff>
    </xdr:from>
    <xdr:to>
      <xdr:col>12</xdr:col>
      <xdr:colOff>0</xdr:colOff>
      <xdr:row>58</xdr:row>
      <xdr:rowOff>0</xdr:rowOff>
    </xdr:to>
    <xdr:sp macro="" textlink="" fLocksText="0">
      <xdr:nvSpPr>
        <xdr:cNvPr id="2" name="TextBox 1"/>
        <xdr:cNvSpPr txBox="1"/>
      </xdr:nvSpPr>
      <xdr:spPr>
        <a:xfrm>
          <a:off x="22087" y="11637818"/>
          <a:ext cx="9537549" cy="1570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1" i="0">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695325</xdr:colOff>
          <xdr:row>12</xdr:row>
          <xdr:rowOff>66675</xdr:rowOff>
        </xdr:from>
        <xdr:to>
          <xdr:col>9</xdr:col>
          <xdr:colOff>76200</xdr:colOff>
          <xdr:row>12</xdr:row>
          <xdr:rowOff>276225</xdr:rowOff>
        </xdr:to>
        <xdr:sp macro="" textlink="">
          <xdr:nvSpPr>
            <xdr:cNvPr id="1896" name="Option Button 872" hidden="1">
              <a:extLst>
                <a:ext uri="{63B3BB69-23CF-44E3-9099-C40C66FF867C}">
                  <a14:compatExt spid="_x0000_s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85725</xdr:rowOff>
        </xdr:from>
        <xdr:to>
          <xdr:col>8</xdr:col>
          <xdr:colOff>390525</xdr:colOff>
          <xdr:row>19</xdr:row>
          <xdr:rowOff>304800</xdr:rowOff>
        </xdr:to>
        <xdr:sp macro="" textlink="">
          <xdr:nvSpPr>
            <xdr:cNvPr id="1971" name="Option Button 947" hidden="1">
              <a:extLst>
                <a:ext uri="{63B3BB69-23CF-44E3-9099-C40C66FF867C}">
                  <a14:compatExt spid="_x0000_s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xdr:row>
          <xdr:rowOff>9525</xdr:rowOff>
        </xdr:from>
        <xdr:to>
          <xdr:col>0</xdr:col>
          <xdr:colOff>428625</xdr:colOff>
          <xdr:row>10</xdr:row>
          <xdr:rowOff>228600</xdr:rowOff>
        </xdr:to>
        <xdr:sp macro="" textlink="">
          <xdr:nvSpPr>
            <xdr:cNvPr id="5148" name="Check Box 1052"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533400</xdr:colOff>
          <xdr:row>12</xdr:row>
          <xdr:rowOff>66675</xdr:rowOff>
        </xdr:from>
        <xdr:to>
          <xdr:col>10</xdr:col>
          <xdr:colOff>942975</xdr:colOff>
          <xdr:row>12</xdr:row>
          <xdr:rowOff>276225</xdr:rowOff>
        </xdr:to>
        <xdr:sp macro="" textlink="">
          <xdr:nvSpPr>
            <xdr:cNvPr id="5326" name="Option Button 1230" hidden="1">
              <a:extLst>
                <a:ext uri="{63B3BB69-23CF-44E3-9099-C40C66FF867C}">
                  <a14:compatExt spid="_x0000_s5326"/>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0</xdr:row>
      <xdr:rowOff>0</xdr:rowOff>
    </xdr:from>
    <xdr:to>
      <xdr:col>2</xdr:col>
      <xdr:colOff>595120</xdr:colOff>
      <xdr:row>1</xdr:row>
      <xdr:rowOff>177800</xdr:rowOff>
    </xdr:to>
    <xdr:pic>
      <xdr:nvPicPr>
        <xdr:cNvPr id="5486" name="Picture 2"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42570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44</xdr:row>
          <xdr:rowOff>0</xdr:rowOff>
        </xdr:from>
        <xdr:to>
          <xdr:col>0</xdr:col>
          <xdr:colOff>419100</xdr:colOff>
          <xdr:row>44</xdr:row>
          <xdr:rowOff>228600</xdr:rowOff>
        </xdr:to>
        <xdr:sp macro="" textlink="">
          <xdr:nvSpPr>
            <xdr:cNvPr id="5328" name="Check Box 1232" hidden="1">
              <a:extLst>
                <a:ext uri="{63B3BB69-23CF-44E3-9099-C40C66FF867C}">
                  <a14:compatExt spid="_x0000_s5328"/>
                </a:ext>
              </a:extLst>
            </xdr:cNvPr>
            <xdr:cNvSpPr/>
          </xdr:nvSpPr>
          <xdr:spPr>
            <a:xfrm>
              <a:off x="0" y="0"/>
              <a:ext cx="0" cy="0"/>
            </a:xfrm>
            <a:prstGeom prst="rect">
              <a:avLst/>
            </a:prstGeom>
          </xdr:spPr>
        </xdr:sp>
        <xdr:clientData/>
      </xdr:twoCellAnchor>
    </mc:Choice>
    <mc:Fallback/>
  </mc:AlternateContent>
  <xdr:twoCellAnchor editAs="oneCell">
    <xdr:from>
      <xdr:col>7</xdr:col>
      <xdr:colOff>381000</xdr:colOff>
      <xdr:row>0</xdr:row>
      <xdr:rowOff>165100</xdr:rowOff>
    </xdr:from>
    <xdr:to>
      <xdr:col>9</xdr:col>
      <xdr:colOff>393700</xdr:colOff>
      <xdr:row>2</xdr:row>
      <xdr:rowOff>202266</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31000" y="165100"/>
          <a:ext cx="1828800" cy="5705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1003300</xdr:colOff>
      <xdr:row>0</xdr:row>
      <xdr:rowOff>584200</xdr:rowOff>
    </xdr:to>
    <xdr:pic>
      <xdr:nvPicPr>
        <xdr:cNvPr id="6213"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303530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23</xdr:row>
      <xdr:rowOff>11043</xdr:rowOff>
    </xdr:from>
    <xdr:to>
      <xdr:col>5</xdr:col>
      <xdr:colOff>11044</xdr:colOff>
      <xdr:row>28</xdr:row>
      <xdr:rowOff>0</xdr:rowOff>
    </xdr:to>
    <xdr:sp macro="" textlink="" fLocksText="0">
      <xdr:nvSpPr>
        <xdr:cNvPr id="2" name="TextBox 1"/>
        <xdr:cNvSpPr txBox="1"/>
      </xdr:nvSpPr>
      <xdr:spPr>
        <a:xfrm>
          <a:off x="11043" y="6261652"/>
          <a:ext cx="5654262" cy="1811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3</xdr:col>
      <xdr:colOff>485913</xdr:colOff>
      <xdr:row>0</xdr:row>
      <xdr:rowOff>220870</xdr:rowOff>
    </xdr:from>
    <xdr:to>
      <xdr:col>4</xdr:col>
      <xdr:colOff>813352</xdr:colOff>
      <xdr:row>0</xdr:row>
      <xdr:rowOff>606759</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2783" y="220870"/>
          <a:ext cx="1236869" cy="3858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1409700</xdr:colOff>
      <xdr:row>1</xdr:row>
      <xdr:rowOff>355600</xdr:rowOff>
    </xdr:to>
    <xdr:pic>
      <xdr:nvPicPr>
        <xdr:cNvPr id="7197"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6024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20</xdr:row>
      <xdr:rowOff>0</xdr:rowOff>
    </xdr:from>
    <xdr:to>
      <xdr:col>5</xdr:col>
      <xdr:colOff>11044</xdr:colOff>
      <xdr:row>26</xdr:row>
      <xdr:rowOff>0</xdr:rowOff>
    </xdr:to>
    <xdr:sp macro="" textlink="" fLocksText="0">
      <xdr:nvSpPr>
        <xdr:cNvPr id="3" name="TextBox 2"/>
        <xdr:cNvSpPr txBox="1"/>
      </xdr:nvSpPr>
      <xdr:spPr>
        <a:xfrm>
          <a:off x="11043" y="5626100"/>
          <a:ext cx="58039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2</xdr:col>
      <xdr:colOff>1789069</xdr:colOff>
      <xdr:row>26</xdr:row>
      <xdr:rowOff>88349</xdr:rowOff>
    </xdr:from>
    <xdr:to>
      <xdr:col>4</xdr:col>
      <xdr:colOff>220870</xdr:colOff>
      <xdr:row>26</xdr:row>
      <xdr:rowOff>401877</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1069" y="7432262"/>
          <a:ext cx="1004931" cy="3135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1409700</xdr:colOff>
      <xdr:row>1</xdr:row>
      <xdr:rowOff>355600</xdr:rowOff>
    </xdr:to>
    <xdr:pic>
      <xdr:nvPicPr>
        <xdr:cNvPr id="2"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59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20</xdr:row>
      <xdr:rowOff>0</xdr:rowOff>
    </xdr:from>
    <xdr:to>
      <xdr:col>5</xdr:col>
      <xdr:colOff>11044</xdr:colOff>
      <xdr:row>26</xdr:row>
      <xdr:rowOff>0</xdr:rowOff>
    </xdr:to>
    <xdr:sp macro="" textlink="" fLocksText="0">
      <xdr:nvSpPr>
        <xdr:cNvPr id="3" name="TextBox 2"/>
        <xdr:cNvSpPr txBox="1"/>
      </xdr:nvSpPr>
      <xdr:spPr>
        <a:xfrm>
          <a:off x="11043" y="5397500"/>
          <a:ext cx="56896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wsDr>
</file>

<file path=xl/theme/theme1.xml><?xml version="1.0" encoding="utf-8"?>
<a:theme xmlns:a="http://schemas.openxmlformats.org/drawingml/2006/main" name="Office Theme">
  <a:themeElements>
    <a:clrScheme name="Elemental">
      <a:dk1>
        <a:sysClr val="windowText" lastClr="000000"/>
      </a:dk1>
      <a:lt1>
        <a:sysClr val="window" lastClr="FFFFFF"/>
      </a:lt1>
      <a:dk2>
        <a:srgbClr val="242852"/>
      </a:dk2>
      <a:lt2>
        <a:srgbClr val="ACCBF9"/>
      </a:lt2>
      <a:accent1>
        <a:srgbClr val="629DD1"/>
      </a:accent1>
      <a:accent2>
        <a:srgbClr val="297FD5"/>
      </a:accent2>
      <a:accent3>
        <a:srgbClr val="7F8FA9"/>
      </a:accent3>
      <a:accent4>
        <a:srgbClr val="4A66AC"/>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omments" Target="../comments1.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P114"/>
  <sheetViews>
    <sheetView showGridLines="0" tabSelected="1" workbookViewId="0">
      <selection activeCell="B5" sqref="B5:C5"/>
    </sheetView>
  </sheetViews>
  <sheetFormatPr defaultColWidth="10.875" defaultRowHeight="15.75" x14ac:dyDescent="0.25"/>
  <cols>
    <col min="1" max="1" width="7.875" style="3" customWidth="1"/>
    <col min="2" max="2" width="10" style="3" customWidth="1"/>
    <col min="3" max="3" width="10.625" style="3" customWidth="1"/>
    <col min="4" max="4" width="10.125" style="3" customWidth="1"/>
    <col min="5" max="8" width="7.875" style="3" customWidth="1"/>
    <col min="9" max="9" width="10" style="3" customWidth="1"/>
    <col min="10" max="10" width="10.625" style="3" customWidth="1"/>
    <col min="11" max="11" width="9.625" style="3" customWidth="1"/>
    <col min="12" max="12" width="7.875" style="3" customWidth="1"/>
    <col min="13" max="13" width="10.625" style="3" hidden="1" customWidth="1"/>
    <col min="14" max="16384" width="10.875" style="3"/>
  </cols>
  <sheetData>
    <row r="1" spans="1:16" ht="21" customHeight="1" x14ac:dyDescent="0.25">
      <c r="D1" s="185"/>
      <c r="E1" s="253" t="str">
        <f>IF(OR(M50=1,M50=2,M50=3),"DATE CLOSED:","")</f>
        <v/>
      </c>
      <c r="F1" s="253"/>
      <c r="G1" s="253"/>
      <c r="J1" s="112" t="s">
        <v>71</v>
      </c>
      <c r="K1" s="245"/>
      <c r="L1" s="246"/>
    </row>
    <row r="2" spans="1:16" ht="21" customHeight="1" x14ac:dyDescent="0.25">
      <c r="A2" s="184"/>
      <c r="B2" s="185"/>
      <c r="C2" s="185"/>
      <c r="D2" s="185"/>
      <c r="E2" s="152"/>
      <c r="F2" s="152"/>
      <c r="G2" s="152"/>
      <c r="J2" s="112" t="s">
        <v>73</v>
      </c>
      <c r="K2" s="190"/>
      <c r="L2" s="189"/>
    </row>
    <row r="3" spans="1:16" ht="21" customHeight="1" x14ac:dyDescent="0.25">
      <c r="A3" s="293" t="str">
        <f>IF(OR(M50=1,M50=2,M50=3),"GRAPHICS INVOICE","GRAPHICS QUOTE REQUEST")</f>
        <v>GRAPHICS QUOTE REQUEST</v>
      </c>
      <c r="B3" s="294"/>
      <c r="C3" s="294"/>
      <c r="D3" s="185"/>
      <c r="E3" s="277" t="str">
        <f>IF(OR(M50=1,M50=2,M50=3),M51,"")</f>
        <v/>
      </c>
      <c r="F3" s="278"/>
      <c r="G3" s="279"/>
      <c r="J3" s="112" t="s">
        <v>77</v>
      </c>
      <c r="K3" s="247"/>
      <c r="L3" s="248"/>
    </row>
    <row r="4" spans="1:16" ht="6.95" customHeight="1" thickBot="1" x14ac:dyDescent="0.3">
      <c r="A4" s="186"/>
      <c r="B4" s="186"/>
      <c r="C4" s="186"/>
      <c r="D4" s="186"/>
      <c r="F4" s="66"/>
      <c r="G4" s="73"/>
      <c r="H4" s="73"/>
      <c r="I4" s="73"/>
      <c r="J4" s="73"/>
      <c r="K4" s="72"/>
      <c r="L4" s="66"/>
    </row>
    <row r="5" spans="1:16" s="5" customFormat="1" ht="20.100000000000001" customHeight="1" x14ac:dyDescent="0.25">
      <c r="A5" s="83" t="s">
        <v>41</v>
      </c>
      <c r="B5" s="280"/>
      <c r="C5" s="281"/>
      <c r="D5" s="83" t="s">
        <v>59</v>
      </c>
      <c r="E5" s="249"/>
      <c r="F5" s="250"/>
      <c r="G5" s="250"/>
      <c r="H5" s="250"/>
      <c r="I5" s="83" t="s">
        <v>66</v>
      </c>
      <c r="J5" s="188"/>
      <c r="K5" s="102" t="s">
        <v>67</v>
      </c>
      <c r="L5" s="187"/>
    </row>
    <row r="6" spans="1:16" s="5" customFormat="1" ht="20.100000000000001" customHeight="1" x14ac:dyDescent="0.25">
      <c r="A6" s="84" t="s">
        <v>1</v>
      </c>
      <c r="B6" s="251"/>
      <c r="C6" s="252"/>
      <c r="D6" s="252"/>
      <c r="E6" s="252"/>
      <c r="F6" s="252"/>
      <c r="G6" s="252"/>
      <c r="H6" s="252"/>
      <c r="I6" s="252"/>
      <c r="J6" s="252"/>
      <c r="K6" s="113"/>
      <c r="L6" s="113"/>
      <c r="M6" s="104"/>
    </row>
    <row r="7" spans="1:16" s="5" customFormat="1" ht="20.100000000000001" customHeight="1" x14ac:dyDescent="0.25">
      <c r="A7" s="105" t="s">
        <v>63</v>
      </c>
      <c r="B7" s="251"/>
      <c r="C7" s="251"/>
      <c r="D7" s="251"/>
      <c r="E7" s="251"/>
      <c r="F7" s="251"/>
      <c r="G7" s="251"/>
      <c r="H7" s="251"/>
      <c r="I7" s="251"/>
      <c r="J7" s="251"/>
      <c r="K7" s="241" t="s">
        <v>42</v>
      </c>
      <c r="L7" s="229"/>
      <c r="M7" s="103"/>
      <c r="P7" s="38"/>
    </row>
    <row r="8" spans="1:16" s="5" customFormat="1" ht="20.100000000000001" customHeight="1" x14ac:dyDescent="0.25">
      <c r="A8" s="273" t="s">
        <v>72</v>
      </c>
      <c r="B8" s="273"/>
      <c r="C8" s="274" t="b">
        <f>IF(L7="RWC","Provide Previous Item #",IF(L7="New","N/A"))</f>
        <v>0</v>
      </c>
      <c r="D8" s="275"/>
      <c r="E8" s="275"/>
      <c r="F8" s="275"/>
      <c r="G8" s="275"/>
      <c r="H8" s="275"/>
      <c r="I8" s="276"/>
      <c r="J8" s="276"/>
      <c r="K8" s="276"/>
      <c r="L8" s="276"/>
      <c r="M8" s="103"/>
      <c r="P8" s="38"/>
    </row>
    <row r="9" spans="1:16" s="5" customFormat="1" ht="20.100000000000001" customHeight="1" thickBot="1" x14ac:dyDescent="0.3">
      <c r="A9" s="287" t="s">
        <v>64</v>
      </c>
      <c r="B9" s="288"/>
      <c r="C9" s="114"/>
      <c r="D9" s="89" t="s">
        <v>40</v>
      </c>
      <c r="E9" s="289"/>
      <c r="F9" s="290"/>
      <c r="G9" s="291" t="s">
        <v>106</v>
      </c>
      <c r="H9" s="292"/>
      <c r="I9" s="219"/>
      <c r="J9" s="222" t="s">
        <v>107</v>
      </c>
      <c r="K9" s="220"/>
      <c r="L9" s="221"/>
      <c r="M9" s="103"/>
    </row>
    <row r="10" spans="1:16" s="5" customFormat="1" ht="5.0999999999999996" customHeight="1" x14ac:dyDescent="0.25">
      <c r="A10"/>
      <c r="B10"/>
      <c r="C10"/>
      <c r="D10"/>
      <c r="E10"/>
      <c r="F10"/>
      <c r="G10"/>
      <c r="H10"/>
      <c r="I10"/>
      <c r="J10"/>
      <c r="K10"/>
      <c r="L10"/>
      <c r="M10" s="43"/>
      <c r="O10" s="37"/>
    </row>
    <row r="11" spans="1:16" s="5" customFormat="1" ht="29.1" customHeight="1" x14ac:dyDescent="0.25">
      <c r="A11" s="297" t="s">
        <v>109</v>
      </c>
      <c r="B11" s="297"/>
      <c r="C11" s="191" t="s">
        <v>91</v>
      </c>
      <c r="D11" s="196"/>
      <c r="E11" s="192" t="s">
        <v>92</v>
      </c>
      <c r="F11" s="196"/>
      <c r="G11" s="192" t="s">
        <v>93</v>
      </c>
      <c r="H11" s="196"/>
      <c r="I11" s="192" t="s">
        <v>94</v>
      </c>
      <c r="J11" s="196"/>
      <c r="K11" s="234" t="s">
        <v>110</v>
      </c>
      <c r="L11" s="196"/>
      <c r="M11" s="120" t="b">
        <v>0</v>
      </c>
      <c r="O11" s="37"/>
    </row>
    <row r="12" spans="1:16" s="5" customFormat="1" ht="5.0999999999999996" customHeight="1" thickBot="1" x14ac:dyDescent="0.3">
      <c r="A12"/>
      <c r="B12"/>
      <c r="C12"/>
      <c r="D12"/>
      <c r="E12"/>
      <c r="F12"/>
      <c r="G12"/>
      <c r="H12"/>
      <c r="I12"/>
      <c r="J12"/>
      <c r="K12"/>
      <c r="L12"/>
      <c r="M12" s="43"/>
      <c r="O12" s="37"/>
    </row>
    <row r="13" spans="1:16" s="5" customFormat="1" ht="30" customHeight="1" thickBot="1" x14ac:dyDescent="0.3">
      <c r="A13" s="286" t="s">
        <v>78</v>
      </c>
      <c r="B13" s="286"/>
      <c r="C13" s="127" t="s">
        <v>104</v>
      </c>
      <c r="D13" s="128" t="s">
        <v>79</v>
      </c>
      <c r="E13" s="123"/>
      <c r="F13" s="295" t="s">
        <v>82</v>
      </c>
      <c r="G13" s="295"/>
      <c r="H13" s="296"/>
      <c r="I13" s="129"/>
      <c r="J13" s="129" t="s">
        <v>80</v>
      </c>
      <c r="K13" s="124"/>
      <c r="L13" s="127" t="s">
        <v>81</v>
      </c>
      <c r="M13" s="75">
        <v>0</v>
      </c>
      <c r="N13" s="85"/>
      <c r="O13" s="85"/>
      <c r="P13" s="85"/>
    </row>
    <row r="14" spans="1:16" s="5" customFormat="1" ht="6.95" customHeight="1" x14ac:dyDescent="0.25">
      <c r="A14" s="150"/>
      <c r="B14" s="150"/>
      <c r="C14" s="150"/>
      <c r="D14" s="150"/>
      <c r="E14" s="150"/>
      <c r="F14" s="150"/>
      <c r="G14" s="150"/>
      <c r="H14" s="150"/>
      <c r="I14" s="150"/>
      <c r="J14" s="150"/>
      <c r="K14" s="150"/>
      <c r="L14" s="150"/>
      <c r="N14" s="85"/>
      <c r="O14" s="85"/>
      <c r="P14" s="85"/>
    </row>
    <row r="15" spans="1:16" s="5" customFormat="1" ht="20.100000000000001" customHeight="1" x14ac:dyDescent="0.25">
      <c r="A15" s="316" t="s">
        <v>43</v>
      </c>
      <c r="B15" s="317"/>
      <c r="C15" s="283"/>
      <c r="D15" s="284"/>
      <c r="E15" s="285"/>
      <c r="F15" s="151"/>
      <c r="G15" s="151"/>
      <c r="H15" s="282" t="s">
        <v>45</v>
      </c>
      <c r="I15" s="282"/>
      <c r="J15" s="305"/>
      <c r="K15" s="306"/>
      <c r="L15" s="306"/>
    </row>
    <row r="16" spans="1:16" s="5" customFormat="1" ht="9" customHeight="1" thickBot="1" x14ac:dyDescent="0.3">
      <c r="F16" s="29"/>
      <c r="H16" s="3"/>
      <c r="I16" s="3"/>
      <c r="J16" s="3"/>
      <c r="K16" s="3"/>
      <c r="L16" s="3"/>
      <c r="M16" s="43"/>
    </row>
    <row r="17" spans="1:16" s="8" customFormat="1" ht="24" customHeight="1" x14ac:dyDescent="0.2">
      <c r="A17" s="143" t="s">
        <v>3</v>
      </c>
      <c r="B17" s="144" t="s">
        <v>60</v>
      </c>
      <c r="C17" s="145" t="s">
        <v>4</v>
      </c>
      <c r="D17" s="146" t="s">
        <v>5</v>
      </c>
      <c r="E17" s="145" t="s">
        <v>6</v>
      </c>
      <c r="F17" s="146" t="s">
        <v>39</v>
      </c>
      <c r="G17" s="145" t="s">
        <v>7</v>
      </c>
      <c r="H17" s="147" t="s">
        <v>62</v>
      </c>
      <c r="I17" s="148" t="s">
        <v>18</v>
      </c>
      <c r="J17" s="149" t="s">
        <v>61</v>
      </c>
      <c r="K17" s="115" t="s">
        <v>55</v>
      </c>
      <c r="L17" s="116" t="s">
        <v>57</v>
      </c>
      <c r="M17" s="76"/>
      <c r="N17" s="86"/>
    </row>
    <row r="18" spans="1:16" s="8" customFormat="1" ht="21.95" customHeight="1" thickBot="1" x14ac:dyDescent="0.25">
      <c r="A18" s="133"/>
      <c r="B18" s="133"/>
      <c r="C18" s="135"/>
      <c r="D18" s="135"/>
      <c r="E18" s="135"/>
      <c r="F18" s="135"/>
      <c r="G18" s="135"/>
      <c r="H18" s="135"/>
      <c r="I18" s="133"/>
      <c r="J18" s="134"/>
      <c r="K18" s="135"/>
      <c r="L18" s="134"/>
      <c r="P18" s="74"/>
    </row>
    <row r="19" spans="1:16" s="8" customFormat="1" ht="9" customHeight="1" thickBot="1" x14ac:dyDescent="0.25">
      <c r="A19" s="41"/>
      <c r="B19" s="41"/>
      <c r="C19" s="42"/>
      <c r="D19" s="42"/>
      <c r="E19" s="42"/>
      <c r="F19" s="41"/>
      <c r="G19" s="41"/>
      <c r="H19" s="41"/>
      <c r="I19" s="41"/>
      <c r="J19" s="41"/>
      <c r="K19" s="41"/>
      <c r="L19" s="33"/>
    </row>
    <row r="20" spans="1:16" s="9" customFormat="1" ht="26.1" customHeight="1" x14ac:dyDescent="0.2">
      <c r="A20" s="313" t="s">
        <v>74</v>
      </c>
      <c r="B20" s="313"/>
      <c r="C20" s="311" t="s">
        <v>105</v>
      </c>
      <c r="D20" s="312"/>
      <c r="E20" s="179"/>
      <c r="F20" s="299" t="s">
        <v>83</v>
      </c>
      <c r="G20" s="300"/>
      <c r="H20" s="300"/>
      <c r="I20" s="299" t="s">
        <v>84</v>
      </c>
      <c r="J20" s="300"/>
      <c r="K20" s="300"/>
      <c r="L20" s="179"/>
    </row>
    <row r="21" spans="1:16" s="5" customFormat="1" ht="26.1" customHeight="1" x14ac:dyDescent="0.25">
      <c r="A21" s="314"/>
      <c r="B21" s="314"/>
      <c r="C21" s="318" t="s">
        <v>85</v>
      </c>
      <c r="D21" s="319"/>
      <c r="E21" s="180"/>
      <c r="F21" s="301" t="s">
        <v>86</v>
      </c>
      <c r="G21" s="302"/>
      <c r="H21" s="302"/>
      <c r="I21" s="301" t="s">
        <v>87</v>
      </c>
      <c r="J21" s="302"/>
      <c r="K21" s="302"/>
      <c r="L21" s="181"/>
    </row>
    <row r="22" spans="1:16" s="5" customFormat="1" ht="26.1" customHeight="1" thickBot="1" x14ac:dyDescent="0.3">
      <c r="A22" s="315"/>
      <c r="B22" s="315"/>
      <c r="C22" s="309" t="s">
        <v>88</v>
      </c>
      <c r="D22" s="310"/>
      <c r="E22" s="182"/>
      <c r="F22" s="303" t="s">
        <v>89</v>
      </c>
      <c r="G22" s="304"/>
      <c r="H22" s="304"/>
      <c r="I22" s="303" t="s">
        <v>90</v>
      </c>
      <c r="J22" s="304"/>
      <c r="K22" s="304"/>
      <c r="L22" s="183"/>
      <c r="N22" s="31"/>
    </row>
    <row r="23" spans="1:16" s="5" customFormat="1" ht="9" customHeight="1" x14ac:dyDescent="0.25">
      <c r="A23" s="24"/>
      <c r="B23" s="24"/>
      <c r="C23" s="24"/>
      <c r="D23" s="28"/>
      <c r="E23" s="6"/>
      <c r="F23" s="4"/>
      <c r="G23" s="6"/>
      <c r="H23" s="6"/>
      <c r="I23" s="6"/>
      <c r="J23" s="6"/>
      <c r="K23" s="6"/>
      <c r="L23" s="4"/>
    </row>
    <row r="24" spans="1:16" s="5" customFormat="1" ht="18" customHeight="1" x14ac:dyDescent="0.25">
      <c r="A24" s="307" t="s">
        <v>69</v>
      </c>
      <c r="B24" s="308"/>
      <c r="C24" s="255"/>
      <c r="D24" s="256"/>
      <c r="E24" s="6"/>
      <c r="F24" s="4"/>
      <c r="G24" s="6"/>
      <c r="H24" s="6"/>
      <c r="I24" s="6"/>
      <c r="J24" s="6"/>
      <c r="K24" s="6"/>
      <c r="L24" s="4"/>
    </row>
    <row r="25" spans="1:16" s="5" customFormat="1" ht="9" customHeight="1" thickBot="1" x14ac:dyDescent="0.3">
      <c r="A25" s="4"/>
      <c r="B25" s="4"/>
      <c r="C25" s="4"/>
      <c r="D25" s="6"/>
      <c r="E25" s="6"/>
      <c r="F25" s="4"/>
      <c r="G25" s="6"/>
      <c r="H25" s="6"/>
      <c r="I25" s="6"/>
      <c r="J25" s="6"/>
      <c r="K25" s="6"/>
      <c r="L25" s="4"/>
    </row>
    <row r="26" spans="1:16" s="9" customFormat="1" ht="20.100000000000001" customHeight="1" thickBot="1" x14ac:dyDescent="0.25">
      <c r="A26" s="39" t="s">
        <v>12</v>
      </c>
      <c r="B26" s="39"/>
      <c r="C26" s="39"/>
      <c r="D26" s="40" t="str">
        <f>IF(OR(M13=0,M13=1,M13=2,M13=4,M13=5),"Units","")</f>
        <v>Units</v>
      </c>
      <c r="E26" s="82" t="str">
        <f>IF(OR(M13=3,M13=2,M13=6),"Units","")</f>
        <v/>
      </c>
      <c r="F26" s="80"/>
      <c r="G26" s="39" t="s">
        <v>13</v>
      </c>
      <c r="H26" s="39"/>
      <c r="I26" s="137"/>
      <c r="J26" s="137"/>
      <c r="K26" s="39"/>
      <c r="L26" s="39" t="s">
        <v>14</v>
      </c>
    </row>
    <row r="27" spans="1:16" s="10" customFormat="1" ht="18.95" customHeight="1" x14ac:dyDescent="0.25">
      <c r="A27" s="263" t="s">
        <v>65</v>
      </c>
      <c r="B27" s="263"/>
      <c r="C27" s="15"/>
      <c r="D27" s="21">
        <f>IF(OR(M13=0,M13=1,M13=2,M13=4),B18,"")</f>
        <v>0</v>
      </c>
      <c r="E27" s="109" t="str">
        <f>IF(M13=3,B18,"")</f>
        <v/>
      </c>
      <c r="F27" s="79"/>
      <c r="G27" s="16">
        <v>37.5</v>
      </c>
      <c r="H27" s="15"/>
      <c r="I27" s="139"/>
      <c r="J27" s="139"/>
      <c r="K27" s="15"/>
      <c r="L27" s="94">
        <f>IFERROR(IF(M13=3,E27*G27,D27*G27),0)</f>
        <v>0</v>
      </c>
    </row>
    <row r="28" spans="1:16" s="10" customFormat="1" ht="18.95" customHeight="1" x14ac:dyDescent="0.25">
      <c r="A28" s="158" t="s">
        <v>25</v>
      </c>
      <c r="B28" s="158"/>
      <c r="C28" s="158"/>
      <c r="D28" s="159">
        <f>IF(OR(M13=0,M13=1,M13=2,M13=4),B18,"")</f>
        <v>0</v>
      </c>
      <c r="E28" s="160" t="str">
        <f>IF(M13=3,B18,"")</f>
        <v/>
      </c>
      <c r="F28" s="158"/>
      <c r="G28" s="161">
        <v>28</v>
      </c>
      <c r="H28" s="158"/>
      <c r="I28" s="158"/>
      <c r="J28" s="158"/>
      <c r="K28" s="158"/>
      <c r="L28" s="162">
        <f>IFERROR(IF(M13=3,E28*G28,D28*G28),0)</f>
        <v>0</v>
      </c>
    </row>
    <row r="29" spans="1:16" s="10" customFormat="1" ht="18.95" customHeight="1" x14ac:dyDescent="0.25">
      <c r="A29" s="265" t="s">
        <v>24</v>
      </c>
      <c r="B29" s="265"/>
      <c r="C29" s="7"/>
      <c r="D29" s="22">
        <f>IF(M13=0,Calculations!F12,IF(M13=1,Calculations!F12,IF(M13=2,Calculations!F12,IF(M13=5,"",IF(M13=3,"",IF(M13=4,"",IF(M13=6,"")))))))</f>
        <v>0</v>
      </c>
      <c r="E29" s="100" t="str">
        <f>IF(OR(M13=3,M13=6),0,"")</f>
        <v/>
      </c>
      <c r="F29" s="78"/>
      <c r="G29" s="11">
        <v>150</v>
      </c>
      <c r="H29" s="7"/>
      <c r="I29" s="136"/>
      <c r="J29" s="136"/>
      <c r="K29" s="7"/>
      <c r="L29" s="94">
        <f>IFERROR(IF(OR(M13=3,M13=6),E29*G29,D29*G29),0)</f>
        <v>0</v>
      </c>
    </row>
    <row r="30" spans="1:16" s="10" customFormat="1" ht="18.95" customHeight="1" x14ac:dyDescent="0.25">
      <c r="A30" s="163" t="str">
        <f>IF(M13=2,"Additonal Preflight Time (Rev)","")</f>
        <v/>
      </c>
      <c r="B30" s="164"/>
      <c r="C30" s="164"/>
      <c r="D30" s="165"/>
      <c r="E30" s="166" t="str">
        <f>IF(M13=2,0,"")</f>
        <v/>
      </c>
      <c r="F30" s="164"/>
      <c r="G30" s="167">
        <v>150</v>
      </c>
      <c r="H30" s="164"/>
      <c r="I30" s="164"/>
      <c r="J30" s="164"/>
      <c r="K30" s="164"/>
      <c r="L30" s="162">
        <f>IFERROR(IF(M13=2,E30*G30,0),0)</f>
        <v>0</v>
      </c>
    </row>
    <row r="31" spans="1:16" s="10" customFormat="1" ht="18.95" customHeight="1" x14ac:dyDescent="0.25">
      <c r="A31" s="265" t="s">
        <v>20</v>
      </c>
      <c r="B31" s="265"/>
      <c r="C31" s="7"/>
      <c r="D31" s="22">
        <f>IF(OR(M13=0,M13=1,M13=2),I18,"")</f>
        <v>0</v>
      </c>
      <c r="E31" s="110" t="str">
        <f>IF(M13=3,I18,"")</f>
        <v/>
      </c>
      <c r="F31" s="78"/>
      <c r="G31" s="11">
        <v>50</v>
      </c>
      <c r="H31" s="7"/>
      <c r="I31" s="136"/>
      <c r="J31" s="136"/>
      <c r="K31" s="7"/>
      <c r="L31" s="94">
        <f>IFERROR(IF(M13=3,E31*G31,D31*G31),0)</f>
        <v>0</v>
      </c>
    </row>
    <row r="32" spans="1:16" s="10" customFormat="1" ht="18.95" customHeight="1" x14ac:dyDescent="0.25">
      <c r="A32" s="261" t="s">
        <v>26</v>
      </c>
      <c r="B32" s="261"/>
      <c r="C32" s="164"/>
      <c r="D32" s="165">
        <f>IF(OR(M13=0,M13=1,M13=2),Calculations!F16,"")</f>
        <v>0</v>
      </c>
      <c r="E32" s="168" t="str">
        <f>IF(M13=3,Calculations!G16,"")</f>
        <v/>
      </c>
      <c r="F32" s="164"/>
      <c r="G32" s="167">
        <v>150</v>
      </c>
      <c r="H32" s="164"/>
      <c r="I32" s="164"/>
      <c r="J32" s="164"/>
      <c r="K32" s="164"/>
      <c r="L32" s="162">
        <f>IFERROR(IF(M13=3,E32*G32,D32*G32),0)</f>
        <v>0</v>
      </c>
    </row>
    <row r="33" spans="1:13" s="10" customFormat="1" ht="18.95" customHeight="1" x14ac:dyDescent="0.25">
      <c r="A33" s="91" t="str">
        <f>IF(AND(M13=2,K18&gt;0),"Additional CC Time (Rev CP)","")</f>
        <v/>
      </c>
      <c r="B33" s="91"/>
      <c r="C33" s="91"/>
      <c r="D33" s="91"/>
      <c r="E33" s="101" t="str">
        <f>IF(AND(M13=2,K18&gt;0),"0","")</f>
        <v/>
      </c>
      <c r="F33" s="90"/>
      <c r="G33" s="11">
        <v>150</v>
      </c>
      <c r="H33" s="90"/>
      <c r="I33" s="136"/>
      <c r="J33" s="136"/>
      <c r="K33" s="90"/>
      <c r="L33" s="94">
        <f>IFERROR(IF(M13=2,E33*G33,0),0)</f>
        <v>0</v>
      </c>
    </row>
    <row r="34" spans="1:13" s="10" customFormat="1" ht="18.95" customHeight="1" x14ac:dyDescent="0.25">
      <c r="A34" s="261" t="s">
        <v>19</v>
      </c>
      <c r="B34" s="264"/>
      <c r="C34" s="164"/>
      <c r="D34" s="165">
        <f>IF(OR(M13=0,M13=1,M13=2,M13=4),L18,"")</f>
        <v>0</v>
      </c>
      <c r="E34" s="169" t="str">
        <f>IF(M13=3,L18,"")</f>
        <v/>
      </c>
      <c r="F34" s="164"/>
      <c r="G34" s="167">
        <v>225</v>
      </c>
      <c r="H34" s="164"/>
      <c r="I34" s="164"/>
      <c r="J34" s="164"/>
      <c r="K34" s="164"/>
      <c r="L34" s="162">
        <f>IFERROR(IF(M13=3,E34*G34,D34*G34),0)</f>
        <v>0</v>
      </c>
    </row>
    <row r="35" spans="1:13" s="10" customFormat="1" ht="18.95" customHeight="1" x14ac:dyDescent="0.25">
      <c r="A35" s="265" t="s">
        <v>28</v>
      </c>
      <c r="B35" s="266"/>
      <c r="C35" s="7"/>
      <c r="D35" s="22" t="b">
        <f>IF(M13=0,Calculations!B19,IF(M13=1,Calculations!B19,IF(M13=2,Calculations!B19,IF(M13=5,"",IF(M13=3,"",IF(M13=4,"",IF(M13=6,"")))))))</f>
        <v>0</v>
      </c>
      <c r="E35" s="100" t="str">
        <f>IF(M13=3,0,"")</f>
        <v/>
      </c>
      <c r="F35" s="78"/>
      <c r="G35" s="11">
        <v>150</v>
      </c>
      <c r="H35" s="7"/>
      <c r="I35" s="136"/>
      <c r="J35" s="136"/>
      <c r="K35" s="7"/>
      <c r="L35" s="94">
        <f>IFERROR(IF(M13=3,E35*G35,D35*G35),0)</f>
        <v>0</v>
      </c>
    </row>
    <row r="36" spans="1:13" s="10" customFormat="1" ht="18.95" customHeight="1" x14ac:dyDescent="0.25">
      <c r="A36" s="261" t="s">
        <v>56</v>
      </c>
      <c r="B36" s="264"/>
      <c r="C36" s="164"/>
      <c r="D36" s="165">
        <f>IF(OR(M13=0,M13=1,M13=2),J18,"")</f>
        <v>0</v>
      </c>
      <c r="E36" s="169" t="str">
        <f>IF(M13=3,J18,"")</f>
        <v/>
      </c>
      <c r="F36" s="164"/>
      <c r="G36" s="167">
        <v>15</v>
      </c>
      <c r="H36" s="164"/>
      <c r="I36" s="164"/>
      <c r="J36" s="164"/>
      <c r="K36" s="164"/>
      <c r="L36" s="162">
        <f>IFERROR(IF(M13=3,E36*G36,D36*G36),0)</f>
        <v>0</v>
      </c>
    </row>
    <row r="37" spans="1:13" s="10" customFormat="1" ht="18.95" customHeight="1" x14ac:dyDescent="0.25">
      <c r="A37" s="257" t="s">
        <v>29</v>
      </c>
      <c r="B37" s="258"/>
      <c r="C37" s="17"/>
      <c r="D37" s="23">
        <f>IF(OR(M13=0,M13=1,M13=2,M13=5),Calculations!B22,"")</f>
        <v>0</v>
      </c>
      <c r="E37" s="108" t="str">
        <f>IF(M13=3,0,"")</f>
        <v/>
      </c>
      <c r="F37" s="81"/>
      <c r="G37" s="18">
        <v>150</v>
      </c>
      <c r="H37" s="17"/>
      <c r="I37" s="138"/>
      <c r="J37" s="138"/>
      <c r="K37" s="17"/>
      <c r="L37" s="94">
        <f>IFERROR(IF(M13=3,E37*G37,D37*G37),0)</f>
        <v>0</v>
      </c>
    </row>
    <row r="38" spans="1:13" s="10" customFormat="1" ht="18.95" customHeight="1" x14ac:dyDescent="0.25">
      <c r="A38" s="259" t="s">
        <v>21</v>
      </c>
      <c r="B38" s="260"/>
      <c r="C38" s="170"/>
      <c r="D38" s="171">
        <f>IF(OR(M13=0,M13=1,M13=2,M13=4,M13=5),(Calculations!C26*Calculations!D26)*C18,"")</f>
        <v>0</v>
      </c>
      <c r="E38" s="172" t="str">
        <f>IF(M13=3,Calculations!C26*Calculations!D26*C18,"")</f>
        <v/>
      </c>
      <c r="F38" s="170"/>
      <c r="G38" s="173">
        <v>0.24</v>
      </c>
      <c r="H38" s="170"/>
      <c r="I38" s="170"/>
      <c r="J38" s="170"/>
      <c r="K38" s="170"/>
      <c r="L38" s="174">
        <f>IFERROR(IF(M13=3,E38*G38,D38*G38),0)</f>
        <v>0</v>
      </c>
    </row>
    <row r="39" spans="1:13" s="10" customFormat="1" ht="18.95" customHeight="1" x14ac:dyDescent="0.25">
      <c r="A39" s="194" t="str">
        <f>IF(D11&gt;0,"External Mac Time Charge","")</f>
        <v/>
      </c>
      <c r="B39" s="141"/>
      <c r="C39" s="140"/>
      <c r="D39" s="153"/>
      <c r="E39" s="154"/>
      <c r="F39" s="140"/>
      <c r="G39" s="18"/>
      <c r="H39" s="140"/>
      <c r="I39" s="140"/>
      <c r="J39" s="140"/>
      <c r="K39" s="140"/>
      <c r="L39" s="121">
        <f>IF(M11,D11,0)</f>
        <v>0</v>
      </c>
      <c r="M39" s="122" t="b">
        <f>OR(M12=1,M12=2)</f>
        <v>0</v>
      </c>
    </row>
    <row r="40" spans="1:13" s="10" customFormat="1" ht="18.95" customHeight="1" x14ac:dyDescent="0.25">
      <c r="A40" s="163" t="str">
        <f>IF(F11&gt;0,"External Proof Charge","")</f>
        <v/>
      </c>
      <c r="B40" s="175"/>
      <c r="C40" s="164"/>
      <c r="D40" s="176"/>
      <c r="E40" s="168"/>
      <c r="F40" s="164"/>
      <c r="G40" s="167"/>
      <c r="H40" s="164"/>
      <c r="I40" s="164"/>
      <c r="J40" s="164"/>
      <c r="K40" s="164"/>
      <c r="L40" s="174">
        <f>IF(M11,F11,0)</f>
        <v>0</v>
      </c>
      <c r="M40" s="122" t="b">
        <f>OR(M12=1,M12=2)</f>
        <v>0</v>
      </c>
    </row>
    <row r="41" spans="1:13" s="10" customFormat="1" ht="18.95" customHeight="1" x14ac:dyDescent="0.25">
      <c r="A41" s="195" t="str">
        <f>IF(H11,"External Plate Charge","")</f>
        <v/>
      </c>
      <c r="B41" s="155"/>
      <c r="C41" s="142"/>
      <c r="D41" s="156"/>
      <c r="E41" s="157"/>
      <c r="F41" s="142"/>
      <c r="G41" s="16"/>
      <c r="H41" s="142"/>
      <c r="I41" s="142"/>
      <c r="J41" s="142"/>
      <c r="K41" s="142"/>
      <c r="L41" s="94">
        <f>IF(M11,H11,0)</f>
        <v>0</v>
      </c>
      <c r="M41" s="122" t="b">
        <f>OR(M12=1,M12=2)</f>
        <v>0</v>
      </c>
    </row>
    <row r="42" spans="1:13" s="10" customFormat="1" ht="18.95" customHeight="1" x14ac:dyDescent="0.25">
      <c r="A42" s="163" t="str">
        <f>IF(J11,"Custom Sleeve Charge","")</f>
        <v/>
      </c>
      <c r="B42" s="231"/>
      <c r="C42" s="230"/>
      <c r="D42" s="176"/>
      <c r="E42" s="168"/>
      <c r="F42" s="230"/>
      <c r="G42" s="167"/>
      <c r="H42" s="230"/>
      <c r="I42" s="230"/>
      <c r="J42" s="230"/>
      <c r="K42" s="230"/>
      <c r="L42" s="174">
        <f>IF($M$11,J11,0)</f>
        <v>0</v>
      </c>
      <c r="M42" s="122"/>
    </row>
    <row r="43" spans="1:13" s="10" customFormat="1" ht="18.95" customHeight="1" thickBot="1" x14ac:dyDescent="0.3">
      <c r="A43" s="235" t="str">
        <f>IF(L11,"DCR Label Art","")</f>
        <v/>
      </c>
      <c r="B43" s="236"/>
      <c r="C43" s="237"/>
      <c r="D43" s="238"/>
      <c r="E43" s="239"/>
      <c r="F43" s="237"/>
      <c r="G43" s="240"/>
      <c r="H43" s="237"/>
      <c r="I43" s="237"/>
      <c r="J43" s="237"/>
      <c r="K43" s="237"/>
      <c r="L43" s="174">
        <f>IF($M$11,L11,0)</f>
        <v>0</v>
      </c>
      <c r="M43" s="122" t="b">
        <f>OR(M13=1,M13=2)</f>
        <v>0</v>
      </c>
    </row>
    <row r="44" spans="1:13" s="10" customFormat="1" ht="18.95" customHeight="1" thickBot="1" x14ac:dyDescent="0.3">
      <c r="A44" s="4"/>
      <c r="B44" s="4"/>
      <c r="C44" s="4"/>
      <c r="D44" s="4"/>
      <c r="E44" s="4"/>
      <c r="F44" s="4"/>
      <c r="G44" s="4"/>
      <c r="H44" s="4"/>
      <c r="I44" s="4"/>
      <c r="J44" s="4"/>
      <c r="K44" s="118" t="s">
        <v>15</v>
      </c>
      <c r="L44" s="131">
        <f>SUM(L27:L43)</f>
        <v>0</v>
      </c>
    </row>
    <row r="45" spans="1:13" s="10" customFormat="1" ht="18.95" customHeight="1" thickBot="1" x14ac:dyDescent="0.3">
      <c r="A45" s="298" t="s">
        <v>108</v>
      </c>
      <c r="B45" s="298"/>
      <c r="C45" s="225"/>
      <c r="D45" s="223"/>
      <c r="E45" s="12"/>
      <c r="F45" s="12"/>
      <c r="G45" s="12"/>
      <c r="H45" s="12"/>
      <c r="I45" s="12"/>
      <c r="J45" s="12"/>
      <c r="K45" s="19" t="s">
        <v>17</v>
      </c>
      <c r="L45" s="132" t="e">
        <f>L44/C18</f>
        <v>#DIV/0!</v>
      </c>
      <c r="M45" s="224" t="b">
        <v>0</v>
      </c>
    </row>
    <row r="46" spans="1:13" s="10" customFormat="1" ht="6" customHeight="1" x14ac:dyDescent="0.25">
      <c r="A46" s="226"/>
      <c r="B46" s="226"/>
      <c r="E46" s="12"/>
      <c r="F46" s="12"/>
      <c r="G46" s="12"/>
      <c r="H46" s="12"/>
      <c r="I46" s="12"/>
      <c r="J46" s="12"/>
      <c r="K46" s="34"/>
      <c r="L46" s="35"/>
    </row>
    <row r="47" spans="1:13" s="10" customFormat="1" ht="17.100000000000001" customHeight="1" x14ac:dyDescent="0.25">
      <c r="A47" s="227"/>
      <c r="B47" s="227"/>
      <c r="E47" s="12"/>
      <c r="F47" s="12"/>
      <c r="G47" s="12"/>
      <c r="H47" s="12"/>
      <c r="I47" s="12"/>
      <c r="J47" s="12"/>
      <c r="K47" s="126" t="str">
        <f>IF(M11,"Internal:","")</f>
        <v/>
      </c>
      <c r="L47" s="125" t="str">
        <f>IF(M11,L44-L48,"")</f>
        <v/>
      </c>
    </row>
    <row r="48" spans="1:13" s="10" customFormat="1" ht="18" customHeight="1" x14ac:dyDescent="0.25">
      <c r="E48" s="12"/>
      <c r="F48" s="12"/>
      <c r="G48" s="12"/>
      <c r="H48" s="12"/>
      <c r="I48" s="12"/>
      <c r="J48" s="12"/>
      <c r="K48" s="126" t="str">
        <f>IF(M11,"External:","")</f>
        <v/>
      </c>
      <c r="L48" s="125" t="str">
        <f>IF(M11,L39+L40+L41+L43,"")</f>
        <v/>
      </c>
    </row>
    <row r="49" spans="1:13" s="10" customFormat="1" ht="6" customHeight="1" thickBot="1" x14ac:dyDescent="0.3">
      <c r="E49" s="12"/>
      <c r="F49" s="12"/>
      <c r="G49" s="12"/>
      <c r="H49" s="12"/>
      <c r="I49" s="12"/>
      <c r="J49" s="12"/>
      <c r="K49" s="34"/>
      <c r="L49" s="35"/>
    </row>
    <row r="50" spans="1:13" s="10" customFormat="1" ht="27" customHeight="1" thickBot="1" x14ac:dyDescent="0.3">
      <c r="A50" s="269" t="s">
        <v>75</v>
      </c>
      <c r="B50" s="270"/>
      <c r="C50" s="270"/>
      <c r="D50" s="268"/>
      <c r="E50" s="268"/>
      <c r="F50" s="262" t="s">
        <v>76</v>
      </c>
      <c r="G50" s="262"/>
      <c r="H50" s="267" t="str">
        <f>IF(OR(M50=1,M50=2,M50=3),"Total Before Markup:","")</f>
        <v/>
      </c>
      <c r="I50" s="267"/>
      <c r="J50" s="267"/>
      <c r="K50" s="267"/>
      <c r="L50" s="130" t="b">
        <f>IF(M50=2,L44)</f>
        <v>0</v>
      </c>
      <c r="M50" s="75">
        <v>0</v>
      </c>
    </row>
    <row r="51" spans="1:13" s="10" customFormat="1" ht="18.95" customHeight="1" thickBot="1" x14ac:dyDescent="0.3">
      <c r="A51" s="271" t="s">
        <v>95</v>
      </c>
      <c r="B51" s="272"/>
      <c r="C51" s="193"/>
      <c r="D51" s="193"/>
      <c r="E51" s="193"/>
      <c r="F51" s="193"/>
      <c r="G51" s="193"/>
      <c r="H51" s="193"/>
      <c r="I51" s="193"/>
      <c r="J51" s="193"/>
      <c r="K51" s="193"/>
      <c r="L51" s="193"/>
      <c r="M51" s="77">
        <f ca="1">TODAY()</f>
        <v>42905</v>
      </c>
    </row>
    <row r="52" spans="1:13" s="10" customFormat="1" ht="21" customHeight="1" x14ac:dyDescent="0.25">
      <c r="A52" s="177"/>
      <c r="B52" s="177"/>
      <c r="C52" s="177"/>
      <c r="D52" s="177"/>
      <c r="E52" s="177"/>
      <c r="F52" s="177"/>
      <c r="G52" s="177"/>
      <c r="H52" s="177"/>
      <c r="I52" s="177"/>
      <c r="J52" s="177"/>
      <c r="K52" s="177"/>
      <c r="L52" s="177"/>
      <c r="M52" s="178"/>
    </row>
    <row r="53" spans="1:13" s="10" customFormat="1" ht="21" customHeight="1" x14ac:dyDescent="0.25">
      <c r="A53" s="177"/>
      <c r="B53" s="177"/>
      <c r="C53" s="177"/>
      <c r="D53" s="177"/>
      <c r="E53" s="177"/>
      <c r="F53" s="177"/>
      <c r="G53" s="177"/>
      <c r="H53" s="177"/>
      <c r="I53" s="177"/>
      <c r="J53" s="177"/>
      <c r="K53" s="177"/>
      <c r="L53" s="177"/>
      <c r="M53" s="178"/>
    </row>
    <row r="54" spans="1:13" s="10" customFormat="1" ht="21" customHeight="1" x14ac:dyDescent="0.25">
      <c r="A54" s="177"/>
      <c r="B54" s="177"/>
      <c r="C54" s="177"/>
      <c r="D54" s="177"/>
      <c r="E54" s="177"/>
      <c r="F54" s="177"/>
      <c r="G54" s="177"/>
      <c r="H54" s="177"/>
      <c r="I54" s="177"/>
      <c r="J54" s="177"/>
      <c r="K54" s="177"/>
      <c r="L54" s="177"/>
      <c r="M54" s="178"/>
    </row>
    <row r="55" spans="1:13" s="10" customFormat="1" ht="21" customHeight="1" x14ac:dyDescent="0.25">
      <c r="A55" s="177"/>
      <c r="B55" s="177"/>
      <c r="C55" s="177"/>
      <c r="D55" s="177"/>
      <c r="E55" s="177"/>
      <c r="F55" s="177"/>
      <c r="G55" s="177"/>
      <c r="H55" s="177"/>
      <c r="I55" s="177"/>
      <c r="J55" s="177"/>
      <c r="K55" s="177"/>
      <c r="L55" s="177"/>
      <c r="M55" s="178"/>
    </row>
    <row r="56" spans="1:13" s="10" customFormat="1" ht="21" customHeight="1" x14ac:dyDescent="0.25">
      <c r="A56" s="177"/>
      <c r="B56" s="177"/>
      <c r="C56" s="177"/>
      <c r="D56" s="177"/>
      <c r="E56" s="177"/>
      <c r="F56" s="177"/>
      <c r="G56" s="177"/>
      <c r="H56" s="177"/>
      <c r="I56" s="177"/>
      <c r="J56" s="177"/>
      <c r="K56" s="177"/>
      <c r="L56" s="177"/>
      <c r="M56" s="178"/>
    </row>
    <row r="57" spans="1:13" s="10" customFormat="1" ht="21" customHeight="1" x14ac:dyDescent="0.25">
      <c r="A57" s="177"/>
      <c r="B57" s="177"/>
      <c r="C57" s="177"/>
      <c r="D57" s="177"/>
      <c r="E57" s="177"/>
      <c r="F57" s="177"/>
      <c r="G57" s="177"/>
      <c r="H57" s="177"/>
      <c r="I57" s="177"/>
      <c r="J57" s="177"/>
      <c r="K57" s="177"/>
      <c r="L57" s="177"/>
      <c r="M57" s="178"/>
    </row>
    <row r="58" spans="1:13" s="10" customFormat="1" ht="21" customHeight="1" thickBot="1" x14ac:dyDescent="0.3">
      <c r="A58" s="88"/>
      <c r="B58" s="88"/>
      <c r="C58" s="88"/>
      <c r="D58" s="88"/>
      <c r="E58" s="88"/>
      <c r="F58" s="88"/>
      <c r="G58" s="88"/>
      <c r="H58" s="88"/>
      <c r="I58" s="88"/>
      <c r="J58" s="88"/>
      <c r="K58" s="88"/>
      <c r="L58" s="88"/>
    </row>
    <row r="59" spans="1:13" s="10" customFormat="1" ht="20.100000000000001" customHeight="1" x14ac:dyDescent="0.25">
      <c r="A59" s="254" t="s">
        <v>44</v>
      </c>
      <c r="B59" s="254"/>
      <c r="C59" s="254"/>
      <c r="D59" s="254"/>
      <c r="E59" s="254"/>
      <c r="F59" s="254"/>
      <c r="G59" s="254"/>
      <c r="H59" s="254"/>
      <c r="I59" s="254"/>
      <c r="J59" s="254"/>
      <c r="K59" s="254"/>
      <c r="L59" s="254"/>
    </row>
    <row r="60" spans="1:13" s="87" customFormat="1" x14ac:dyDescent="0.25"/>
    <row r="61" spans="1:13" s="87" customFormat="1" x14ac:dyDescent="0.25"/>
    <row r="62" spans="1:13" s="87" customFormat="1" x14ac:dyDescent="0.25"/>
    <row r="63" spans="1:13" s="87" customFormat="1" x14ac:dyDescent="0.25"/>
    <row r="64" spans="1:13" s="87" customFormat="1" x14ac:dyDescent="0.25"/>
    <row r="65" s="87" customFormat="1" x14ac:dyDescent="0.25"/>
    <row r="66" s="87" customFormat="1" x14ac:dyDescent="0.25"/>
    <row r="67" s="87" customFormat="1" x14ac:dyDescent="0.25"/>
    <row r="68" s="87" customFormat="1" x14ac:dyDescent="0.25"/>
    <row r="69" s="87" customFormat="1" x14ac:dyDescent="0.25"/>
    <row r="70" s="87" customFormat="1" x14ac:dyDescent="0.25"/>
    <row r="71" s="87" customFormat="1" x14ac:dyDescent="0.25"/>
    <row r="72" s="87" customFormat="1" x14ac:dyDescent="0.25"/>
    <row r="73" s="87" customFormat="1" x14ac:dyDescent="0.25"/>
    <row r="74" s="87" customFormat="1" x14ac:dyDescent="0.25"/>
    <row r="75" s="87" customFormat="1" x14ac:dyDescent="0.25"/>
    <row r="76" s="87" customFormat="1" x14ac:dyDescent="0.25"/>
    <row r="77" s="87" customFormat="1" x14ac:dyDescent="0.25"/>
    <row r="78" s="87" customFormat="1" x14ac:dyDescent="0.25"/>
    <row r="79" s="87" customFormat="1" x14ac:dyDescent="0.25"/>
    <row r="80" s="87" customFormat="1" x14ac:dyDescent="0.25"/>
    <row r="81" s="87" customFormat="1" x14ac:dyDescent="0.25"/>
    <row r="82" s="87" customFormat="1" x14ac:dyDescent="0.25"/>
    <row r="83" s="87" customFormat="1" x14ac:dyDescent="0.25"/>
    <row r="84" s="87" customFormat="1" x14ac:dyDescent="0.25"/>
    <row r="85" s="87" customFormat="1" x14ac:dyDescent="0.25"/>
    <row r="86" s="87" customFormat="1" x14ac:dyDescent="0.25"/>
    <row r="87" s="87" customFormat="1" x14ac:dyDescent="0.25"/>
    <row r="88" s="87" customFormat="1" x14ac:dyDescent="0.25"/>
    <row r="89" s="87" customFormat="1" x14ac:dyDescent="0.25"/>
    <row r="90" s="87" customFormat="1" x14ac:dyDescent="0.25"/>
    <row r="91" s="87" customFormat="1" x14ac:dyDescent="0.25"/>
    <row r="92" s="87" customFormat="1" x14ac:dyDescent="0.25"/>
    <row r="93" s="87" customFormat="1" x14ac:dyDescent="0.25"/>
    <row r="94" s="87" customFormat="1" x14ac:dyDescent="0.25"/>
    <row r="95" s="87" customFormat="1" x14ac:dyDescent="0.25"/>
    <row r="96" s="87" customFormat="1" x14ac:dyDescent="0.25"/>
    <row r="97" s="87" customFormat="1" x14ac:dyDescent="0.25"/>
    <row r="98" s="87" customFormat="1" x14ac:dyDescent="0.25"/>
    <row r="99" s="87" customFormat="1" x14ac:dyDescent="0.25"/>
    <row r="100" s="87" customFormat="1" x14ac:dyDescent="0.25"/>
    <row r="101" s="87" customFormat="1" x14ac:dyDescent="0.25"/>
    <row r="102" s="87" customFormat="1" x14ac:dyDescent="0.25"/>
    <row r="103" s="87" customFormat="1" x14ac:dyDescent="0.25"/>
    <row r="104" s="87" customFormat="1" x14ac:dyDescent="0.25"/>
    <row r="105" s="87" customFormat="1" x14ac:dyDescent="0.25"/>
    <row r="106" s="87" customFormat="1" x14ac:dyDescent="0.25"/>
    <row r="107" s="87" customFormat="1" x14ac:dyDescent="0.25"/>
    <row r="108" s="87" customFormat="1" x14ac:dyDescent="0.25"/>
    <row r="109" s="87" customFormat="1" x14ac:dyDescent="0.25"/>
    <row r="110" s="87" customFormat="1" x14ac:dyDescent="0.25"/>
    <row r="111" s="87" customFormat="1" x14ac:dyDescent="0.25"/>
    <row r="112" s="87" customFormat="1" x14ac:dyDescent="0.25"/>
    <row r="113" s="87" customFormat="1" x14ac:dyDescent="0.25"/>
    <row r="114" s="87" customFormat="1" x14ac:dyDescent="0.25"/>
  </sheetData>
  <sheetProtection sheet="1" objects="1" scenarios="1" insertHyperlinks="0"/>
  <mergeCells count="49">
    <mergeCell ref="I21:K21"/>
    <mergeCell ref="I22:K22"/>
    <mergeCell ref="J15:L15"/>
    <mergeCell ref="A24:B24"/>
    <mergeCell ref="C22:D22"/>
    <mergeCell ref="C20:D20"/>
    <mergeCell ref="A20:B22"/>
    <mergeCell ref="A15:B15"/>
    <mergeCell ref="F20:H20"/>
    <mergeCell ref="F21:H21"/>
    <mergeCell ref="F22:H22"/>
    <mergeCell ref="C21:D21"/>
    <mergeCell ref="A51:B51"/>
    <mergeCell ref="A8:B8"/>
    <mergeCell ref="C8:L8"/>
    <mergeCell ref="E3:G3"/>
    <mergeCell ref="B5:C5"/>
    <mergeCell ref="H15:I15"/>
    <mergeCell ref="C15:E15"/>
    <mergeCell ref="A13:B13"/>
    <mergeCell ref="A9:B9"/>
    <mergeCell ref="E9:F9"/>
    <mergeCell ref="G9:H9"/>
    <mergeCell ref="A3:C3"/>
    <mergeCell ref="F13:H13"/>
    <mergeCell ref="A11:B11"/>
    <mergeCell ref="A45:B45"/>
    <mergeCell ref="I20:K20"/>
    <mergeCell ref="B7:J7"/>
    <mergeCell ref="A59:L59"/>
    <mergeCell ref="C24:D24"/>
    <mergeCell ref="A37:B37"/>
    <mergeCell ref="A38:B38"/>
    <mergeCell ref="A32:B32"/>
    <mergeCell ref="F50:G50"/>
    <mergeCell ref="A27:B27"/>
    <mergeCell ref="A34:B34"/>
    <mergeCell ref="A35:B35"/>
    <mergeCell ref="A29:B29"/>
    <mergeCell ref="H50:K50"/>
    <mergeCell ref="D50:E50"/>
    <mergeCell ref="A31:B31"/>
    <mergeCell ref="A36:B36"/>
    <mergeCell ref="A50:C50"/>
    <mergeCell ref="K1:L1"/>
    <mergeCell ref="K3:L3"/>
    <mergeCell ref="E5:H5"/>
    <mergeCell ref="B6:J6"/>
    <mergeCell ref="E1:G1"/>
  </mergeCells>
  <phoneticPr fontId="1" type="noConversion"/>
  <conditionalFormatting sqref="L50">
    <cfRule type="containsText" dxfId="9" priority="10" operator="containsText" text="FALSE">
      <formula>NOT(ISERROR(SEARCH("FALSE",L50)))</formula>
    </cfRule>
  </conditionalFormatting>
  <conditionalFormatting sqref="G9">
    <cfRule type="containsText" dxfId="8" priority="9" operator="containsText" text="Pkg Size:">
      <formula>NOT(ISERROR(SEARCH("Pkg Size:",G9)))</formula>
    </cfRule>
  </conditionalFormatting>
  <conditionalFormatting sqref="K47">
    <cfRule type="containsText" dxfId="7" priority="8" operator="containsText" text="Internal">
      <formula>NOT(ISERROR(SEARCH("Internal",K47)))</formula>
    </cfRule>
  </conditionalFormatting>
  <conditionalFormatting sqref="K48">
    <cfRule type="containsText" dxfId="6" priority="7" operator="containsText" text="External">
      <formula>NOT(ISERROR(SEARCH("External",K48)))</formula>
    </cfRule>
  </conditionalFormatting>
  <conditionalFormatting sqref="L47">
    <cfRule type="cellIs" dxfId="5" priority="6" operator="greaterThan">
      <formula>0</formula>
    </cfRule>
  </conditionalFormatting>
  <conditionalFormatting sqref="L48">
    <cfRule type="cellIs" dxfId="4" priority="5" operator="greaterThan">
      <formula>0</formula>
    </cfRule>
  </conditionalFormatting>
  <conditionalFormatting sqref="A39:A41">
    <cfRule type="containsText" dxfId="3" priority="4" operator="containsText" text="External">
      <formula>NOT(ISERROR(SEARCH("External",A39)))</formula>
    </cfRule>
  </conditionalFormatting>
  <conditionalFormatting sqref="A42">
    <cfRule type="containsText" dxfId="2" priority="2" operator="containsText" text="External">
      <formula>NOT(ISERROR(SEARCH("External",A42)))</formula>
    </cfRule>
  </conditionalFormatting>
  <conditionalFormatting sqref="A43">
    <cfRule type="containsText" dxfId="1" priority="1" operator="containsText" text="External">
      <formula>NOT(ISERROR(SEARCH("External",A43)))</formula>
    </cfRule>
  </conditionalFormatting>
  <dataValidations count="10">
    <dataValidation type="list" allowBlank="1" showInputMessage="1" showErrorMessage="1" prompt="Choose option that best describes work required. This determines the base time." sqref="C15:E15">
      <formula1>"All new art, RWC with all new art, RWC to existing art, New - use existing art,New - Redraw, Eyespot Trial,Dieline Drawing"</formula1>
    </dataValidation>
    <dataValidation allowBlank="1" showInputMessage="1" showErrorMessage="1" prompt="If known, enter # of full web (cust step) content proofs required." sqref="H19:J19"/>
    <dataValidation type="list" allowBlank="1" showInputMessage="1" showErrorMessage="1" prompt="Select yes if there are common elements that will reduce overall time between items." sqref="C24:D24">
      <formula1>"Yes, No, N/A"</formula1>
    </dataValidation>
    <dataValidation type="list" allowBlank="1" showInputMessage="1" showErrorMessage="1" sqref="L7">
      <formula1>"New, RWC"</formula1>
    </dataValidation>
    <dataValidation type="list" allowBlank="1" showInputMessage="1" showErrorMessage="1" sqref="L5">
      <formula1>"LC,ST,TC,LH,SL,BH,VH,IW,LW"</formula1>
    </dataValidation>
    <dataValidation allowBlank="1" showInputMessage="1" showErrorMessage="1" prompt="Enter email address." sqref="E5"/>
    <dataValidation type="list" allowBlank="1" showInputMessage="1" showErrorMessage="1" sqref="C9">
      <formula1>"Registered, Random"</formula1>
    </dataValidation>
    <dataValidation allowBlank="1" showInputMessage="1" showErrorMessage="1" prompt="Does not include contract proofs. Enter number of contract proofs below." sqref="F11"/>
    <dataValidation type="whole" allowBlank="1" showInputMessage="1" showErrorMessage="1" sqref="A18:E18 G18:L18">
      <formula1>0</formula1>
      <formula2>2000</formula2>
    </dataValidation>
    <dataValidation type="list" allowBlank="1" showInputMessage="1" showErrorMessage="1" sqref="K9">
      <formula1>"OD, ID"</formula1>
    </dataValidation>
  </dataValidations>
  <printOptions horizontalCentered="1" verticalCentered="1"/>
  <pageMargins left="0.30000000000000004" right="0.30000000000000004" top="0.2" bottom="0.2" header="0.39000000000000007" footer="0.39000000000000007"/>
  <pageSetup scale="70" orientation="portrait" horizontalDpi="4294967292" verticalDpi="4294967292"/>
  <headerFooter>
    <oddFooter>&amp;C&amp;"Arial,Regular"&amp;11&amp;K000000Issue Date: 01-Feb-16  Revision No.: 1  Revision Date: 19-June-17</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10" r:id="rId3" name="Option Button 86">
              <controlPr defaultSize="0" autoFill="0" autoLine="0" autoPict="0">
                <anchor moveWithCells="1">
                  <from>
                    <xdr:col>2</xdr:col>
                    <xdr:colOff>9525</xdr:colOff>
                    <xdr:row>20</xdr:row>
                    <xdr:rowOff>66675</xdr:rowOff>
                  </from>
                  <to>
                    <xdr:col>2</xdr:col>
                    <xdr:colOff>409575</xdr:colOff>
                    <xdr:row>20</xdr:row>
                    <xdr:rowOff>276225</xdr:rowOff>
                  </to>
                </anchor>
              </controlPr>
            </control>
          </mc:Choice>
        </mc:AlternateContent>
        <mc:AlternateContent xmlns:mc="http://schemas.openxmlformats.org/markup-compatibility/2006">
          <mc:Choice Requires="x14">
            <control shapeId="1111" r:id="rId4" name="Option Button 87">
              <controlPr defaultSize="0" autoFill="0" autoLine="0" autoPict="0">
                <anchor moveWithCells="1">
                  <from>
                    <xdr:col>5</xdr:col>
                    <xdr:colOff>0</xdr:colOff>
                    <xdr:row>20</xdr:row>
                    <xdr:rowOff>66675</xdr:rowOff>
                  </from>
                  <to>
                    <xdr:col>5</xdr:col>
                    <xdr:colOff>390525</xdr:colOff>
                    <xdr:row>20</xdr:row>
                    <xdr:rowOff>276225</xdr:rowOff>
                  </to>
                </anchor>
              </controlPr>
            </control>
          </mc:Choice>
        </mc:AlternateContent>
        <mc:AlternateContent xmlns:mc="http://schemas.openxmlformats.org/markup-compatibility/2006">
          <mc:Choice Requires="x14">
            <control shapeId="1112" r:id="rId5" name="Option Button 88">
              <controlPr defaultSize="0" autoFill="0" autoLine="0" autoPict="0">
                <anchor moveWithCells="1">
                  <from>
                    <xdr:col>8</xdr:col>
                    <xdr:colOff>0</xdr:colOff>
                    <xdr:row>20</xdr:row>
                    <xdr:rowOff>66675</xdr:rowOff>
                  </from>
                  <to>
                    <xdr:col>8</xdr:col>
                    <xdr:colOff>390525</xdr:colOff>
                    <xdr:row>20</xdr:row>
                    <xdr:rowOff>276225</xdr:rowOff>
                  </to>
                </anchor>
              </controlPr>
            </control>
          </mc:Choice>
        </mc:AlternateContent>
        <mc:AlternateContent xmlns:mc="http://schemas.openxmlformats.org/markup-compatibility/2006">
          <mc:Choice Requires="x14">
            <control shapeId="1113" r:id="rId6" name="Option Button 89">
              <controlPr defaultSize="0" autoFill="0" autoLine="0" autoPict="0">
                <anchor moveWithCells="1">
                  <from>
                    <xdr:col>2</xdr:col>
                    <xdr:colOff>9525</xdr:colOff>
                    <xdr:row>21</xdr:row>
                    <xdr:rowOff>47625</xdr:rowOff>
                  </from>
                  <to>
                    <xdr:col>2</xdr:col>
                    <xdr:colOff>409575</xdr:colOff>
                    <xdr:row>21</xdr:row>
                    <xdr:rowOff>266700</xdr:rowOff>
                  </to>
                </anchor>
              </controlPr>
            </control>
          </mc:Choice>
        </mc:AlternateContent>
        <mc:AlternateContent xmlns:mc="http://schemas.openxmlformats.org/markup-compatibility/2006">
          <mc:Choice Requires="x14">
            <control shapeId="1114" r:id="rId7" name="Option Button 90">
              <controlPr defaultSize="0" autoFill="0" autoLine="0" autoPict="0">
                <anchor moveWithCells="1">
                  <from>
                    <xdr:col>5</xdr:col>
                    <xdr:colOff>0</xdr:colOff>
                    <xdr:row>21</xdr:row>
                    <xdr:rowOff>47625</xdr:rowOff>
                  </from>
                  <to>
                    <xdr:col>5</xdr:col>
                    <xdr:colOff>390525</xdr:colOff>
                    <xdr:row>21</xdr:row>
                    <xdr:rowOff>266700</xdr:rowOff>
                  </to>
                </anchor>
              </controlPr>
            </control>
          </mc:Choice>
        </mc:AlternateContent>
        <mc:AlternateContent xmlns:mc="http://schemas.openxmlformats.org/markup-compatibility/2006">
          <mc:Choice Requires="x14">
            <control shapeId="1115" r:id="rId8" name="Option Button 91">
              <controlPr defaultSize="0" autoFill="0" autoLine="0" autoPict="0">
                <anchor moveWithCells="1">
                  <from>
                    <xdr:col>8</xdr:col>
                    <xdr:colOff>0</xdr:colOff>
                    <xdr:row>21</xdr:row>
                    <xdr:rowOff>47625</xdr:rowOff>
                  </from>
                  <to>
                    <xdr:col>8</xdr:col>
                    <xdr:colOff>390525</xdr:colOff>
                    <xdr:row>21</xdr:row>
                    <xdr:rowOff>266700</xdr:rowOff>
                  </to>
                </anchor>
              </controlPr>
            </control>
          </mc:Choice>
        </mc:AlternateContent>
        <mc:AlternateContent xmlns:mc="http://schemas.openxmlformats.org/markup-compatibility/2006">
          <mc:Choice Requires="x14">
            <control shapeId="1124" r:id="rId9" name="Option Button 100">
              <controlPr defaultSize="0" autoFill="0" autoLine="0" autoPict="0">
                <anchor moveWithCells="1">
                  <from>
                    <xdr:col>2</xdr:col>
                    <xdr:colOff>9525</xdr:colOff>
                    <xdr:row>19</xdr:row>
                    <xdr:rowOff>47625</xdr:rowOff>
                  </from>
                  <to>
                    <xdr:col>2</xdr:col>
                    <xdr:colOff>409575</xdr:colOff>
                    <xdr:row>19</xdr:row>
                    <xdr:rowOff>266700</xdr:rowOff>
                  </to>
                </anchor>
              </controlPr>
            </control>
          </mc:Choice>
        </mc:AlternateContent>
        <mc:AlternateContent xmlns:mc="http://schemas.openxmlformats.org/markup-compatibility/2006">
          <mc:Choice Requires="x14">
            <control shapeId="1125" r:id="rId10" name="Option Button 101">
              <controlPr defaultSize="0" autoFill="0" autoLine="0" autoPict="0">
                <anchor moveWithCells="1">
                  <from>
                    <xdr:col>5</xdr:col>
                    <xdr:colOff>0</xdr:colOff>
                    <xdr:row>19</xdr:row>
                    <xdr:rowOff>47625</xdr:rowOff>
                  </from>
                  <to>
                    <xdr:col>5</xdr:col>
                    <xdr:colOff>390525</xdr:colOff>
                    <xdr:row>19</xdr:row>
                    <xdr:rowOff>266700</xdr:rowOff>
                  </to>
                </anchor>
              </controlPr>
            </control>
          </mc:Choice>
        </mc:AlternateContent>
        <mc:AlternateContent xmlns:mc="http://schemas.openxmlformats.org/markup-compatibility/2006">
          <mc:Choice Requires="x14">
            <control shapeId="1321" r:id="rId11" name="Group Box 297">
              <controlPr defaultSize="0" autoFill="0" autoPict="0">
                <anchor moveWithCells="1">
                  <from>
                    <xdr:col>1</xdr:col>
                    <xdr:colOff>923925</xdr:colOff>
                    <xdr:row>19</xdr:row>
                    <xdr:rowOff>0</xdr:rowOff>
                  </from>
                  <to>
                    <xdr:col>11</xdr:col>
                    <xdr:colOff>752475</xdr:colOff>
                    <xdr:row>22</xdr:row>
                    <xdr:rowOff>0</xdr:rowOff>
                  </to>
                </anchor>
              </controlPr>
            </control>
          </mc:Choice>
        </mc:AlternateContent>
        <mc:AlternateContent xmlns:mc="http://schemas.openxmlformats.org/markup-compatibility/2006">
          <mc:Choice Requires="x14">
            <control shapeId="1333" r:id="rId12" name="Option Button 309">
              <controlPr defaultSize="0" autoFill="0" autoLine="0" autoPict="0">
                <anchor moveWithCells="1">
                  <from>
                    <xdr:col>0</xdr:col>
                    <xdr:colOff>38100</xdr:colOff>
                    <xdr:row>49</xdr:row>
                    <xdr:rowOff>38100</xdr:rowOff>
                  </from>
                  <to>
                    <xdr:col>0</xdr:col>
                    <xdr:colOff>428625</xdr:colOff>
                    <xdr:row>49</xdr:row>
                    <xdr:rowOff>295275</xdr:rowOff>
                  </to>
                </anchor>
              </controlPr>
            </control>
          </mc:Choice>
        </mc:AlternateContent>
        <mc:AlternateContent xmlns:mc="http://schemas.openxmlformats.org/markup-compatibility/2006">
          <mc:Choice Requires="x14">
            <control shapeId="1334" r:id="rId13" name="Option Button 310">
              <controlPr defaultSize="0" autoFill="0" autoLine="0" autoPict="0">
                <anchor moveWithCells="1">
                  <from>
                    <xdr:col>5</xdr:col>
                    <xdr:colOff>47625</xdr:colOff>
                    <xdr:row>49</xdr:row>
                    <xdr:rowOff>38100</xdr:rowOff>
                  </from>
                  <to>
                    <xdr:col>5</xdr:col>
                    <xdr:colOff>447675</xdr:colOff>
                    <xdr:row>49</xdr:row>
                    <xdr:rowOff>295275</xdr:rowOff>
                  </to>
                </anchor>
              </controlPr>
            </control>
          </mc:Choice>
        </mc:AlternateContent>
        <mc:AlternateContent xmlns:mc="http://schemas.openxmlformats.org/markup-compatibility/2006">
          <mc:Choice Requires="x14">
            <control shapeId="1350" r:id="rId14" name="Group Box 326">
              <controlPr defaultSize="0" autoFill="0" autoPict="0">
                <anchor moveWithCells="1">
                  <from>
                    <xdr:col>0</xdr:col>
                    <xdr:colOff>0</xdr:colOff>
                    <xdr:row>12</xdr:row>
                    <xdr:rowOff>0</xdr:rowOff>
                  </from>
                  <to>
                    <xdr:col>11</xdr:col>
                    <xdr:colOff>762000</xdr:colOff>
                    <xdr:row>12</xdr:row>
                    <xdr:rowOff>352425</xdr:rowOff>
                  </to>
                </anchor>
              </controlPr>
            </control>
          </mc:Choice>
        </mc:AlternateContent>
        <mc:AlternateContent xmlns:mc="http://schemas.openxmlformats.org/markup-compatibility/2006">
          <mc:Choice Requires="x14">
            <control shapeId="1351" r:id="rId15" name="Option Button 327">
              <controlPr defaultSize="0" autoFill="0" autoLine="0" autoPict="0">
                <anchor moveWithCells="1">
                  <from>
                    <xdr:col>0</xdr:col>
                    <xdr:colOff>28575</xdr:colOff>
                    <xdr:row>12</xdr:row>
                    <xdr:rowOff>66675</xdr:rowOff>
                  </from>
                  <to>
                    <xdr:col>0</xdr:col>
                    <xdr:colOff>419100</xdr:colOff>
                    <xdr:row>12</xdr:row>
                    <xdr:rowOff>276225</xdr:rowOff>
                  </to>
                </anchor>
              </controlPr>
            </control>
          </mc:Choice>
        </mc:AlternateContent>
        <mc:AlternateContent xmlns:mc="http://schemas.openxmlformats.org/markup-compatibility/2006">
          <mc:Choice Requires="x14">
            <control shapeId="1352" r:id="rId16" name="Option Button 328">
              <controlPr defaultSize="0" autoFill="0" autoLine="0" autoPict="0">
                <anchor moveWithCells="1">
                  <from>
                    <xdr:col>1</xdr:col>
                    <xdr:colOff>542925</xdr:colOff>
                    <xdr:row>12</xdr:row>
                    <xdr:rowOff>66675</xdr:rowOff>
                  </from>
                  <to>
                    <xdr:col>1</xdr:col>
                    <xdr:colOff>952500</xdr:colOff>
                    <xdr:row>12</xdr:row>
                    <xdr:rowOff>276225</xdr:rowOff>
                  </to>
                </anchor>
              </controlPr>
            </control>
          </mc:Choice>
        </mc:AlternateContent>
        <mc:AlternateContent xmlns:mc="http://schemas.openxmlformats.org/markup-compatibility/2006">
          <mc:Choice Requires="x14">
            <control shapeId="1353" r:id="rId17" name="Option Button 329">
              <controlPr defaultSize="0" autoFill="0" autoLine="0" autoPict="0">
                <anchor moveWithCells="1">
                  <from>
                    <xdr:col>3</xdr:col>
                    <xdr:colOff>0</xdr:colOff>
                    <xdr:row>12</xdr:row>
                    <xdr:rowOff>66675</xdr:rowOff>
                  </from>
                  <to>
                    <xdr:col>3</xdr:col>
                    <xdr:colOff>409575</xdr:colOff>
                    <xdr:row>12</xdr:row>
                    <xdr:rowOff>276225</xdr:rowOff>
                  </to>
                </anchor>
              </controlPr>
            </control>
          </mc:Choice>
        </mc:AlternateContent>
        <mc:AlternateContent xmlns:mc="http://schemas.openxmlformats.org/markup-compatibility/2006">
          <mc:Choice Requires="x14">
            <control shapeId="1560" r:id="rId18" name="Option Button 536">
              <controlPr defaultSize="0" autoFill="0" autoLine="0" autoPict="0">
                <anchor moveWithCells="1">
                  <from>
                    <xdr:col>4</xdr:col>
                    <xdr:colOff>495300</xdr:colOff>
                    <xdr:row>12</xdr:row>
                    <xdr:rowOff>66675</xdr:rowOff>
                  </from>
                  <to>
                    <xdr:col>5</xdr:col>
                    <xdr:colOff>85725</xdr:colOff>
                    <xdr:row>12</xdr:row>
                    <xdr:rowOff>276225</xdr:rowOff>
                  </to>
                </anchor>
              </controlPr>
            </control>
          </mc:Choice>
        </mc:AlternateContent>
        <mc:AlternateContent xmlns:mc="http://schemas.openxmlformats.org/markup-compatibility/2006">
          <mc:Choice Requires="x14">
            <control shapeId="1896" r:id="rId19" name="Option Button 872">
              <controlPr defaultSize="0" autoFill="0" autoLine="0" autoPict="0">
                <anchor moveWithCells="1">
                  <from>
                    <xdr:col>8</xdr:col>
                    <xdr:colOff>695325</xdr:colOff>
                    <xdr:row>12</xdr:row>
                    <xdr:rowOff>66675</xdr:rowOff>
                  </from>
                  <to>
                    <xdr:col>9</xdr:col>
                    <xdr:colOff>76200</xdr:colOff>
                    <xdr:row>12</xdr:row>
                    <xdr:rowOff>276225</xdr:rowOff>
                  </to>
                </anchor>
              </controlPr>
            </control>
          </mc:Choice>
        </mc:AlternateContent>
        <mc:AlternateContent xmlns:mc="http://schemas.openxmlformats.org/markup-compatibility/2006">
          <mc:Choice Requires="x14">
            <control shapeId="1971" r:id="rId20" name="Option Button 947">
              <controlPr defaultSize="0" autoFill="0" autoLine="0" autoPict="0">
                <anchor moveWithCells="1">
                  <from>
                    <xdr:col>8</xdr:col>
                    <xdr:colOff>0</xdr:colOff>
                    <xdr:row>19</xdr:row>
                    <xdr:rowOff>85725</xdr:rowOff>
                  </from>
                  <to>
                    <xdr:col>8</xdr:col>
                    <xdr:colOff>390525</xdr:colOff>
                    <xdr:row>19</xdr:row>
                    <xdr:rowOff>304800</xdr:rowOff>
                  </to>
                </anchor>
              </controlPr>
            </control>
          </mc:Choice>
        </mc:AlternateContent>
        <mc:AlternateContent xmlns:mc="http://schemas.openxmlformats.org/markup-compatibility/2006">
          <mc:Choice Requires="x14">
            <control shapeId="5148" r:id="rId21" name="Check Box 1052">
              <controlPr defaultSize="0" autoFill="0" autoLine="0" autoPict="0">
                <anchor moveWithCells="1">
                  <from>
                    <xdr:col>0</xdr:col>
                    <xdr:colOff>38100</xdr:colOff>
                    <xdr:row>10</xdr:row>
                    <xdr:rowOff>9525</xdr:rowOff>
                  </from>
                  <to>
                    <xdr:col>0</xdr:col>
                    <xdr:colOff>428625</xdr:colOff>
                    <xdr:row>10</xdr:row>
                    <xdr:rowOff>228600</xdr:rowOff>
                  </to>
                </anchor>
              </controlPr>
            </control>
          </mc:Choice>
        </mc:AlternateContent>
        <mc:AlternateContent xmlns:mc="http://schemas.openxmlformats.org/markup-compatibility/2006">
          <mc:Choice Requires="x14">
            <control shapeId="5326" r:id="rId22" name="Option Button 1230">
              <controlPr defaultSize="0" autoFill="0" autoLine="0" autoPict="0">
                <anchor moveWithCells="1">
                  <from>
                    <xdr:col>10</xdr:col>
                    <xdr:colOff>533400</xdr:colOff>
                    <xdr:row>12</xdr:row>
                    <xdr:rowOff>66675</xdr:rowOff>
                  </from>
                  <to>
                    <xdr:col>10</xdr:col>
                    <xdr:colOff>942975</xdr:colOff>
                    <xdr:row>12</xdr:row>
                    <xdr:rowOff>276225</xdr:rowOff>
                  </to>
                </anchor>
              </controlPr>
            </control>
          </mc:Choice>
        </mc:AlternateContent>
        <mc:AlternateContent xmlns:mc="http://schemas.openxmlformats.org/markup-compatibility/2006">
          <mc:Choice Requires="x14">
            <control shapeId="5328" r:id="rId23" name="Check Box 1232">
              <controlPr defaultSize="0" autoFill="0" autoLine="0" autoPict="0">
                <anchor moveWithCells="1">
                  <from>
                    <xdr:col>0</xdr:col>
                    <xdr:colOff>28575</xdr:colOff>
                    <xdr:row>44</xdr:row>
                    <xdr:rowOff>0</xdr:rowOff>
                  </from>
                  <to>
                    <xdr:col>0</xdr:col>
                    <xdr:colOff>419100</xdr:colOff>
                    <xdr:row>44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H29"/>
  <sheetViews>
    <sheetView showGridLines="0" view="pageLayout" zoomScale="115" zoomScaleNormal="115" zoomScalePageLayoutView="115" workbookViewId="0">
      <selection activeCell="E17" sqref="E17"/>
    </sheetView>
  </sheetViews>
  <sheetFormatPr defaultColWidth="10.875" defaultRowHeight="15.75" x14ac:dyDescent="0.25"/>
  <cols>
    <col min="1" max="1" width="10.625" style="3" customWidth="1"/>
    <col min="2" max="2" width="9.125" style="3" customWidth="1"/>
    <col min="3" max="3" width="17.125" style="3" customWidth="1"/>
    <col min="4" max="4" width="7.875" style="3" customWidth="1"/>
    <col min="5" max="5" width="10.625" style="3" customWidth="1"/>
    <col min="6" max="8" width="7.625" style="3" customWidth="1"/>
    <col min="9" max="16384" width="10.875" style="3"/>
  </cols>
  <sheetData>
    <row r="1" spans="1:8" ht="53.1" customHeight="1" x14ac:dyDescent="0.25">
      <c r="F1" s="334"/>
      <c r="G1" s="334"/>
      <c r="H1" s="334"/>
    </row>
    <row r="2" spans="1:8" ht="33.950000000000003" customHeight="1" thickBot="1" x14ac:dyDescent="0.3">
      <c r="A2" s="339" t="s">
        <v>0</v>
      </c>
      <c r="B2" s="339"/>
      <c r="C2" s="339"/>
      <c r="D2" s="339"/>
      <c r="E2" s="339"/>
      <c r="F2" s="66"/>
      <c r="G2" s="66"/>
      <c r="H2" s="66"/>
    </row>
    <row r="3" spans="1:8" s="5" customFormat="1" ht="20.100000000000001" customHeight="1" x14ac:dyDescent="0.25">
      <c r="A3" s="335" t="s">
        <v>41</v>
      </c>
      <c r="B3" s="335"/>
      <c r="C3" s="336">
        <f>'Quote Request'!B5</f>
        <v>0</v>
      </c>
      <c r="D3" s="336"/>
      <c r="E3" s="336"/>
      <c r="F3" s="3"/>
      <c r="G3" s="3"/>
      <c r="H3" s="3"/>
    </row>
    <row r="4" spans="1:8" s="5" customFormat="1" ht="20.100000000000001" customHeight="1" x14ac:dyDescent="0.25">
      <c r="A4" s="337" t="s">
        <v>59</v>
      </c>
      <c r="B4" s="337"/>
      <c r="C4" s="340">
        <f>'Quote Request'!E5</f>
        <v>0</v>
      </c>
      <c r="D4" s="340"/>
      <c r="E4" s="340"/>
      <c r="F4" s="3"/>
      <c r="G4" s="3"/>
      <c r="H4" s="3"/>
    </row>
    <row r="5" spans="1:8" s="5" customFormat="1" ht="20.100000000000001" customHeight="1" x14ac:dyDescent="0.25">
      <c r="A5" s="200" t="s">
        <v>101</v>
      </c>
      <c r="B5" s="200"/>
      <c r="C5" s="206">
        <f>'Quote Request'!J5</f>
        <v>0</v>
      </c>
      <c r="D5" s="201"/>
      <c r="E5" s="201"/>
      <c r="F5" s="3"/>
      <c r="G5" s="3"/>
      <c r="H5" s="3"/>
    </row>
    <row r="6" spans="1:8" s="5" customFormat="1" ht="20.100000000000001" customHeight="1" x14ac:dyDescent="0.25">
      <c r="A6" s="337" t="s">
        <v>1</v>
      </c>
      <c r="B6" s="337"/>
      <c r="C6" s="338">
        <f>'Quote Request'!B6</f>
        <v>0</v>
      </c>
      <c r="D6" s="338"/>
      <c r="E6" s="338"/>
      <c r="F6" s="3"/>
      <c r="G6" s="3"/>
      <c r="H6" s="3"/>
    </row>
    <row r="7" spans="1:8" s="5" customFormat="1" ht="41.1" customHeight="1" thickBot="1" x14ac:dyDescent="0.3">
      <c r="A7" s="320" t="s">
        <v>2</v>
      </c>
      <c r="B7" s="320"/>
      <c r="C7" s="321">
        <f>'Quote Request'!B7</f>
        <v>0</v>
      </c>
      <c r="D7" s="322"/>
      <c r="E7" s="322"/>
      <c r="F7" s="3"/>
      <c r="G7" s="3"/>
      <c r="H7" s="3"/>
    </row>
    <row r="8" spans="1:8" s="5" customFormat="1" ht="20.100000000000001" customHeight="1" thickBot="1" x14ac:dyDescent="0.3">
      <c r="A8" s="4"/>
      <c r="B8" s="4"/>
      <c r="C8" s="4"/>
      <c r="D8" s="6"/>
      <c r="E8" s="6"/>
      <c r="F8" s="4"/>
      <c r="G8" s="6"/>
      <c r="H8" s="6"/>
    </row>
    <row r="9" spans="1:8" s="9" customFormat="1" ht="21.95" customHeight="1" thickBot="1" x14ac:dyDescent="0.3">
      <c r="A9" s="93" t="s">
        <v>12</v>
      </c>
      <c r="B9" s="93"/>
      <c r="C9" s="32"/>
      <c r="D9" s="20"/>
      <c r="E9" s="93" t="s">
        <v>14</v>
      </c>
      <c r="F9"/>
      <c r="G9"/>
      <c r="H9"/>
    </row>
    <row r="10" spans="1:8" s="10" customFormat="1" ht="18.95" customHeight="1" x14ac:dyDescent="0.25">
      <c r="A10" s="330" t="s">
        <v>38</v>
      </c>
      <c r="B10" s="330"/>
      <c r="C10" s="45"/>
      <c r="D10" s="21"/>
      <c r="E10" s="94">
        <f>SUM('Quote Request'!L27+'Quote Request'!L29+'Quote Request'!L30+'Quote Request'!L32+'Quote Request'!L33+'Quote Request'!L35+'Quote Request'!L37+'Quote Request'!L39)*1.25</f>
        <v>0</v>
      </c>
      <c r="F10"/>
      <c r="G10"/>
      <c r="H10"/>
    </row>
    <row r="11" spans="1:8" s="10" customFormat="1" ht="18.95" customHeight="1" x14ac:dyDescent="0.25">
      <c r="A11" s="98" t="s">
        <v>46</v>
      </c>
      <c r="B11" s="98"/>
      <c r="C11" s="45"/>
      <c r="D11" s="21"/>
      <c r="E11" s="94">
        <f>('Quote Request'!L28+'Quote Request'!L31+'Quote Request'!L40)*1.25</f>
        <v>0</v>
      </c>
      <c r="F11"/>
      <c r="G11"/>
      <c r="H11"/>
    </row>
    <row r="12" spans="1:8" s="10" customFormat="1" ht="18.95" customHeight="1" x14ac:dyDescent="0.25">
      <c r="A12" s="326" t="s">
        <v>19</v>
      </c>
      <c r="B12" s="327"/>
      <c r="C12" s="44"/>
      <c r="D12" s="22"/>
      <c r="E12" s="95">
        <f>'Quote Request'!L34*1.25</f>
        <v>0</v>
      </c>
      <c r="F12"/>
      <c r="G12"/>
      <c r="H12"/>
    </row>
    <row r="13" spans="1:8" s="10" customFormat="1" ht="18.95" customHeight="1" x14ac:dyDescent="0.25">
      <c r="A13" s="326" t="s">
        <v>27</v>
      </c>
      <c r="B13" s="327"/>
      <c r="C13" s="44"/>
      <c r="D13" s="22"/>
      <c r="E13" s="95">
        <f>'Quote Request'!L36*1.25</f>
        <v>0</v>
      </c>
      <c r="F13"/>
      <c r="G13"/>
      <c r="H13"/>
    </row>
    <row r="14" spans="1:8" s="10" customFormat="1" ht="18.95" customHeight="1" x14ac:dyDescent="0.25">
      <c r="A14" s="328" t="s">
        <v>103</v>
      </c>
      <c r="B14" s="329"/>
      <c r="C14" s="119"/>
      <c r="D14" s="23"/>
      <c r="E14" s="121">
        <f>('Quote Request'!L38+'Quote Request'!L41)*1.25</f>
        <v>0</v>
      </c>
      <c r="F14" s="67"/>
      <c r="G14" s="67"/>
      <c r="H14" s="67"/>
    </row>
    <row r="15" spans="1:8" s="10" customFormat="1" ht="18.95" customHeight="1" x14ac:dyDescent="0.25">
      <c r="A15" s="328" t="str">
        <f>'Quote Request'!A42</f>
        <v/>
      </c>
      <c r="B15" s="329"/>
      <c r="C15" s="232"/>
      <c r="D15" s="23"/>
      <c r="E15" s="121">
        <f>'Quote Request'!L42*1.25</f>
        <v>0</v>
      </c>
      <c r="F15" s="67"/>
      <c r="G15" s="67"/>
      <c r="H15" s="67"/>
    </row>
    <row r="16" spans="1:8" s="10" customFormat="1" ht="18.95" customHeight="1" thickBot="1" x14ac:dyDescent="0.3">
      <c r="A16" s="323" t="str">
        <f>'Quote Request'!A43</f>
        <v/>
      </c>
      <c r="B16" s="324"/>
      <c r="C16" s="117"/>
      <c r="D16" s="30"/>
      <c r="E16" s="96">
        <f>'Quote Request'!L43*1.25</f>
        <v>0</v>
      </c>
      <c r="F16" s="67"/>
      <c r="G16" s="67"/>
      <c r="H16" s="67"/>
    </row>
    <row r="17" spans="1:8" s="10" customFormat="1" ht="20.100000000000001" customHeight="1" thickBot="1" x14ac:dyDescent="0.3">
      <c r="A17" s="24"/>
      <c r="B17" s="24"/>
      <c r="C17" s="24"/>
      <c r="D17" s="92" t="s">
        <v>15</v>
      </c>
      <c r="E17" s="97">
        <f>SUM(E10:E16)</f>
        <v>0</v>
      </c>
      <c r="F17" s="4"/>
      <c r="G17" s="4"/>
      <c r="H17" s="4"/>
    </row>
    <row r="18" spans="1:8" s="10" customFormat="1" ht="20.100000000000001" customHeight="1" thickBot="1" x14ac:dyDescent="0.3">
      <c r="A18" s="4"/>
      <c r="B18" s="4"/>
      <c r="C18" s="4"/>
      <c r="D18" s="92" t="s">
        <v>17</v>
      </c>
      <c r="E18" s="97" t="e">
        <f>E17/'Quote Request'!C18</f>
        <v>#DIV/0!</v>
      </c>
      <c r="F18" s="4"/>
      <c r="G18" s="4"/>
      <c r="H18" s="4"/>
    </row>
    <row r="19" spans="1:8" ht="20.100000000000001" customHeight="1" thickBot="1" x14ac:dyDescent="0.3"/>
    <row r="20" spans="1:8" ht="20.100000000000001" customHeight="1" thickBot="1" x14ac:dyDescent="0.3">
      <c r="A20" s="331" t="s">
        <v>68</v>
      </c>
      <c r="B20" s="331"/>
      <c r="C20" s="332">
        <f>'Quote Request'!J15</f>
        <v>0</v>
      </c>
      <c r="D20" s="332"/>
      <c r="E20" s="332"/>
    </row>
    <row r="21" spans="1:8" ht="20.100000000000001" customHeight="1" x14ac:dyDescent="0.25">
      <c r="A21" s="106"/>
      <c r="B21" s="106"/>
      <c r="C21" s="107"/>
      <c r="D21" s="107"/>
      <c r="E21" s="107"/>
    </row>
    <row r="22" spans="1:8" s="10" customFormat="1" ht="20.100000000000001" customHeight="1" thickBot="1" x14ac:dyDescent="0.3">
      <c r="A22" s="99" t="s">
        <v>16</v>
      </c>
      <c r="B22" s="36"/>
      <c r="C22" s="36"/>
      <c r="D22" s="36"/>
      <c r="E22" s="36"/>
      <c r="F22" s="36"/>
      <c r="G22" s="36"/>
      <c r="H22" s="36"/>
    </row>
    <row r="23" spans="1:8" s="10" customFormat="1" ht="29.1" customHeight="1" thickBot="1" x14ac:dyDescent="0.3">
      <c r="A23" s="333">
        <f>IF('Quote Request'!M45, "Price based on working digital files supplied by customer. Quote subject to review upon receipt and assessment of supplied files.",0)</f>
        <v>0</v>
      </c>
      <c r="B23" s="333"/>
      <c r="C23" s="333"/>
      <c r="D23" s="333"/>
      <c r="E23" s="333"/>
      <c r="F23"/>
      <c r="G23"/>
      <c r="H23"/>
    </row>
    <row r="24" spans="1:8" s="10" customFormat="1" ht="29.1" customHeight="1" x14ac:dyDescent="0.25">
      <c r="A24" s="69"/>
      <c r="B24" s="69"/>
      <c r="C24" s="69"/>
      <c r="D24" s="69"/>
      <c r="E24" s="69"/>
      <c r="F24"/>
      <c r="G24"/>
      <c r="H24"/>
    </row>
    <row r="25" spans="1:8" s="10" customFormat="1" ht="29.1" customHeight="1" x14ac:dyDescent="0.25">
      <c r="A25" s="69"/>
      <c r="B25" s="69"/>
      <c r="C25" s="69"/>
      <c r="D25" s="69"/>
      <c r="E25" s="69"/>
      <c r="F25"/>
      <c r="G25"/>
      <c r="H25"/>
    </row>
    <row r="26" spans="1:8" s="10" customFormat="1" ht="29.1" customHeight="1" x14ac:dyDescent="0.25">
      <c r="A26" s="69"/>
      <c r="B26" s="69"/>
      <c r="C26" s="69"/>
      <c r="D26" s="69"/>
      <c r="E26" s="69"/>
      <c r="F26"/>
      <c r="G26"/>
      <c r="H26"/>
    </row>
    <row r="27" spans="1:8" s="10" customFormat="1" ht="29.1" customHeight="1" x14ac:dyDescent="0.25">
      <c r="A27" s="69"/>
      <c r="B27" s="69"/>
      <c r="C27" s="69"/>
      <c r="D27" s="69"/>
      <c r="E27" s="69"/>
      <c r="F27"/>
      <c r="G27"/>
      <c r="H27"/>
    </row>
    <row r="28" spans="1:8" s="10" customFormat="1" ht="29.1" customHeight="1" thickBot="1" x14ac:dyDescent="0.3">
      <c r="A28" s="70"/>
      <c r="B28" s="70"/>
      <c r="C28" s="70"/>
      <c r="D28" s="70"/>
      <c r="E28" s="70"/>
      <c r="F28" s="67"/>
      <c r="G28" s="67"/>
      <c r="H28" s="67"/>
    </row>
    <row r="29" spans="1:8" s="10" customFormat="1" ht="36.950000000000003" customHeight="1" thickBot="1" x14ac:dyDescent="0.3">
      <c r="A29" s="325" t="s">
        <v>58</v>
      </c>
      <c r="B29" s="325"/>
      <c r="C29" s="325"/>
      <c r="D29" s="325"/>
      <c r="E29" s="325"/>
      <c r="F29" s="71"/>
      <c r="G29" s="71"/>
      <c r="H29" s="71"/>
    </row>
  </sheetData>
  <sheetProtection sheet="1" objects="1" scenarios="1" insertHyperlinks="0"/>
  <mergeCells count="20">
    <mergeCell ref="F1:H1"/>
    <mergeCell ref="A3:B3"/>
    <mergeCell ref="C3:E3"/>
    <mergeCell ref="A6:B6"/>
    <mergeCell ref="C6:E6"/>
    <mergeCell ref="A2:E2"/>
    <mergeCell ref="A4:B4"/>
    <mergeCell ref="C4:E4"/>
    <mergeCell ref="A7:B7"/>
    <mergeCell ref="C7:E7"/>
    <mergeCell ref="A16:B16"/>
    <mergeCell ref="A29:E29"/>
    <mergeCell ref="A12:B12"/>
    <mergeCell ref="A14:B14"/>
    <mergeCell ref="A10:B10"/>
    <mergeCell ref="A20:B20"/>
    <mergeCell ref="C20:E20"/>
    <mergeCell ref="A13:B13"/>
    <mergeCell ref="A23:E23"/>
    <mergeCell ref="A15:B15"/>
  </mergeCells>
  <phoneticPr fontId="1" type="noConversion"/>
  <conditionalFormatting sqref="A23:E23">
    <cfRule type="beginsWith" dxfId="0" priority="1" operator="beginsWith" text="Price">
      <formula>LEFT(A23,LEN("Price"))="Price"</formula>
    </cfRule>
  </conditionalFormatting>
  <dataValidations count="1">
    <dataValidation allowBlank="1" showInputMessage="1" showErrorMessage="1" prompt="Enter a brief description." sqref="C7:E7"/>
  </dataValidations>
  <printOptions horizontalCentered="1"/>
  <pageMargins left="0.79000000000000015" right="0.79000000000000015" top="0.79000000000000015" bottom="0.79000000000000015" header="0.39000000000000007" footer="0.39000000000000007"/>
  <pageSetup scale="95" orientation="portrait" horizontalDpi="4294967292" verticalDpi="4294967292" r:id="rId1"/>
  <headerFooter>
    <oddFooter>&amp;C&amp;"Arial,Regular"&amp;11&amp;K000000Issue Date: 01-Feb-16  Revision No.: 1  Revision Date: 19-June-17</oddFooter>
  </headerFooter>
  <drawing r:id="rId2"/>
  <extLst>
    <ext xmlns:mx="http://schemas.microsoft.com/office/mac/excel/2008/main" uri="{64002731-A6B0-56B0-2670-7721B7C09600}">
      <mx:PLV Mode="1" OnePage="0" WScale="10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H27"/>
  <sheetViews>
    <sheetView showGridLines="0" view="pageLayout" zoomScale="115" zoomScaleNormal="115" zoomScalePageLayoutView="115" workbookViewId="0">
      <selection activeCell="A16" sqref="A16:E16"/>
    </sheetView>
  </sheetViews>
  <sheetFormatPr defaultColWidth="10.875" defaultRowHeight="15.75" x14ac:dyDescent="0.25"/>
  <cols>
    <col min="1" max="1" width="10.625" style="3" customWidth="1"/>
    <col min="2" max="2" width="9.125" style="3" customWidth="1"/>
    <col min="3" max="3" width="18.5" style="3" customWidth="1"/>
    <col min="4" max="4" width="6.875" style="3" customWidth="1"/>
    <col min="5" max="5" width="10.625" style="3" customWidth="1"/>
    <col min="6" max="8" width="7.625" style="3" customWidth="1"/>
    <col min="9" max="16384" width="10.875" style="3"/>
  </cols>
  <sheetData>
    <row r="1" spans="1:8" ht="30" customHeight="1" x14ac:dyDescent="0.25">
      <c r="D1" s="205" t="s">
        <v>99</v>
      </c>
      <c r="E1" s="205">
        <f>'Quote Request'!K1</f>
        <v>0</v>
      </c>
      <c r="F1" s="334"/>
      <c r="G1" s="334"/>
      <c r="H1" s="334"/>
    </row>
    <row r="2" spans="1:8" ht="29.1" customHeight="1" x14ac:dyDescent="0.25">
      <c r="B2" s="204"/>
      <c r="C2" s="204"/>
      <c r="D2" s="205" t="s">
        <v>100</v>
      </c>
      <c r="E2" s="205">
        <f>'Quote Request'!K2</f>
        <v>0</v>
      </c>
      <c r="F2" s="202"/>
      <c r="G2" s="202"/>
      <c r="H2" s="202"/>
    </row>
    <row r="3" spans="1:8" ht="30" customHeight="1" thickBot="1" x14ac:dyDescent="0.3">
      <c r="A3" s="339" t="s">
        <v>96</v>
      </c>
      <c r="B3" s="339"/>
      <c r="C3" s="339"/>
      <c r="D3" s="205" t="s">
        <v>98</v>
      </c>
      <c r="E3" s="207">
        <f>'Quote Request'!K3</f>
        <v>0</v>
      </c>
      <c r="F3" s="202"/>
      <c r="G3" s="202"/>
      <c r="H3" s="202"/>
    </row>
    <row r="4" spans="1:8" s="5" customFormat="1" ht="20.100000000000001" customHeight="1" x14ac:dyDescent="0.25">
      <c r="A4" s="335" t="s">
        <v>97</v>
      </c>
      <c r="B4" s="335"/>
      <c r="C4" s="336" t="str">
        <f>'Quote Request'!E3</f>
        <v/>
      </c>
      <c r="D4" s="336"/>
      <c r="E4" s="336"/>
      <c r="F4" s="3"/>
      <c r="G4" s="3"/>
      <c r="H4" s="3"/>
    </row>
    <row r="5" spans="1:8" s="5" customFormat="1" ht="20.100000000000001" customHeight="1" x14ac:dyDescent="0.25">
      <c r="A5" s="337" t="s">
        <v>59</v>
      </c>
      <c r="B5" s="337"/>
      <c r="C5" s="340">
        <f>'Quote Request'!E5</f>
        <v>0</v>
      </c>
      <c r="D5" s="340"/>
      <c r="E5" s="340"/>
      <c r="F5" s="3"/>
      <c r="G5" s="3"/>
      <c r="H5" s="3"/>
    </row>
    <row r="6" spans="1:8" s="5" customFormat="1" ht="20.100000000000001" customHeight="1" x14ac:dyDescent="0.25">
      <c r="A6" s="200" t="s">
        <v>101</v>
      </c>
      <c r="B6" s="200"/>
      <c r="C6" s="206">
        <f>'Quote Request'!J5</f>
        <v>0</v>
      </c>
      <c r="D6" s="201"/>
      <c r="E6" s="201"/>
      <c r="F6" s="3"/>
      <c r="G6" s="3"/>
      <c r="H6" s="3"/>
    </row>
    <row r="7" spans="1:8" s="5" customFormat="1" ht="20.100000000000001" customHeight="1" x14ac:dyDescent="0.25">
      <c r="A7" s="337" t="s">
        <v>1</v>
      </c>
      <c r="B7" s="337"/>
      <c r="C7" s="338">
        <f>'Quote Request'!B6</f>
        <v>0</v>
      </c>
      <c r="D7" s="338"/>
      <c r="E7" s="338"/>
      <c r="F7" s="3"/>
      <c r="G7" s="3"/>
      <c r="H7" s="3"/>
    </row>
    <row r="8" spans="1:8" s="5" customFormat="1" ht="41.1" customHeight="1" thickBot="1" x14ac:dyDescent="0.3">
      <c r="A8" s="320" t="s">
        <v>2</v>
      </c>
      <c r="B8" s="320"/>
      <c r="C8" s="321">
        <f>'Quote Request'!B7</f>
        <v>0</v>
      </c>
      <c r="D8" s="322"/>
      <c r="E8" s="322"/>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93" t="s">
        <v>14</v>
      </c>
      <c r="F10"/>
      <c r="G10"/>
      <c r="H10"/>
    </row>
    <row r="11" spans="1:8" s="10" customFormat="1" ht="18.95" customHeight="1" x14ac:dyDescent="0.25">
      <c r="A11" s="330" t="s">
        <v>38</v>
      </c>
      <c r="B11" s="330"/>
      <c r="C11" s="198"/>
      <c r="D11" s="21"/>
      <c r="E11" s="94">
        <f>SUM('Quote Request'!L27+'Quote Request'!L29+'Quote Request'!L30+'Quote Request'!L32+'Quote Request'!L33+'Quote Request'!L35+'Quote Request'!L37+'Quote Request'!L39)</f>
        <v>0</v>
      </c>
      <c r="F11"/>
      <c r="G11"/>
      <c r="H11"/>
    </row>
    <row r="12" spans="1:8" s="10" customFormat="1" ht="18.95" customHeight="1" x14ac:dyDescent="0.25">
      <c r="A12" s="203" t="s">
        <v>46</v>
      </c>
      <c r="B12" s="203"/>
      <c r="C12" s="198"/>
      <c r="D12" s="21"/>
      <c r="E12" s="94">
        <f>('Quote Request'!L28+'Quote Request'!L31+'Quote Request'!L40)</f>
        <v>0</v>
      </c>
      <c r="F12"/>
      <c r="G12"/>
      <c r="H12"/>
    </row>
    <row r="13" spans="1:8" s="10" customFormat="1" ht="18.95" customHeight="1" x14ac:dyDescent="0.25">
      <c r="A13" s="326" t="s">
        <v>19</v>
      </c>
      <c r="B13" s="327"/>
      <c r="C13" s="199"/>
      <c r="D13" s="22"/>
      <c r="E13" s="95">
        <f>'Quote Request'!L34</f>
        <v>0</v>
      </c>
      <c r="F13"/>
      <c r="G13"/>
      <c r="H13"/>
    </row>
    <row r="14" spans="1:8" s="10" customFormat="1" ht="18.95" customHeight="1" x14ac:dyDescent="0.25">
      <c r="A14" s="326" t="s">
        <v>27</v>
      </c>
      <c r="B14" s="327"/>
      <c r="C14" s="199"/>
      <c r="D14" s="22"/>
      <c r="E14" s="95">
        <f>'Quote Request'!L36</f>
        <v>0</v>
      </c>
      <c r="F14"/>
      <c r="G14"/>
      <c r="H14"/>
    </row>
    <row r="15" spans="1:8" s="10" customFormat="1" ht="18.95" customHeight="1" x14ac:dyDescent="0.25">
      <c r="A15" s="328" t="s">
        <v>103</v>
      </c>
      <c r="B15" s="329"/>
      <c r="C15" s="197"/>
      <c r="D15" s="23"/>
      <c r="E15" s="121">
        <f>('Quote Request'!L38+'Quote Request'!L41)</f>
        <v>0</v>
      </c>
      <c r="F15" s="67"/>
      <c r="G15" s="67"/>
      <c r="H15" s="67"/>
    </row>
    <row r="16" spans="1:8" s="10" customFormat="1" ht="18.95" customHeight="1" x14ac:dyDescent="0.25">
      <c r="A16" s="326" t="str">
        <f>'Quote Request'!A42</f>
        <v/>
      </c>
      <c r="B16" s="327"/>
      <c r="C16" s="233"/>
      <c r="D16" s="22"/>
      <c r="E16" s="95">
        <f>'Quote Request'!L42</f>
        <v>0</v>
      </c>
      <c r="F16" s="67"/>
      <c r="G16" s="67"/>
      <c r="H16" s="67"/>
    </row>
    <row r="17" spans="1:8" s="10" customFormat="1" ht="18.95" customHeight="1" thickBot="1" x14ac:dyDescent="0.3">
      <c r="A17" s="343" t="str">
        <f>'Quote Request'!A43</f>
        <v/>
      </c>
      <c r="B17" s="344"/>
      <c r="C17" s="237"/>
      <c r="D17" s="242"/>
      <c r="E17" s="243">
        <f>'Quote Request'!L43</f>
        <v>0</v>
      </c>
      <c r="F17" s="67"/>
      <c r="G17" s="67"/>
      <c r="H17" s="67"/>
    </row>
    <row r="18" spans="1:8" s="10" customFormat="1" ht="20.100000000000001" customHeight="1" thickBot="1" x14ac:dyDescent="0.3">
      <c r="A18" s="24"/>
      <c r="B18" s="24"/>
      <c r="C18" s="342" t="s">
        <v>102</v>
      </c>
      <c r="D18" s="342"/>
      <c r="E18" s="97">
        <f>SUM(E11:E17)</f>
        <v>0</v>
      </c>
      <c r="F18" s="4"/>
      <c r="G18" s="4"/>
      <c r="H18" s="4"/>
    </row>
    <row r="19" spans="1:8" ht="20.100000000000001" customHeight="1" x14ac:dyDescent="0.25"/>
    <row r="20" spans="1:8" s="10" customFormat="1" ht="20.100000000000001" customHeight="1" thickBot="1" x14ac:dyDescent="0.3">
      <c r="A20" s="99" t="s">
        <v>16</v>
      </c>
      <c r="B20" s="36"/>
      <c r="C20" s="36"/>
      <c r="D20" s="36"/>
      <c r="E20" s="36"/>
      <c r="F20" s="36"/>
      <c r="G20" s="36"/>
      <c r="H20" s="36"/>
    </row>
    <row r="21" spans="1:8" s="10" customFormat="1" ht="29.1" customHeight="1" x14ac:dyDescent="0.25">
      <c r="A21" s="68"/>
      <c r="B21" s="68"/>
      <c r="C21" s="68"/>
      <c r="D21" s="68"/>
      <c r="E21" s="68"/>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x14ac:dyDescent="0.25">
      <c r="A25" s="69"/>
      <c r="B25" s="69"/>
      <c r="C25" s="69"/>
      <c r="D25" s="69"/>
      <c r="E25" s="69"/>
      <c r="F25"/>
      <c r="G25"/>
      <c r="H25"/>
    </row>
    <row r="26" spans="1:8" s="10" customFormat="1" ht="29.1" customHeight="1" thickBot="1" x14ac:dyDescent="0.3">
      <c r="A26" s="70"/>
      <c r="B26" s="70"/>
      <c r="C26" s="70"/>
      <c r="D26" s="70"/>
      <c r="E26" s="70"/>
      <c r="F26" s="67"/>
      <c r="G26" s="67"/>
      <c r="H26" s="67"/>
    </row>
    <row r="27" spans="1:8" s="10" customFormat="1" ht="36.950000000000003" customHeight="1" thickBot="1" x14ac:dyDescent="0.3">
      <c r="A27" s="341"/>
      <c r="B27" s="341"/>
      <c r="C27" s="341"/>
      <c r="D27" s="228"/>
      <c r="E27" s="228"/>
      <c r="F27" s="71"/>
      <c r="G27" s="71"/>
      <c r="H27" s="71"/>
    </row>
  </sheetData>
  <sheetProtection sheet="1" objects="1" scenarios="1" insertHyperlinks="0"/>
  <mergeCells count="18">
    <mergeCell ref="F1:H1"/>
    <mergeCell ref="A4:B4"/>
    <mergeCell ref="C4:E4"/>
    <mergeCell ref="A5:B5"/>
    <mergeCell ref="C5:E5"/>
    <mergeCell ref="A3:C3"/>
    <mergeCell ref="C7:E7"/>
    <mergeCell ref="A8:B8"/>
    <mergeCell ref="C8:E8"/>
    <mergeCell ref="A11:B11"/>
    <mergeCell ref="A27:C27"/>
    <mergeCell ref="C18:D18"/>
    <mergeCell ref="A13:B13"/>
    <mergeCell ref="A14:B14"/>
    <mergeCell ref="A15:B15"/>
    <mergeCell ref="A17:B17"/>
    <mergeCell ref="A7:B7"/>
    <mergeCell ref="A16:B16"/>
  </mergeCells>
  <phoneticPr fontId="15" type="noConversion"/>
  <dataValidations count="1">
    <dataValidation allowBlank="1" showInputMessage="1" showErrorMessage="1" prompt="Enter a brief description." sqref="C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r:id="rId1"/>
  <headerFooter>
    <oddFooter>&amp;C&amp;"Arial,Regular"&amp;11&amp;K000000Issue Date: 01-Feb-16  Revision No.: 1  Revision Date: 19-June-17</oddFooter>
  </headerFooter>
  <drawing r:id="rId2"/>
  <extLst>
    <ext xmlns:mx="http://schemas.microsoft.com/office/mac/excel/2008/main" uri="{64002731-A6B0-56B0-2670-7721B7C09600}">
      <mx:PLV Mode="1" OnePage="0" WScale="10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27"/>
  <sheetViews>
    <sheetView showGridLines="0" view="pageLayout" zoomScale="115" zoomScaleNormal="115" zoomScalePageLayoutView="115" workbookViewId="0">
      <selection activeCell="C4" sqref="C4:E4"/>
    </sheetView>
  </sheetViews>
  <sheetFormatPr defaultColWidth="10.875" defaultRowHeight="15.75" x14ac:dyDescent="0.25"/>
  <cols>
    <col min="1" max="1" width="10.625" style="3" customWidth="1"/>
    <col min="2" max="2" width="9.125" style="3" customWidth="1"/>
    <col min="3" max="3" width="18.5" style="3" customWidth="1"/>
    <col min="4" max="4" width="6.875" style="3" customWidth="1"/>
    <col min="5" max="5" width="10.625" style="3" customWidth="1"/>
    <col min="6" max="8" width="7.625" style="3" customWidth="1"/>
    <col min="9" max="16384" width="10.875" style="3"/>
  </cols>
  <sheetData>
    <row r="1" spans="1:8" ht="30" customHeight="1" x14ac:dyDescent="0.25">
      <c r="D1" s="205" t="s">
        <v>99</v>
      </c>
      <c r="E1" s="205">
        <f>'Quote Request'!K1</f>
        <v>0</v>
      </c>
      <c r="F1" s="334"/>
      <c r="G1" s="334"/>
      <c r="H1" s="334"/>
    </row>
    <row r="2" spans="1:8" ht="29.1" customHeight="1" x14ac:dyDescent="0.25">
      <c r="B2" s="204"/>
      <c r="C2" s="204"/>
      <c r="D2" s="205" t="s">
        <v>100</v>
      </c>
      <c r="E2" s="205">
        <f>'Quote Request'!K2</f>
        <v>0</v>
      </c>
      <c r="F2" s="211"/>
      <c r="G2" s="211"/>
      <c r="H2" s="211"/>
    </row>
    <row r="3" spans="1:8" ht="30" customHeight="1" thickBot="1" x14ac:dyDescent="0.3">
      <c r="A3" s="339" t="s">
        <v>96</v>
      </c>
      <c r="B3" s="339"/>
      <c r="C3" s="339"/>
      <c r="D3" s="205" t="s">
        <v>98</v>
      </c>
      <c r="E3" s="207">
        <f>'Quote Request'!K3</f>
        <v>0</v>
      </c>
      <c r="F3" s="211"/>
      <c r="G3" s="211"/>
      <c r="H3" s="211"/>
    </row>
    <row r="4" spans="1:8" s="5" customFormat="1" ht="20.100000000000001" customHeight="1" x14ac:dyDescent="0.25">
      <c r="A4" s="335" t="s">
        <v>97</v>
      </c>
      <c r="B4" s="335"/>
      <c r="C4" s="336" t="str">
        <f>'Quote Request'!E3</f>
        <v/>
      </c>
      <c r="D4" s="336"/>
      <c r="E4" s="336"/>
      <c r="F4" s="3"/>
      <c r="G4" s="3"/>
      <c r="H4" s="3"/>
    </row>
    <row r="5" spans="1:8" s="5" customFormat="1" ht="20.100000000000001" customHeight="1" x14ac:dyDescent="0.25">
      <c r="A5" s="337" t="s">
        <v>59</v>
      </c>
      <c r="B5" s="337"/>
      <c r="C5" s="340">
        <f>'Quote Request'!E5</f>
        <v>0</v>
      </c>
      <c r="D5" s="340"/>
      <c r="E5" s="340"/>
      <c r="F5" s="3"/>
      <c r="G5" s="3"/>
      <c r="H5" s="3"/>
    </row>
    <row r="6" spans="1:8" s="5" customFormat="1" ht="20.100000000000001" customHeight="1" x14ac:dyDescent="0.25">
      <c r="A6" s="212" t="s">
        <v>101</v>
      </c>
      <c r="B6" s="212"/>
      <c r="C6" s="206">
        <f>'Quote Request'!J5</f>
        <v>0</v>
      </c>
      <c r="D6" s="213"/>
      <c r="E6" s="213"/>
      <c r="F6" s="3"/>
      <c r="G6" s="3"/>
      <c r="H6" s="3"/>
    </row>
    <row r="7" spans="1:8" s="5" customFormat="1" ht="20.100000000000001" customHeight="1" x14ac:dyDescent="0.25">
      <c r="A7" s="337" t="s">
        <v>1</v>
      </c>
      <c r="B7" s="337"/>
      <c r="C7" s="338">
        <f>'Quote Request'!B6</f>
        <v>0</v>
      </c>
      <c r="D7" s="338"/>
      <c r="E7" s="338"/>
      <c r="F7" s="3"/>
      <c r="G7" s="3"/>
      <c r="H7" s="3"/>
    </row>
    <row r="8" spans="1:8" s="5" customFormat="1" ht="41.1" customHeight="1" thickBot="1" x14ac:dyDescent="0.3">
      <c r="A8" s="320" t="s">
        <v>2</v>
      </c>
      <c r="B8" s="320"/>
      <c r="C8" s="321">
        <f>'Quote Request'!B7</f>
        <v>0</v>
      </c>
      <c r="D8" s="322"/>
      <c r="E8" s="322"/>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215" t="s">
        <v>14</v>
      </c>
      <c r="F10"/>
      <c r="G10"/>
      <c r="H10"/>
    </row>
    <row r="11" spans="1:8" s="10" customFormat="1" ht="18.95" customHeight="1" x14ac:dyDescent="0.25">
      <c r="A11" s="330" t="s">
        <v>38</v>
      </c>
      <c r="B11" s="330"/>
      <c r="C11" s="209"/>
      <c r="D11" s="21"/>
      <c r="E11" s="216"/>
      <c r="F11"/>
      <c r="G11"/>
      <c r="H11"/>
    </row>
    <row r="12" spans="1:8" s="10" customFormat="1" ht="18.95" customHeight="1" x14ac:dyDescent="0.25">
      <c r="A12" s="214" t="s">
        <v>46</v>
      </c>
      <c r="B12" s="214"/>
      <c r="C12" s="209"/>
      <c r="D12" s="21"/>
      <c r="E12" s="216"/>
      <c r="F12"/>
      <c r="G12"/>
      <c r="H12"/>
    </row>
    <row r="13" spans="1:8" s="10" customFormat="1" ht="18.95" customHeight="1" x14ac:dyDescent="0.25">
      <c r="A13" s="326" t="s">
        <v>19</v>
      </c>
      <c r="B13" s="327"/>
      <c r="C13" s="210"/>
      <c r="D13" s="22"/>
      <c r="E13" s="217"/>
      <c r="F13"/>
      <c r="G13"/>
      <c r="H13"/>
    </row>
    <row r="14" spans="1:8" s="10" customFormat="1" ht="18.95" customHeight="1" x14ac:dyDescent="0.25">
      <c r="A14" s="326" t="s">
        <v>27</v>
      </c>
      <c r="B14" s="327"/>
      <c r="C14" s="210"/>
      <c r="D14" s="22"/>
      <c r="E14" s="217"/>
      <c r="F14"/>
      <c r="G14"/>
      <c r="H14"/>
    </row>
    <row r="15" spans="1:8" s="10" customFormat="1" ht="18.95" customHeight="1" x14ac:dyDescent="0.25">
      <c r="A15" s="328" t="s">
        <v>103</v>
      </c>
      <c r="B15" s="329"/>
      <c r="C15" s="208"/>
      <c r="D15" s="23"/>
      <c r="E15" s="218"/>
      <c r="F15" s="67"/>
      <c r="G15" s="67"/>
      <c r="H15" s="67"/>
    </row>
    <row r="16" spans="1:8" s="10" customFormat="1" ht="18.95" customHeight="1" x14ac:dyDescent="0.25">
      <c r="A16" s="326" t="str">
        <f>'Quote Request'!A42</f>
        <v/>
      </c>
      <c r="B16" s="327"/>
      <c r="C16" s="233"/>
      <c r="D16" s="22"/>
      <c r="E16" s="217"/>
      <c r="F16" s="67"/>
      <c r="G16" s="67"/>
      <c r="H16" s="67"/>
    </row>
    <row r="17" spans="1:8" s="10" customFormat="1" ht="18.95" customHeight="1" thickBot="1" x14ac:dyDescent="0.3">
      <c r="A17" s="343" t="str">
        <f>'Quote Request'!A43</f>
        <v/>
      </c>
      <c r="B17" s="344"/>
      <c r="C17" s="237"/>
      <c r="D17" s="242"/>
      <c r="E17" s="244"/>
      <c r="F17" s="67"/>
      <c r="G17" s="67"/>
      <c r="H17" s="67"/>
    </row>
    <row r="18" spans="1:8" s="10" customFormat="1" ht="20.100000000000001" customHeight="1" thickBot="1" x14ac:dyDescent="0.3">
      <c r="A18" s="24"/>
      <c r="B18" s="24"/>
      <c r="C18" s="342" t="s">
        <v>102</v>
      </c>
      <c r="D18" s="342"/>
      <c r="E18" s="97">
        <f>SUM(E11:E17)</f>
        <v>0</v>
      </c>
      <c r="F18" s="4"/>
      <c r="G18" s="4"/>
      <c r="H18" s="4"/>
    </row>
    <row r="19" spans="1:8" ht="20.100000000000001" customHeight="1" x14ac:dyDescent="0.25"/>
    <row r="20" spans="1:8" s="10" customFormat="1" ht="20.100000000000001" customHeight="1" thickBot="1" x14ac:dyDescent="0.3">
      <c r="A20" s="99" t="s">
        <v>16</v>
      </c>
      <c r="B20" s="36"/>
      <c r="C20" s="36"/>
      <c r="D20" s="36"/>
      <c r="E20" s="36"/>
      <c r="F20" s="36"/>
      <c r="G20" s="36"/>
      <c r="H20" s="36"/>
    </row>
    <row r="21" spans="1:8" s="10" customFormat="1" ht="29.1" customHeight="1" x14ac:dyDescent="0.25">
      <c r="A21" s="68"/>
      <c r="B21" s="68"/>
      <c r="C21" s="68"/>
      <c r="D21" s="68"/>
      <c r="E21" s="68"/>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x14ac:dyDescent="0.25">
      <c r="A25" s="69"/>
      <c r="B25" s="69"/>
      <c r="C25" s="69"/>
      <c r="D25" s="69"/>
      <c r="E25" s="69"/>
      <c r="F25"/>
      <c r="G25"/>
      <c r="H25"/>
    </row>
    <row r="26" spans="1:8" s="10" customFormat="1" ht="29.1" customHeight="1" thickBot="1" x14ac:dyDescent="0.3">
      <c r="A26" s="70"/>
      <c r="B26" s="70"/>
      <c r="C26" s="70"/>
      <c r="D26" s="70"/>
      <c r="E26" s="70"/>
      <c r="F26" s="67"/>
      <c r="G26" s="67"/>
      <c r="H26" s="67"/>
    </row>
    <row r="27" spans="1:8" s="10" customFormat="1" ht="36.950000000000003" customHeight="1" thickBot="1" x14ac:dyDescent="0.3">
      <c r="A27" s="325"/>
      <c r="B27" s="325"/>
      <c r="C27" s="325"/>
      <c r="D27" s="325"/>
      <c r="E27" s="325"/>
      <c r="F27" s="71"/>
      <c r="G27" s="71"/>
      <c r="H27" s="71"/>
    </row>
  </sheetData>
  <sheetProtection sheet="1" objects="1" scenarios="1" insertHyperlinks="0"/>
  <mergeCells count="18">
    <mergeCell ref="A27:E27"/>
    <mergeCell ref="A7:B7"/>
    <mergeCell ref="C7:E7"/>
    <mergeCell ref="A8:B8"/>
    <mergeCell ref="C8:E8"/>
    <mergeCell ref="A11:B11"/>
    <mergeCell ref="A13:B13"/>
    <mergeCell ref="A14:B14"/>
    <mergeCell ref="A15:B15"/>
    <mergeCell ref="A17:B17"/>
    <mergeCell ref="C18:D18"/>
    <mergeCell ref="A16:B16"/>
    <mergeCell ref="F1:H1"/>
    <mergeCell ref="A3:C3"/>
    <mergeCell ref="A4:B4"/>
    <mergeCell ref="C4:E4"/>
    <mergeCell ref="A5:B5"/>
    <mergeCell ref="C5:E5"/>
  </mergeCells>
  <phoneticPr fontId="44" type="noConversion"/>
  <dataValidations count="1">
    <dataValidation allowBlank="1" showInputMessage="1" showErrorMessage="1" prompt="Enter a brief description." sqref="C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r:id="rId1"/>
  <headerFooter>
    <oddFooter>&amp;CIssue Date: 01-Feb-16  Revision No.: 1  Revision Date: 19-June-17</oddFooter>
  </headerFooter>
  <drawing r:id="rId2"/>
  <extLst>
    <ext xmlns:mx="http://schemas.microsoft.com/office/mac/excel/2008/main" uri="{64002731-A6B0-56B0-2670-7721B7C09600}">
      <mx:PLV Mode="1" OnePage="0" WScale="10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2:H78"/>
  <sheetViews>
    <sheetView showGridLines="0" zoomScale="125" zoomScaleNormal="125" zoomScalePageLayoutView="125" workbookViewId="0">
      <selection activeCell="A12" sqref="A12"/>
    </sheetView>
  </sheetViews>
  <sheetFormatPr defaultColWidth="10.875" defaultRowHeight="12.75" x14ac:dyDescent="0.2"/>
  <cols>
    <col min="1" max="6" width="13.375" style="25" customWidth="1"/>
    <col min="7" max="8" width="13.375" style="26" customWidth="1"/>
    <col min="9" max="9" width="45.125" style="25" customWidth="1"/>
    <col min="10" max="10" width="7.625" style="25" customWidth="1"/>
    <col min="11" max="16384" width="10.875" style="25"/>
  </cols>
  <sheetData>
    <row r="2" spans="1:8" ht="20.100000000000001" customHeight="1" x14ac:dyDescent="0.2"/>
    <row r="4" spans="1:8" ht="30" customHeight="1" x14ac:dyDescent="0.2">
      <c r="A4" s="47" t="s">
        <v>22</v>
      </c>
      <c r="B4" s="55"/>
      <c r="C4" s="55"/>
      <c r="D4" s="55"/>
      <c r="E4" s="55"/>
      <c r="F4" s="55"/>
    </row>
    <row r="5" spans="1:8" ht="20.100000000000001" customHeight="1" x14ac:dyDescent="0.2">
      <c r="A5" s="48">
        <v>0</v>
      </c>
      <c r="B5" s="55"/>
      <c r="C5" s="55"/>
      <c r="D5" s="55"/>
      <c r="E5" s="55"/>
      <c r="F5" s="55"/>
    </row>
    <row r="6" spans="1:8" ht="9" customHeight="1" x14ac:dyDescent="0.2">
      <c r="A6" s="49"/>
      <c r="B6" s="55"/>
      <c r="C6" s="55"/>
      <c r="D6" s="55"/>
      <c r="E6" s="55"/>
      <c r="F6" s="55"/>
    </row>
    <row r="7" spans="1:8" ht="30" customHeight="1" x14ac:dyDescent="0.2">
      <c r="A7" s="50" t="s">
        <v>36</v>
      </c>
      <c r="B7" s="55"/>
      <c r="C7" s="55"/>
      <c r="D7" s="55"/>
      <c r="E7" s="55"/>
      <c r="F7" s="55"/>
    </row>
    <row r="8" spans="1:8" ht="20.100000000000001" customHeight="1" x14ac:dyDescent="0.2">
      <c r="A8" s="48">
        <f>'Quote Request'!A18</f>
        <v>0</v>
      </c>
      <c r="B8" s="55"/>
      <c r="C8" s="55"/>
      <c r="D8" s="55"/>
      <c r="E8" s="55"/>
      <c r="F8" s="55"/>
    </row>
    <row r="9" spans="1:8" ht="9.9499999999999993" customHeight="1" x14ac:dyDescent="0.2">
      <c r="A9" s="49"/>
      <c r="B9" s="55"/>
      <c r="C9" s="55"/>
      <c r="D9" s="55"/>
      <c r="E9" s="55"/>
      <c r="F9" s="55"/>
    </row>
    <row r="10" spans="1:8" ht="20.100000000000001" customHeight="1" x14ac:dyDescent="0.2">
      <c r="A10" s="49"/>
      <c r="B10" s="60"/>
      <c r="C10" s="59" t="s">
        <v>52</v>
      </c>
      <c r="D10" s="59" t="s">
        <v>53</v>
      </c>
      <c r="E10" s="59" t="s">
        <v>54</v>
      </c>
      <c r="F10" s="59"/>
      <c r="G10" s="61"/>
      <c r="H10" s="61"/>
    </row>
    <row r="11" spans="1:8" ht="30" customHeight="1" x14ac:dyDescent="0.2">
      <c r="A11" s="51" t="s">
        <v>34</v>
      </c>
      <c r="B11" s="51" t="s">
        <v>35</v>
      </c>
      <c r="C11" s="58" t="b">
        <f>AND(A8&gt;1,'Quote Request'!C24="Yes",OR(A5=1,A5=4))</f>
        <v>0</v>
      </c>
      <c r="D11" s="58" t="b">
        <f>AND(A8&gt;1,'Quote Request'!C24="Yes",OR(A5=2,A5=5))</f>
        <v>0</v>
      </c>
      <c r="E11" s="58" t="b">
        <f>AND(A8&gt;1,'Quote Request'!C24="Yes",OR(A5=3,A5=6))</f>
        <v>0</v>
      </c>
      <c r="F11" s="56" t="s">
        <v>30</v>
      </c>
    </row>
    <row r="12" spans="1:8" ht="20.100000000000001" customHeight="1" x14ac:dyDescent="0.2">
      <c r="A12" s="48" t="b">
        <f>IF('Quote Request'!C15="All new art",".5",IF('Quote Request'!C15="RWC with all new art",".5",IF('Quote Request'!C15="RWC to existing art",".25",IF('Quote Request'!C15="New - Redraw","1.5",IF('Quote Request'!C15="New - use existing art",".25")))))</f>
        <v>0</v>
      </c>
      <c r="B12" s="48" t="b">
        <f>IF(A5=1,(0.5*A8),IF(A5=2,(1.5*A8),IF(A5=3,(2.5*A8),IF(A5=4,(1*A8),IF(A5=5,(2.25*A8),IF(A5=6,(3.5*A8),IF(A5=7,(0.25*A8),IF(A5=8,(1*A8)))))))))</f>
        <v>0</v>
      </c>
      <c r="C12" s="57">
        <f>IF(C11,(A8-1)*0.25,0)</f>
        <v>0</v>
      </c>
      <c r="D12" s="57">
        <f>IF(D11,(A8-1)*0.5,0)</f>
        <v>0</v>
      </c>
      <c r="E12" s="57">
        <f>IF(E11,(A8-1)*0.75,0)</f>
        <v>0</v>
      </c>
      <c r="F12" s="57">
        <f>A12+B12-C12-D12-E12</f>
        <v>0</v>
      </c>
    </row>
    <row r="13" spans="1:8" ht="9" customHeight="1" x14ac:dyDescent="0.2">
      <c r="A13" s="52"/>
      <c r="B13" s="55"/>
      <c r="C13" s="55"/>
      <c r="D13" s="55"/>
      <c r="E13" s="55"/>
      <c r="F13" s="55"/>
    </row>
    <row r="14" spans="1:8" ht="20.100000000000001" customHeight="1" x14ac:dyDescent="0.2">
      <c r="A14" s="52"/>
      <c r="B14" s="55"/>
      <c r="C14" s="59" t="s">
        <v>49</v>
      </c>
      <c r="D14" s="59" t="s">
        <v>50</v>
      </c>
      <c r="E14" s="59" t="s">
        <v>51</v>
      </c>
      <c r="F14" s="55"/>
    </row>
    <row r="15" spans="1:8" ht="30" customHeight="1" x14ac:dyDescent="0.2">
      <c r="A15" s="47" t="s">
        <v>37</v>
      </c>
      <c r="B15" s="56" t="s">
        <v>48</v>
      </c>
      <c r="C15" s="58" t="b">
        <f>AND(A16&gt;1,'Quote Request'!C24="Yes",A5=4)</f>
        <v>0</v>
      </c>
      <c r="D15" s="58" t="b">
        <f>AND(A16&gt;1,'Quote Request'!C24="Yes",A5=5)</f>
        <v>0</v>
      </c>
      <c r="E15" s="58" t="b">
        <f>AND(A16&gt;1,'Quote Request'!C24="Yes",A5=6)</f>
        <v>0</v>
      </c>
      <c r="F15" s="56" t="s">
        <v>32</v>
      </c>
      <c r="H15" s="62"/>
    </row>
    <row r="16" spans="1:8" ht="20.100000000000001" customHeight="1" x14ac:dyDescent="0.2">
      <c r="A16" s="48">
        <f>'Quote Request'!K18</f>
        <v>0</v>
      </c>
      <c r="B16" s="57">
        <f>IF(A16&lt;1,0,IF(A5=4,(1.5*A16),IF(A5=5,(2.75*A16),IF(A5=6,(4*A16)))))</f>
        <v>0</v>
      </c>
      <c r="C16" s="57">
        <f>IF(C15,(A16-1)*0.25,0)</f>
        <v>0</v>
      </c>
      <c r="D16" s="57">
        <f>IF(D15,(A16-1)*0.5,0)</f>
        <v>0</v>
      </c>
      <c r="E16" s="57">
        <f>IF(E15,(A16-1)*0.75,0)</f>
        <v>0</v>
      </c>
      <c r="F16" s="57">
        <f>B16-C16-D16-E16</f>
        <v>0</v>
      </c>
    </row>
    <row r="17" spans="1:6" ht="9" customHeight="1" x14ac:dyDescent="0.2">
      <c r="A17" s="52"/>
      <c r="B17" s="60"/>
      <c r="C17" s="55"/>
      <c r="D17" s="55"/>
      <c r="E17" s="55"/>
      <c r="F17" s="55"/>
    </row>
    <row r="18" spans="1:6" ht="30" customHeight="1" x14ac:dyDescent="0.2">
      <c r="A18" s="47" t="s">
        <v>70</v>
      </c>
      <c r="B18" s="53" t="s">
        <v>31</v>
      </c>
      <c r="C18" s="55"/>
      <c r="D18" s="55"/>
      <c r="E18" s="55"/>
      <c r="F18" s="55"/>
    </row>
    <row r="19" spans="1:6" ht="20.100000000000001" customHeight="1" x14ac:dyDescent="0.2">
      <c r="A19" s="111" t="b">
        <f>IF('Quote Request'!C24="Yes",(A8-1)*0.25,IF('Quote Request'!C24="No",0,IF('Quote Request'!C24="N/A",0)))</f>
        <v>0</v>
      </c>
      <c r="B19" s="48" t="b">
        <f>IF(A5=1,(0.5*A8)-A19,IF(A5=2,(0.75*A8)-A19,IF(A5=3,(1*A8)-A19,IF(A5=4,(0.5*A8)-A19,IF(A5=5,(0.75*A8)-A19,IF(A5=6,(1*A8)-A19,IF(A5=7,(0.25*A8),IF(A5=8,(0.25*A8)))))))))</f>
        <v>0</v>
      </c>
      <c r="C19" s="55"/>
      <c r="D19" s="55"/>
      <c r="E19" s="55"/>
      <c r="F19" s="55"/>
    </row>
    <row r="20" spans="1:6" ht="9" customHeight="1" x14ac:dyDescent="0.2">
      <c r="A20" s="52"/>
      <c r="B20" s="55"/>
      <c r="C20" s="55"/>
      <c r="D20" s="55"/>
      <c r="E20" s="55"/>
      <c r="F20" s="55"/>
    </row>
    <row r="21" spans="1:6" ht="30" customHeight="1" x14ac:dyDescent="0.2">
      <c r="A21" s="54" t="s">
        <v>47</v>
      </c>
      <c r="B21" s="56" t="s">
        <v>33</v>
      </c>
      <c r="C21" s="55"/>
      <c r="D21" s="55"/>
      <c r="E21" s="55"/>
      <c r="F21" s="55"/>
    </row>
    <row r="22" spans="1:6" ht="20.100000000000001" customHeight="1" thickBot="1" x14ac:dyDescent="0.25">
      <c r="A22" s="63" t="b">
        <f>IF(A8&gt;0,".25")</f>
        <v>0</v>
      </c>
      <c r="B22" s="64">
        <f>(0.25*A8)+A22</f>
        <v>0</v>
      </c>
      <c r="C22" s="65"/>
      <c r="D22" s="65"/>
      <c r="E22" s="65"/>
      <c r="F22" s="65"/>
    </row>
    <row r="23" spans="1:6" ht="9" customHeight="1" x14ac:dyDescent="0.2">
      <c r="A23" s="27"/>
      <c r="B23" s="26"/>
      <c r="C23" s="26"/>
      <c r="D23" s="26"/>
    </row>
    <row r="24" spans="1:6" ht="30" customHeight="1" thickBot="1" x14ac:dyDescent="0.25">
      <c r="A24" s="46" t="s">
        <v>23</v>
      </c>
    </row>
    <row r="25" spans="1:6" ht="27.95" customHeight="1" x14ac:dyDescent="0.2">
      <c r="A25" s="2" t="s">
        <v>8</v>
      </c>
      <c r="B25" s="2" t="s">
        <v>9</v>
      </c>
      <c r="C25" s="2" t="s">
        <v>10</v>
      </c>
      <c r="D25" s="13" t="s">
        <v>11</v>
      </c>
    </row>
    <row r="26" spans="1:6" ht="20.100000000000001" customHeight="1" thickBot="1" x14ac:dyDescent="0.25">
      <c r="A26" s="1">
        <f>('Quote Request'!D18*'Quote Request'!E18+23)</f>
        <v>23</v>
      </c>
      <c r="B26" s="1">
        <f>('Quote Request'!G18+'Quote Request'!H18)</f>
        <v>0</v>
      </c>
      <c r="C26" s="1">
        <f>ROUND(A26/25.4,0.5)+2</f>
        <v>3</v>
      </c>
      <c r="D26" s="14">
        <f>ROUND(B26/25.4,0.5)+2</f>
        <v>2</v>
      </c>
    </row>
    <row r="27" spans="1:6" ht="20.100000000000001" customHeight="1" x14ac:dyDescent="0.2"/>
    <row r="28" spans="1:6" ht="20.100000000000001" customHeight="1" x14ac:dyDescent="0.2"/>
    <row r="29" spans="1:6" ht="20.100000000000001" customHeight="1" x14ac:dyDescent="0.2"/>
    <row r="30" spans="1:6" ht="20.100000000000001" customHeight="1" x14ac:dyDescent="0.2"/>
    <row r="31" spans="1:6" ht="20.100000000000001" customHeight="1" x14ac:dyDescent="0.2"/>
    <row r="32" spans="1:6"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sheetData>
  <pageMargins left="0.75" right="0.75" top="1" bottom="1" header="0.5" footer="0.5"/>
  <pageSetup orientation="portrait" horizontalDpi="4294967292" verticalDpi="4294967292"/>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Quote Request</vt:lpstr>
      <vt:lpstr>Quote</vt:lpstr>
      <vt:lpstr>Invoice</vt:lpstr>
      <vt:lpstr>Invoice to Date</vt:lpstr>
      <vt:lpstr>Calculations</vt:lpstr>
      <vt:lpstr>Invoice!Print_Area</vt:lpstr>
      <vt:lpstr>'Invoice to Date'!Print_Area</vt:lpstr>
      <vt:lpstr>Quote!Print_Area</vt:lpstr>
      <vt:lpstr>'Quote Request'!Print_Area</vt:lpstr>
    </vt:vector>
  </TitlesOfParts>
  <Company>Winpak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Leann Chastko</dc:creator>
  <cp:lastModifiedBy>Robertson, Leona</cp:lastModifiedBy>
  <cp:lastPrinted>2016-02-24T15:41:04Z</cp:lastPrinted>
  <dcterms:created xsi:type="dcterms:W3CDTF">2014-03-27T14:55:21Z</dcterms:created>
  <dcterms:modified xsi:type="dcterms:W3CDTF">2017-06-19T21:30:08Z</dcterms:modified>
</cp:coreProperties>
</file>