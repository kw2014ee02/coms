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H:\MK\Marketing Forms\Marketing\"/>
    </mc:Choice>
  </mc:AlternateContent>
  <bookViews>
    <workbookView xWindow="165" yWindow="0" windowWidth="17940" windowHeight="13170" tabRatio="796" firstSheet="1" activeTab="1"/>
  </bookViews>
  <sheets>
    <sheet name="Data" sheetId="24" state="hidden" r:id="rId1"/>
    <sheet name="3 Side Seal Zipper Pouch" sheetId="8" r:id="rId2"/>
    <sheet name="ICM" sheetId="23" r:id="rId3"/>
    <sheet name="S+R" sheetId="27" r:id="rId4"/>
    <sheet name="Drawing" sheetId="26" r:id="rId5"/>
    <sheet name="IN TO MM" sheetId="21" r:id="rId6"/>
    <sheet name="Print Direction Chart" sheetId="13" r:id="rId7"/>
    <sheet name="GL Codes" sheetId="16" state="hidden" r:id="rId8"/>
  </sheets>
  <definedNames>
    <definedName name="_xlnm.Print_Area" localSheetId="1">'3 Side Seal Zipper Pouch'!$A$1:$I$136</definedName>
    <definedName name="_xlnm.Print_Area" localSheetId="7">'GL Codes'!#REF!</definedName>
  </definedNames>
  <calcPr calcId="171027" concurrentCalc="0"/>
</workbook>
</file>

<file path=xl/calcChain.xml><?xml version="1.0" encoding="utf-8"?>
<calcChain xmlns="http://schemas.openxmlformats.org/spreadsheetml/2006/main">
  <c r="AG3" i="27" l="1"/>
  <c r="AG17" i="27"/>
  <c r="T21" i="23"/>
  <c r="G21" i="27"/>
  <c r="AG13" i="23"/>
  <c r="AG9" i="27"/>
  <c r="W45" i="23"/>
  <c r="G11" i="27"/>
  <c r="I9" i="27"/>
  <c r="G9" i="27"/>
  <c r="AG7" i="27"/>
  <c r="G7" i="27"/>
  <c r="G3" i="23"/>
  <c r="G5" i="23"/>
  <c r="T3" i="27"/>
  <c r="G34" i="27"/>
  <c r="AA28" i="27"/>
  <c r="AI28" i="27"/>
  <c r="P28" i="27"/>
  <c r="F28" i="27"/>
  <c r="AG23" i="27"/>
  <c r="T23" i="27"/>
  <c r="T21" i="27"/>
  <c r="AG19" i="27"/>
  <c r="M15" i="23"/>
  <c r="J15" i="23"/>
  <c r="A50" i="8"/>
  <c r="AE71" i="23"/>
  <c r="AE65" i="23"/>
  <c r="AE63" i="23"/>
  <c r="AE67" i="23"/>
  <c r="AE69" i="23"/>
  <c r="AE73" i="23"/>
  <c r="V73" i="23"/>
  <c r="A63" i="23"/>
  <c r="J69" i="23"/>
  <c r="J71" i="23"/>
  <c r="J65" i="23"/>
  <c r="J63" i="23"/>
  <c r="J67" i="23"/>
  <c r="J73" i="23"/>
  <c r="A73" i="23"/>
  <c r="E45" i="23"/>
  <c r="J11" i="23"/>
  <c r="I79" i="23"/>
  <c r="I33" i="8"/>
  <c r="S39" i="23"/>
  <c r="F33" i="8"/>
  <c r="C35" i="8"/>
  <c r="F35" i="8"/>
  <c r="I35" i="8"/>
  <c r="F39" i="8"/>
  <c r="F41" i="8"/>
  <c r="N37" i="23"/>
  <c r="T47" i="23"/>
  <c r="AI47" i="23"/>
  <c r="Y39" i="23"/>
  <c r="F29" i="8"/>
  <c r="F27" i="8"/>
  <c r="AA53" i="23"/>
  <c r="F53" i="23"/>
  <c r="AI51" i="23"/>
  <c r="Z51" i="23"/>
  <c r="N51" i="23"/>
  <c r="E51" i="23"/>
  <c r="AG9" i="23"/>
  <c r="AC81" i="23"/>
  <c r="T83" i="23"/>
  <c r="C23" i="8"/>
  <c r="F23" i="8"/>
  <c r="G81" i="23"/>
  <c r="D41" i="23"/>
  <c r="K41" i="23"/>
  <c r="AB41" i="23"/>
  <c r="I27" i="8"/>
  <c r="I29" i="8"/>
  <c r="T33" i="23"/>
  <c r="I25" i="8"/>
  <c r="G27" i="23"/>
  <c r="U27" i="23"/>
  <c r="G81" i="8"/>
  <c r="AD59" i="23"/>
  <c r="G79" i="8"/>
  <c r="AD57" i="23"/>
  <c r="F81" i="8"/>
  <c r="Z59" i="23"/>
  <c r="AI55" i="23"/>
  <c r="Z55" i="23"/>
  <c r="F79" i="8"/>
  <c r="Z57" i="23"/>
  <c r="N55" i="23"/>
  <c r="E55" i="23"/>
  <c r="G65" i="8"/>
  <c r="I57" i="23"/>
  <c r="F65" i="8"/>
  <c r="E57" i="23"/>
  <c r="G67" i="8"/>
  <c r="I59" i="23"/>
  <c r="F67" i="8"/>
  <c r="E59" i="23"/>
  <c r="B11" i="8"/>
  <c r="AG79" i="23"/>
  <c r="AG83" i="23"/>
  <c r="G83" i="23"/>
  <c r="G9" i="23"/>
  <c r="G77" i="23"/>
  <c r="V15" i="23"/>
  <c r="G21" i="23"/>
  <c r="C6" i="24"/>
  <c r="C7" i="24"/>
  <c r="C9" i="24"/>
  <c r="C10" i="24"/>
  <c r="C11" i="24"/>
  <c r="C12" i="24"/>
  <c r="C16" i="24"/>
  <c r="C17" i="24"/>
  <c r="C19" i="24"/>
  <c r="C20" i="24"/>
  <c r="C21" i="24"/>
  <c r="C22" i="24"/>
  <c r="F6" i="24"/>
  <c r="F7" i="24"/>
  <c r="F9" i="24"/>
  <c r="F10" i="24"/>
  <c r="F11" i="24"/>
  <c r="F12" i="24"/>
  <c r="F16" i="24"/>
  <c r="F17" i="24"/>
  <c r="F19" i="24"/>
  <c r="F20" i="24"/>
  <c r="F21" i="24"/>
  <c r="F22" i="24"/>
  <c r="T23" i="23"/>
  <c r="G23" i="23"/>
  <c r="AJ81" i="23"/>
  <c r="AG77" i="23"/>
  <c r="G79" i="23"/>
  <c r="V71" i="23"/>
  <c r="V65" i="23"/>
  <c r="V63" i="23"/>
  <c r="V69" i="23"/>
  <c r="V67" i="23"/>
  <c r="A71" i="23"/>
  <c r="A65" i="23"/>
  <c r="A69" i="23"/>
  <c r="A67" i="23"/>
  <c r="E47" i="23"/>
  <c r="G39" i="23"/>
  <c r="AH37" i="23"/>
  <c r="X37" i="23"/>
  <c r="G37" i="23"/>
  <c r="G35" i="23"/>
  <c r="G33" i="23"/>
  <c r="Q33" i="23"/>
  <c r="G31" i="23"/>
  <c r="AA29" i="23"/>
  <c r="G29" i="23"/>
  <c r="AA25" i="23"/>
  <c r="G25" i="23"/>
  <c r="F31" i="8"/>
  <c r="Q35" i="23"/>
  <c r="AG23" i="23"/>
  <c r="G13" i="23"/>
  <c r="AG11" i="23"/>
  <c r="T5" i="23"/>
  <c r="T3" i="23"/>
  <c r="B36" i="21"/>
  <c r="B38" i="21"/>
  <c r="B39" i="21"/>
  <c r="B40" i="21"/>
  <c r="B41" i="21"/>
  <c r="B26" i="21"/>
  <c r="B28" i="21"/>
  <c r="B29" i="21"/>
  <c r="B30" i="21"/>
  <c r="B31" i="21"/>
  <c r="E26" i="21"/>
  <c r="E27" i="21"/>
  <c r="B14" i="21"/>
  <c r="B16" i="21"/>
  <c r="B17" i="21"/>
  <c r="B18" i="21"/>
  <c r="B19" i="21"/>
  <c r="B4" i="21"/>
  <c r="B6" i="21"/>
  <c r="B7" i="21"/>
  <c r="B8" i="21"/>
  <c r="B9" i="21"/>
  <c r="E4" i="21"/>
  <c r="E5" i="21"/>
  <c r="T31" i="23"/>
  <c r="Q31" i="23"/>
</calcChain>
</file>

<file path=xl/comments1.xml><?xml version="1.0" encoding="utf-8"?>
<comments xmlns="http://schemas.openxmlformats.org/spreadsheetml/2006/main">
  <authors>
    <author>Leann Chastko</author>
  </authors>
  <commentList>
    <comment ref="J5" authorId="0" shapeId="0">
      <text>
        <r>
          <rPr>
            <b/>
            <sz val="9"/>
            <color indexed="81"/>
            <rFont val="Arial"/>
            <family val="2"/>
          </rPr>
          <t>Leann Chastko:</t>
        </r>
        <r>
          <rPr>
            <sz val="9"/>
            <color indexed="81"/>
            <rFont val="Arial"/>
            <family val="2"/>
          </rPr>
          <t xml:space="preserve">
Links to the new or repeat radial buttons on the checklist. Affects the population of new and repeat and number of plates, etc on the ICM.</t>
        </r>
      </text>
    </comment>
    <comment ref="L5" authorId="0" shapeId="0">
      <text>
        <r>
          <rPr>
            <b/>
            <sz val="9"/>
            <color indexed="81"/>
            <rFont val="Arial"/>
            <family val="2"/>
          </rPr>
          <t>Leann Chastko:</t>
        </r>
        <r>
          <rPr>
            <sz val="9"/>
            <color indexed="81"/>
            <rFont val="Arial"/>
            <family val="2"/>
          </rPr>
          <t xml:space="preserve">
Linked to checklist radial buttons for # of sides printed. This affects population of the image size fields.</t>
        </r>
      </text>
    </comment>
  </commentList>
</comments>
</file>

<file path=xl/sharedStrings.xml><?xml version="1.0" encoding="utf-8"?>
<sst xmlns="http://schemas.openxmlformats.org/spreadsheetml/2006/main" count="523" uniqueCount="432">
  <si>
    <t>Hamill, David</t>
  </si>
  <si>
    <t>0014</t>
  </si>
  <si>
    <t>Date Submitted:</t>
  </si>
  <si>
    <t>0485</t>
  </si>
  <si>
    <t>0584</t>
  </si>
  <si>
    <t>C.O. #:</t>
  </si>
  <si>
    <t>0572</t>
  </si>
  <si>
    <t>0454</t>
  </si>
  <si>
    <t>Coleman, Tom</t>
  </si>
  <si>
    <t>0463</t>
  </si>
  <si>
    <t>0494</t>
  </si>
  <si>
    <t>Print Cylinder:</t>
  </si>
  <si>
    <t>Repeat:</t>
  </si>
  <si>
    <t>0533</t>
  </si>
  <si>
    <t>0610</t>
  </si>
  <si>
    <t>0827</t>
  </si>
  <si>
    <t>Pouch Length:</t>
  </si>
  <si>
    <t>Position of Wickets:</t>
  </si>
  <si>
    <t>0319</t>
  </si>
  <si>
    <t>0551</t>
  </si>
  <si>
    <t>0810</t>
  </si>
  <si>
    <t>0507</t>
  </si>
  <si>
    <t>Rondeau, Rick</t>
  </si>
  <si>
    <t>0808</t>
  </si>
  <si>
    <t>PRINT POSTION AND COLOURS</t>
  </si>
  <si>
    <t>0660</t>
  </si>
  <si>
    <t>0609</t>
  </si>
  <si>
    <t>Time Req'd:</t>
  </si>
  <si>
    <t>0811</t>
  </si>
  <si>
    <t>Maxwell, Colleen</t>
  </si>
  <si>
    <t>0013</t>
  </si>
  <si>
    <t>0334</t>
  </si>
  <si>
    <t>0574</t>
  </si>
  <si>
    <t>Customer Acct. #:</t>
  </si>
  <si>
    <t>0524</t>
  </si>
  <si>
    <t>0822</t>
  </si>
  <si>
    <t>0643</t>
  </si>
  <si>
    <t>Colours as per:</t>
  </si>
  <si>
    <t>LAYOUT SKETCH</t>
  </si>
  <si>
    <t>Position:</t>
  </si>
  <si>
    <t>Zipper Header Space:</t>
  </si>
  <si>
    <t>Polgardi, Nick</t>
  </si>
  <si>
    <t>0616</t>
  </si>
  <si>
    <t>0496</t>
  </si>
  <si>
    <t>Tear Type:</t>
  </si>
  <si>
    <t>0411</t>
  </si>
  <si>
    <t>0480</t>
  </si>
  <si>
    <t>Kingston, Kraig</t>
  </si>
  <si>
    <t>Structure:</t>
  </si>
  <si>
    <t>Design Desc.:</t>
  </si>
  <si>
    <t>Riekes Material Handling</t>
  </si>
  <si>
    <t>SPECIFICATIONS</t>
  </si>
  <si>
    <t>0661</t>
  </si>
  <si>
    <t>0662</t>
  </si>
  <si>
    <t>0606</t>
  </si>
  <si>
    <t>0499</t>
  </si>
  <si>
    <t>0826</t>
  </si>
  <si>
    <t>Art as Per:</t>
  </si>
  <si>
    <t>0607</t>
  </si>
  <si>
    <t>0010</t>
  </si>
  <si>
    <t>0809</t>
  </si>
  <si>
    <t># Colours Changing:</t>
  </si>
  <si>
    <t>Reference PO:</t>
  </si>
  <si>
    <t>Date Required:</t>
  </si>
  <si>
    <t>Lip Type:</t>
  </si>
  <si>
    <t>West Coast Foodpak</t>
  </si>
  <si>
    <t>0011</t>
  </si>
  <si>
    <t>0444</t>
  </si>
  <si>
    <t>PO:</t>
  </si>
  <si>
    <t>Plates:</t>
  </si>
  <si>
    <t>0049</t>
  </si>
  <si>
    <t>0593</t>
  </si>
  <si>
    <t>Total # Items:</t>
  </si>
  <si>
    <t>0505</t>
  </si>
  <si>
    <t>Hohensinner, Scott</t>
  </si>
  <si>
    <t>0506</t>
  </si>
  <si>
    <t>House - US</t>
  </si>
  <si>
    <t>Jenkins, Sid</t>
  </si>
  <si>
    <t>12 x 6</t>
  </si>
  <si>
    <t>0490</t>
  </si>
  <si>
    <t>PRINTED INFORMATION / TEXT</t>
  </si>
  <si>
    <t>0005</t>
  </si>
  <si>
    <t>0052</t>
  </si>
  <si>
    <t>BACK PANEL:</t>
  </si>
  <si>
    <t>0669</t>
  </si>
  <si>
    <t>Guideline Colour:</t>
  </si>
  <si>
    <t>0829</t>
  </si>
  <si>
    <t>DATE, CHANGES, REMARKS</t>
  </si>
  <si>
    <t>0508</t>
  </si>
  <si>
    <t>0368</t>
  </si>
  <si>
    <t>0072</t>
  </si>
  <si>
    <t>0663</t>
  </si>
  <si>
    <t>Corners:</t>
  </si>
  <si>
    <t>0046</t>
  </si>
  <si>
    <t>Bergsma, Mark</t>
  </si>
  <si>
    <t># of Colours:</t>
  </si>
  <si>
    <t>Multivac Mexico</t>
  </si>
  <si>
    <t>0015</t>
  </si>
  <si>
    <t>0553</t>
  </si>
  <si>
    <t>Gach, Greg</t>
  </si>
  <si>
    <t>0335</t>
  </si>
  <si>
    <t>0362</t>
  </si>
  <si>
    <t>Billable Keys:</t>
  </si>
  <si>
    <t>Billable Plates:</t>
  </si>
  <si>
    <t>0474</t>
  </si>
  <si>
    <t>0626</t>
  </si>
  <si>
    <t>Print Direction Chart</t>
  </si>
  <si>
    <t>Cust. Item Desc.:</t>
  </si>
  <si>
    <t>Fill:</t>
  </si>
  <si>
    <t>0525</t>
  </si>
  <si>
    <t>Side Seal Size:</t>
  </si>
  <si>
    <t>Pkg Width (mm):</t>
  </si>
  <si>
    <t>0493</t>
  </si>
  <si>
    <t>0625</t>
  </si>
  <si>
    <t>0554</t>
  </si>
  <si>
    <t>0487</t>
  </si>
  <si>
    <t>Lip Size:</t>
  </si>
  <si>
    <t>0611</t>
  </si>
  <si>
    <t>FRONT PANEL COLOURS:</t>
  </si>
  <si>
    <t>0513</t>
  </si>
  <si>
    <t>Pkg Width (in):</t>
  </si>
  <si>
    <t>0500</t>
  </si>
  <si>
    <t>0511</t>
  </si>
  <si>
    <t>Clear</t>
  </si>
  <si>
    <t>Eyespot Distance:</t>
  </si>
  <si>
    <t>0523</t>
  </si>
  <si>
    <t>Kelly, Roger</t>
  </si>
  <si>
    <t>0821</t>
  </si>
  <si>
    <t>0562</t>
  </si>
  <si>
    <t>0514</t>
  </si>
  <si>
    <t>0559</t>
  </si>
  <si>
    <t>0032</t>
  </si>
  <si>
    <t>Duerbig, Bill-Nelson PKG</t>
  </si>
  <si>
    <t>Zipper Style:</t>
  </si>
  <si>
    <t>0075</t>
  </si>
  <si>
    <t>0200</t>
  </si>
  <si>
    <t>Wicket Wires:</t>
  </si>
  <si>
    <t>Size (imperial):</t>
  </si>
  <si>
    <t xml:space="preserve">       </t>
  </si>
  <si>
    <t>0566</t>
  </si>
  <si>
    <t>0064</t>
  </si>
  <si>
    <t>0588</t>
  </si>
  <si>
    <t>Kuhn, Vance</t>
  </si>
  <si>
    <t>0452</t>
  </si>
  <si>
    <t>Pouch Width:</t>
  </si>
  <si>
    <t>0502</t>
  </si>
  <si>
    <t>0542</t>
  </si>
  <si>
    <t>Pellerin, Phillippe</t>
  </si>
  <si>
    <t>Degassing Valve:</t>
  </si>
  <si>
    <t>0526</t>
  </si>
  <si>
    <t>Wetoska Packaging</t>
  </si>
  <si>
    <t>Pin Holes:</t>
  </si>
  <si>
    <t>Customer:</t>
  </si>
  <si>
    <t>0573</t>
  </si>
  <si>
    <t>0567</t>
  </si>
  <si>
    <t>0807</t>
  </si>
  <si>
    <t>0805</t>
  </si>
  <si>
    <t>0806</t>
  </si>
  <si>
    <t>0503</t>
  </si>
  <si>
    <t>Type of Print :</t>
  </si>
  <si>
    <t>0645</t>
  </si>
  <si>
    <t>0646</t>
  </si>
  <si>
    <t>0637</t>
  </si>
  <si>
    <t xml:space="preserve">Duerbig, Bill </t>
  </si>
  <si>
    <t>Coordinator:</t>
  </si>
  <si>
    <t>Baker, Andrea LTD US$</t>
  </si>
  <si>
    <t>Zipper Header
Space (imperial):</t>
  </si>
  <si>
    <t>Print Centered
Between S. Seals:</t>
  </si>
  <si>
    <t>0516</t>
  </si>
  <si>
    <t>0561</t>
  </si>
  <si>
    <t>Print Centered
Top to Bottom:</t>
  </si>
  <si>
    <t>0569</t>
  </si>
  <si>
    <t>0604</t>
  </si>
  <si>
    <t>0804</t>
  </si>
  <si>
    <t>Parsons, Keith</t>
  </si>
  <si>
    <t>Bleed:</t>
  </si>
  <si>
    <t>0812</t>
  </si>
  <si>
    <t>15 x 8</t>
  </si>
  <si>
    <t>19 x 7</t>
  </si>
  <si>
    <t>0023</t>
  </si>
  <si>
    <t>Design Name:</t>
  </si>
  <si>
    <t>Baker, Andrea</t>
  </si>
  <si>
    <t>0803</t>
  </si>
  <si>
    <t>3 SIDE SEAL / ZIPPER POUCH CHECKLIST</t>
  </si>
  <si>
    <t>FRONT PANEL:</t>
  </si>
  <si>
    <t>0047</t>
  </si>
  <si>
    <t>0628</t>
  </si>
  <si>
    <t>Haversack, Jeff</t>
  </si>
  <si>
    <t>0344</t>
  </si>
  <si>
    <t>Medical Packaging</t>
  </si>
  <si>
    <t>0664</t>
  </si>
  <si>
    <t>0666</t>
  </si>
  <si>
    <t>USDA # / EST #:</t>
  </si>
  <si>
    <t>0659</t>
  </si>
  <si>
    <t>G/L Code:</t>
  </si>
  <si>
    <t>6916/100</t>
  </si>
  <si>
    <t>P.C.:</t>
  </si>
  <si>
    <t>Type of Proof:</t>
  </si>
  <si>
    <t>Combo Step:</t>
  </si>
  <si>
    <t>Print:</t>
  </si>
  <si>
    <t>Northern Star</t>
  </si>
  <si>
    <t>0563</t>
  </si>
  <si>
    <t>UPC #:</t>
  </si>
  <si>
    <t>Pkg Length (in):</t>
  </si>
  <si>
    <t>Dupey Equipment</t>
  </si>
  <si>
    <t>Pkg Length (mm):</t>
  </si>
  <si>
    <t>Last ammended:</t>
  </si>
  <si>
    <t>0068</t>
  </si>
  <si>
    <t>Sharpless, Bill (WHS)</t>
  </si>
  <si>
    <t>'0073</t>
  </si>
  <si>
    <t>0079</t>
  </si>
  <si>
    <t>Carman, Ted</t>
  </si>
  <si>
    <t>McNeil, Don</t>
  </si>
  <si>
    <t>0658</t>
  </si>
  <si>
    <t>Horn, Justin</t>
  </si>
  <si>
    <t>0668</t>
  </si>
  <si>
    <t>0672</t>
  </si>
  <si>
    <t>0680</t>
  </si>
  <si>
    <t>0683</t>
  </si>
  <si>
    <t>Richardson, Eric</t>
  </si>
  <si>
    <t>0685</t>
  </si>
  <si>
    <t>0686</t>
  </si>
  <si>
    <t>Pouch Size
Dimension Ref.:</t>
  </si>
  <si>
    <t>Print Direction #
(Back):</t>
  </si>
  <si>
    <t>Step AC:</t>
  </si>
  <si>
    <t>OD Mmeters - Width</t>
  </si>
  <si>
    <t>Pouches</t>
  </si>
  <si>
    <t>Width Inch to MM</t>
  </si>
  <si>
    <t>Lip</t>
  </si>
  <si>
    <t>Width (Inches)</t>
  </si>
  <si>
    <t>Inches</t>
  </si>
  <si>
    <t>Mmeters</t>
  </si>
  <si>
    <t>OD Mmeters</t>
  </si>
  <si>
    <t>OD Mmeters - Length</t>
  </si>
  <si>
    <t>Length Inch to MM</t>
  </si>
  <si>
    <t>Length (Inches)</t>
  </si>
  <si>
    <t>ID Mmeters - Width</t>
  </si>
  <si>
    <t>ID Mmeters</t>
  </si>
  <si>
    <t>ID Mmeters - Length</t>
  </si>
  <si>
    <t>RWC or New?</t>
  </si>
  <si>
    <t>BACK PANEL COLORUS:</t>
  </si>
  <si>
    <t>Hole Size:</t>
  </si>
  <si>
    <t>Image Width:</t>
  </si>
  <si>
    <t>Image Length:</t>
  </si>
  <si>
    <t>V Print Pos.:</t>
  </si>
  <si>
    <t>H Print Pos.:</t>
  </si>
  <si>
    <t>Checker:</t>
  </si>
  <si>
    <t>Operator:</t>
  </si>
  <si>
    <t>B Print Direction:</t>
  </si>
  <si>
    <t>LET'S TALK</t>
  </si>
  <si>
    <t>Distortion %:</t>
  </si>
  <si>
    <t>Close &amp; Invoice</t>
  </si>
  <si>
    <t>Design Description / #.:</t>
  </si>
  <si>
    <t>Eyespot Colour:</t>
  </si>
  <si>
    <t>Eyespot Size:</t>
  </si>
  <si>
    <t># Eyes AC / Web:</t>
  </si>
  <si>
    <t>Position Eyes AR:</t>
  </si>
  <si>
    <t>Other:</t>
  </si>
  <si>
    <t>S+R SPECIFICATIONS:</t>
  </si>
  <si>
    <t>ADDITIONAL COMMENTS / INSTRUCTIONS:</t>
  </si>
  <si>
    <t>Eyespot Required?</t>
  </si>
  <si>
    <t>0675</t>
  </si>
  <si>
    <t>Wilson, Leslie (WFI)</t>
  </si>
  <si>
    <t>Print Direction #
(Front):</t>
  </si>
  <si>
    <t>0000</t>
  </si>
  <si>
    <t>Inter Co</t>
  </si>
  <si>
    <t>Hole or Handle Punch 
Type and Size:</t>
  </si>
  <si>
    <t>Header / Bottom
Seal Size:</t>
  </si>
  <si>
    <t>Box, Brian</t>
  </si>
  <si>
    <t>Movex #
(if applicable):</t>
  </si>
  <si>
    <t>Art as per:</t>
  </si>
  <si>
    <r>
      <t>Header Seal Size</t>
    </r>
    <r>
      <rPr>
        <i/>
        <sz val="8"/>
        <rFont val="Arial"/>
        <family val="2"/>
      </rPr>
      <t xml:space="preserve"> (fx)</t>
    </r>
    <r>
      <rPr>
        <sz val="8"/>
        <rFont val="Arial"/>
        <family val="2"/>
      </rPr>
      <t>:</t>
    </r>
  </si>
  <si>
    <r>
      <t xml:space="preserve">Lip Size </t>
    </r>
    <r>
      <rPr>
        <i/>
        <sz val="8"/>
        <rFont val="Arial"/>
        <family val="2"/>
      </rPr>
      <t>(fx)</t>
    </r>
    <r>
      <rPr>
        <sz val="8"/>
        <rFont val="Arial"/>
        <family val="2"/>
      </rPr>
      <t>:</t>
    </r>
  </si>
  <si>
    <r>
      <t>Bottom Seal Size</t>
    </r>
    <r>
      <rPr>
        <i/>
        <sz val="8"/>
        <rFont val="Arial"/>
        <family val="2"/>
      </rPr>
      <t xml:space="preserve"> (fx)</t>
    </r>
    <r>
      <rPr>
        <sz val="8"/>
        <rFont val="Arial"/>
        <family val="2"/>
      </rPr>
      <t>:</t>
    </r>
  </si>
  <si>
    <r>
      <t xml:space="preserve">Position </t>
    </r>
    <r>
      <rPr>
        <i/>
        <sz val="8"/>
        <rFont val="Arial"/>
        <family val="2"/>
      </rPr>
      <t>(fx)</t>
    </r>
    <r>
      <rPr>
        <sz val="8"/>
        <rFont val="Arial"/>
        <family val="2"/>
      </rPr>
      <t>:</t>
    </r>
  </si>
  <si>
    <r>
      <t xml:space="preserve">Size ( imperial) </t>
    </r>
    <r>
      <rPr>
        <i/>
        <sz val="8"/>
        <rFont val="Arial"/>
        <family val="2"/>
      </rPr>
      <t>(fx</t>
    </r>
    <r>
      <rPr>
        <sz val="8"/>
        <rFont val="Arial"/>
        <family val="2"/>
      </rPr>
      <t>):</t>
    </r>
  </si>
  <si>
    <r>
      <t xml:space="preserve">Wicket Hole Size </t>
    </r>
    <r>
      <rPr>
        <i/>
        <sz val="8"/>
        <rFont val="Arial"/>
        <family val="2"/>
      </rPr>
      <t>(fx)</t>
    </r>
    <r>
      <rPr>
        <sz val="8"/>
        <rFont val="Arial"/>
        <family val="2"/>
      </rPr>
      <t>:</t>
    </r>
  </si>
  <si>
    <r>
      <t xml:space="preserve">Insert Wicket
From </t>
    </r>
    <r>
      <rPr>
        <i/>
        <sz val="8"/>
        <rFont val="Arial"/>
        <family val="2"/>
      </rPr>
      <t>(fx)</t>
    </r>
    <r>
      <rPr>
        <sz val="8"/>
        <rFont val="Arial"/>
        <family val="2"/>
      </rPr>
      <t>:</t>
    </r>
  </si>
  <si>
    <r>
      <t xml:space="preserve">Pouches Per
 Wicket </t>
    </r>
    <r>
      <rPr>
        <i/>
        <sz val="8"/>
        <rFont val="Arial"/>
        <family val="2"/>
      </rPr>
      <t>(fx)</t>
    </r>
    <r>
      <rPr>
        <sz val="8"/>
        <rFont val="Arial"/>
        <family val="2"/>
      </rPr>
      <t>:</t>
    </r>
  </si>
  <si>
    <r>
      <t xml:space="preserve">Horiz. Print Pos.
(if not centered) </t>
    </r>
    <r>
      <rPr>
        <i/>
        <sz val="8"/>
        <rFont val="Arial"/>
        <family val="2"/>
      </rPr>
      <t>(fx)</t>
    </r>
    <r>
      <rPr>
        <sz val="8"/>
        <rFont val="Arial"/>
        <family val="2"/>
      </rPr>
      <t>:</t>
    </r>
  </si>
  <si>
    <r>
      <t xml:space="preserve">Vert. Print Pos.
(if not centered) </t>
    </r>
    <r>
      <rPr>
        <i/>
        <sz val="8"/>
        <rFont val="Arial"/>
        <family val="2"/>
      </rPr>
      <t>(fx)</t>
    </r>
    <r>
      <rPr>
        <sz val="8"/>
        <rFont val="Arial"/>
        <family val="2"/>
      </rPr>
      <t>:</t>
    </r>
  </si>
  <si>
    <t>Pin Hole(s) Position:</t>
  </si>
  <si>
    <t>Pin Hole(s):</t>
  </si>
  <si>
    <t>DATE, REVISIONS, REMARKS</t>
  </si>
  <si>
    <t>PROOF REQUIRED:</t>
  </si>
  <si>
    <t>F &amp; B Alternate:</t>
  </si>
  <si>
    <t>Time Required:</t>
  </si>
  <si>
    <t># Across:</t>
  </si>
  <si>
    <t># Around:</t>
  </si>
  <si>
    <t>Laminated to:</t>
  </si>
  <si>
    <t>PRINT POSITION AND COLOURS:</t>
  </si>
  <si>
    <t>INTERNAL CHANGE MEMO - 3 SIDE SEAL POUCH:</t>
  </si>
  <si>
    <t>C.O.#</t>
  </si>
  <si>
    <t>Pouch Type:</t>
  </si>
  <si>
    <t>RWC or New?:</t>
  </si>
  <si>
    <t>Image Sizes:</t>
  </si>
  <si>
    <t>Hole Punch Type/Size:</t>
  </si>
  <si>
    <t>Total # Cols:</t>
  </si>
  <si>
    <r>
      <rPr>
        <b/>
        <sz val="7"/>
        <rFont val="Arial"/>
        <family val="2"/>
      </rPr>
      <t>F</t>
    </r>
    <r>
      <rPr>
        <sz val="7"/>
        <rFont val="Arial"/>
        <family val="2"/>
      </rPr>
      <t xml:space="preserve"> Print Direction:</t>
    </r>
  </si>
  <si>
    <t>Degas. Valve Pos.:</t>
  </si>
  <si>
    <t>Centered
Side to Side:</t>
  </si>
  <si>
    <t>Centered
Top to Bottom:</t>
  </si>
  <si>
    <t>Perf or Laser Scored:</t>
  </si>
  <si>
    <t>Pouches / Wckt:</t>
  </si>
  <si>
    <t>Medical Application:</t>
  </si>
  <si>
    <r>
      <t xml:space="preserve">Distance from top
of Lip (mm) </t>
    </r>
    <r>
      <rPr>
        <i/>
        <sz val="8"/>
        <rFont val="Arial"/>
        <family val="2"/>
      </rPr>
      <t>(fx</t>
    </r>
    <r>
      <rPr>
        <sz val="8"/>
        <rFont val="Arial"/>
        <family val="2"/>
      </rPr>
      <t>):</t>
    </r>
  </si>
  <si>
    <t>Select Pouch Type:</t>
  </si>
  <si>
    <t>Dist. from top of Lip (mm):</t>
  </si>
  <si>
    <t>0082</t>
  </si>
  <si>
    <t>Bennett, Kevin</t>
  </si>
  <si>
    <t>Perforation Line or
Laser Scored?</t>
  </si>
  <si>
    <t>Orientation:</t>
  </si>
  <si>
    <t>Sales Rep #:</t>
  </si>
  <si>
    <t>TRAPPING / STEP &amp; REPEAT - 3 SIDE SEAL POUCH</t>
  </si>
  <si>
    <t>DIELINE SPECIFICATIONS - 3 SIDE SEAL POUCH :</t>
  </si>
  <si>
    <t>Besant, Steve - MB</t>
  </si>
  <si>
    <t>Graham, Robert (WPP-ON)</t>
  </si>
  <si>
    <t>Hurley, Steven</t>
  </si>
  <si>
    <t>Besant, Steve - AB, SK</t>
  </si>
  <si>
    <t>Hamill, David - LTD US$</t>
  </si>
  <si>
    <t>Carman, Ted - LTD US$</t>
  </si>
  <si>
    <t>Carman, Ted - LTD $CAD</t>
  </si>
  <si>
    <t>0076</t>
  </si>
  <si>
    <t>Cutler, Dave (WPP)</t>
  </si>
  <si>
    <t>McCormac, Frank</t>
  </si>
  <si>
    <t>0084</t>
  </si>
  <si>
    <t>Cameron, Herman (WFI)</t>
  </si>
  <si>
    <t>0333</t>
  </si>
  <si>
    <t>Romig, Bill</t>
  </si>
  <si>
    <t>Matthews, Mike</t>
  </si>
  <si>
    <t>McCormick, Kevin</t>
  </si>
  <si>
    <t>Johnson, Eric (WPP)</t>
  </si>
  <si>
    <t>Abernethy, Chip</t>
  </si>
  <si>
    <t>Fiedler, David (WFI)</t>
  </si>
  <si>
    <t>Cote, Jeff - Direct</t>
  </si>
  <si>
    <t>Jones, Greg - Dist</t>
  </si>
  <si>
    <t>Scheiller, Al</t>
  </si>
  <si>
    <t>Harrison, Ron - Dist</t>
  </si>
  <si>
    <t>Klips, Ryan - Dist</t>
  </si>
  <si>
    <t>House Texas Direct</t>
  </si>
  <si>
    <t>House Texas Distributors</t>
  </si>
  <si>
    <t>Cote, Jess - Dist</t>
  </si>
  <si>
    <t>Harrison, Ron - Direct</t>
  </si>
  <si>
    <t>House - Inc.</t>
  </si>
  <si>
    <t>Guerrerro, Bobby - Dist</t>
  </si>
  <si>
    <t>Sayad, David</t>
  </si>
  <si>
    <t>Briggs, Bob (WPP)</t>
  </si>
  <si>
    <t>Gregg, Darin</t>
  </si>
  <si>
    <t>Sattler, Barbara (WPP)</t>
  </si>
  <si>
    <t>Guerrerro, Bobby - Direct</t>
  </si>
  <si>
    <t>Vista International</t>
  </si>
  <si>
    <t>Smith, Matthew</t>
  </si>
  <si>
    <t>Woelfel, Terry</t>
  </si>
  <si>
    <t>Prena, Dan</t>
  </si>
  <si>
    <t>Rondeau, Rick - US$</t>
  </si>
  <si>
    <t>Lauck, Jacob</t>
  </si>
  <si>
    <t>Gustashaw, Ben - Direct</t>
  </si>
  <si>
    <t>Gustashaw, Ben - Dist</t>
  </si>
  <si>
    <t>Advanced Packaging</t>
  </si>
  <si>
    <t>Miller, Clyde Red</t>
  </si>
  <si>
    <t>Butcher &amp; Packer</t>
  </si>
  <si>
    <t>Bobbs, Kathy (WFI)</t>
  </si>
  <si>
    <t>Davis, Glenn</t>
  </si>
  <si>
    <t>Manley, Tom</t>
  </si>
  <si>
    <t>Topps, Chris</t>
  </si>
  <si>
    <t>0656</t>
  </si>
  <si>
    <t>Fenske, Kathy (WPP)</t>
  </si>
  <si>
    <t>Ruggiero, Peterson &amp; Assoc</t>
  </si>
  <si>
    <t>McMacken, Paul</t>
  </si>
  <si>
    <t>Packaging Resource LLC</t>
  </si>
  <si>
    <t>Cyrus, Jim</t>
  </si>
  <si>
    <t>Jones, Greg</t>
  </si>
  <si>
    <t>Toilette, Bud</t>
  </si>
  <si>
    <t>0673</t>
  </si>
  <si>
    <t>0676</t>
  </si>
  <si>
    <t>Johnson, Lance</t>
  </si>
  <si>
    <t>0677</t>
  </si>
  <si>
    <t>Wetoska Sales &amp; Service</t>
  </si>
  <si>
    <t>Colpack / Elore</t>
  </si>
  <si>
    <t>0684</t>
  </si>
  <si>
    <t>Bender, Greg 9WPP)</t>
  </si>
  <si>
    <t>McNeil-Papetti, Don</t>
  </si>
  <si>
    <t>Wheeler, Britton</t>
  </si>
  <si>
    <t>0688</t>
  </si>
  <si>
    <t>0689</t>
  </si>
  <si>
    <t>Wheeler, Britton (Southwest)</t>
  </si>
  <si>
    <t>0690</t>
  </si>
  <si>
    <t>Anderson, Chad</t>
  </si>
  <si>
    <t>0691</t>
  </si>
  <si>
    <t>Luciano, Sandra</t>
  </si>
  <si>
    <t xml:space="preserve"> Argentina</t>
  </si>
  <si>
    <t xml:space="preserve"> Brazil</t>
  </si>
  <si>
    <t>Central America</t>
  </si>
  <si>
    <t>Columbia</t>
  </si>
  <si>
    <t>Costa Rica</t>
  </si>
  <si>
    <t>Equador</t>
  </si>
  <si>
    <t>Resendez - Sigma</t>
  </si>
  <si>
    <t>Peru</t>
  </si>
  <si>
    <t>South America</t>
  </si>
  <si>
    <t>Venezuela</t>
  </si>
  <si>
    <t>Foodtek Car (PR)</t>
  </si>
  <si>
    <t>Chile</t>
  </si>
  <si>
    <t>Garcia, Ian - Mexico</t>
  </si>
  <si>
    <t>Resendez</t>
  </si>
  <si>
    <t>0830</t>
  </si>
  <si>
    <t>Dominiccan Republic</t>
  </si>
  <si>
    <t>0832</t>
  </si>
  <si>
    <t>Swartz, Todd (WHS)</t>
  </si>
  <si>
    <t>June 9, 2014</t>
  </si>
  <si>
    <t>Dunne, Keith</t>
  </si>
  <si>
    <t>Foodtek - Carib. CDN$</t>
  </si>
  <si>
    <t>Prena, Dan CDN$</t>
  </si>
  <si>
    <t>Charlebois, MJ - CDN$</t>
  </si>
  <si>
    <t>0086</t>
  </si>
  <si>
    <t>Guerrerro, Bobby - Dist LTD US$</t>
  </si>
  <si>
    <t>Foodtek - Carib. US$</t>
  </si>
  <si>
    <t>Export Ltd.  - US$</t>
  </si>
  <si>
    <t>Bennett, Kevin - US$</t>
  </si>
  <si>
    <t>Hurley, Steven - US$</t>
  </si>
  <si>
    <t>Pellerin, Phillippe - US$</t>
  </si>
  <si>
    <t>Bennett, Kevin - LTD / US$</t>
  </si>
  <si>
    <t>Hurley, Steven - LTD  / US$</t>
  </si>
  <si>
    <t>Klips, Ryan US$</t>
  </si>
  <si>
    <t>Norm Rowe Distributors</t>
  </si>
  <si>
    <t>Bergsma, MarK -  US$</t>
  </si>
  <si>
    <t>Besant, Steve - US$</t>
  </si>
  <si>
    <t>Andrea, Baker - Dist - LTD / US$</t>
  </si>
  <si>
    <t>Charlebois, MJ - US$</t>
  </si>
  <si>
    <t>Maxwell, Colleen - INC / US$</t>
  </si>
  <si>
    <t>0692</t>
  </si>
  <si>
    <t>Averwater, Lee</t>
  </si>
  <si>
    <t>S+R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</si>
</sst>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mmmm\ d\,\ yyyy"/>
    <numFmt numFmtId="165" formatCode="0.000"/>
    <numFmt numFmtId="166" formatCode="0.0"/>
    <numFmt numFmtId="167" formatCode="d/mmm/yyyy"/>
  </numFmts>
  <fonts count="39" x14ac:knownFonts="1">
    <font>
      <sz val="10"/>
      <name val="Arial"/>
      <charset val="204"/>
    </font>
    <font>
      <sz val="10"/>
      <name val="Arial"/>
      <family val="2"/>
    </font>
    <font>
      <sz val="12"/>
      <name val="Arial"/>
      <family val="2"/>
      <charset val="204"/>
    </font>
    <font>
      <b/>
      <sz val="12"/>
      <name val="Arial"/>
      <family val="2"/>
      <charset val="204"/>
    </font>
    <font>
      <sz val="8"/>
      <name val="Arial"/>
      <family val="2"/>
    </font>
    <font>
      <u/>
      <sz val="15"/>
      <color indexed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9"/>
      <name val="Arial"/>
      <family val="2"/>
    </font>
    <font>
      <b/>
      <sz val="11"/>
      <color indexed="9"/>
      <name val="Arial"/>
      <family val="2"/>
    </font>
    <font>
      <b/>
      <sz val="9"/>
      <name val="Arial"/>
      <family val="2"/>
    </font>
    <font>
      <b/>
      <u/>
      <sz val="9"/>
      <color indexed="9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b/>
      <sz val="14"/>
      <name val="Arial"/>
      <family val="2"/>
    </font>
    <font>
      <b/>
      <sz val="8"/>
      <name val="Arial"/>
      <family val="2"/>
    </font>
    <font>
      <b/>
      <sz val="14"/>
      <color indexed="9"/>
      <name val="Arial Bold"/>
      <charset val="204"/>
    </font>
    <font>
      <sz val="7"/>
      <name val="Arial"/>
      <family val="2"/>
    </font>
    <font>
      <b/>
      <sz val="14"/>
      <color indexed="9"/>
      <name val="Arial"/>
      <family val="2"/>
    </font>
    <font>
      <sz val="14"/>
      <name val="Arial"/>
      <family val="2"/>
    </font>
    <font>
      <b/>
      <sz val="8.5"/>
      <name val="Arial"/>
      <family val="2"/>
    </font>
    <font>
      <sz val="9"/>
      <name val="Arial Black"/>
      <family val="2"/>
    </font>
    <font>
      <sz val="12"/>
      <name val="Arial Black"/>
      <family val="2"/>
    </font>
    <font>
      <sz val="10"/>
      <name val="Arial Black"/>
      <family val="2"/>
    </font>
    <font>
      <sz val="11"/>
      <name val="Arial Black"/>
      <family val="2"/>
    </font>
    <font>
      <sz val="6"/>
      <name val="Arial"/>
      <family val="2"/>
    </font>
    <font>
      <sz val="9"/>
      <color indexed="81"/>
      <name val="Arial"/>
      <family val="2"/>
    </font>
    <font>
      <b/>
      <sz val="9"/>
      <color indexed="81"/>
      <name val="Arial"/>
      <family val="2"/>
    </font>
    <font>
      <b/>
      <sz val="7"/>
      <name val="Arial"/>
      <family val="2"/>
    </font>
    <font>
      <b/>
      <sz val="8.75"/>
      <name val="Arial"/>
      <family val="2"/>
    </font>
    <font>
      <b/>
      <u/>
      <sz val="9"/>
      <color theme="8" tint="0.59999389629810485"/>
      <name val="Arial"/>
      <family val="2"/>
    </font>
    <font>
      <b/>
      <sz val="10"/>
      <color theme="0"/>
      <name val="Arial"/>
      <family val="2"/>
    </font>
    <font>
      <b/>
      <u/>
      <sz val="10"/>
      <color rgb="FFFFFF00"/>
      <name val="Arial"/>
      <family val="2"/>
    </font>
    <font>
      <b/>
      <sz val="9"/>
      <color theme="8" tint="0.59999389629810485"/>
      <name val="Arial"/>
      <family val="2"/>
    </font>
    <font>
      <b/>
      <sz val="10"/>
      <color rgb="FFFF0000"/>
      <name val="Arial"/>
      <family val="2"/>
    </font>
    <font>
      <b/>
      <sz val="8"/>
      <color rgb="FF808080"/>
      <name val="Arial"/>
      <family val="2"/>
    </font>
    <font>
      <b/>
      <u/>
      <sz val="11"/>
      <color rgb="FF000000"/>
      <name val="Arial"/>
      <family val="2"/>
    </font>
    <font>
      <b/>
      <u/>
      <sz val="12"/>
      <color rgb="FF33CCCC"/>
      <name val="Arial"/>
      <family val="2"/>
    </font>
    <font>
      <sz val="10"/>
      <color rgb="FF000000"/>
      <name val="Geneva"/>
      <family val="2"/>
    </font>
  </fonts>
  <fills count="1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7DEE8"/>
        <bgColor rgb="FF000000"/>
      </patternFill>
    </fill>
    <fill>
      <patternFill patternType="solid">
        <fgColor rgb="FFFFFF00"/>
        <bgColor indexed="64"/>
      </patternFill>
    </fill>
  </fills>
  <borders count="37">
    <border>
      <left/>
      <right/>
      <top/>
      <bottom/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dotted">
        <color theme="0" tint="-0.14999847407452621"/>
      </top>
      <bottom style="dotted">
        <color theme="0" tint="-0.14999847407452621"/>
      </bottom>
      <diagonal/>
    </border>
    <border>
      <left/>
      <right/>
      <top style="dotted">
        <color theme="0" tint="-0.14999847407452621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/>
      <bottom style="dotted">
        <color theme="0" tint="-0.14999847407452621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dotted">
        <color theme="0" tint="-0.249977111117893"/>
      </bottom>
      <diagonal/>
    </border>
    <border>
      <left/>
      <right/>
      <top style="dotted">
        <color theme="0" tint="-0.249977111117893"/>
      </top>
      <bottom style="dotted">
        <color theme="0" tint="-0.249977111117893"/>
      </bottom>
      <diagonal/>
    </border>
    <border>
      <left style="dotted">
        <color theme="0" tint="-0.249977111117893"/>
      </left>
      <right style="dotted">
        <color theme="0" tint="-0.249977111117893"/>
      </right>
      <top style="dotted">
        <color theme="0" tint="-0.249977111117893"/>
      </top>
      <bottom style="dotted">
        <color theme="0" tint="-0.249977111117893"/>
      </bottom>
      <diagonal/>
    </border>
    <border>
      <left style="dotted">
        <color theme="0" tint="-0.249977111117893"/>
      </left>
      <right style="dotted">
        <color theme="0" tint="-0.249977111117893"/>
      </right>
      <top style="dotted">
        <color theme="0" tint="-0.249977111117893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337">
    <xf numFmtId="0" fontId="0" fillId="0" borderId="0" xfId="0"/>
    <xf numFmtId="0" fontId="3" fillId="0" borderId="0" xfId="0" applyFont="1"/>
    <xf numFmtId="0" fontId="2" fillId="0" borderId="0" xfId="0" applyFont="1"/>
    <xf numFmtId="0" fontId="0" fillId="0" borderId="0" xfId="0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8" fillId="2" borderId="0" xfId="0" applyFont="1" applyFill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7" fillId="0" borderId="0" xfId="0" applyFont="1"/>
    <xf numFmtId="0" fontId="0" fillId="3" borderId="0" xfId="0" applyFill="1" applyAlignment="1" applyProtection="1">
      <alignment vertical="center"/>
    </xf>
    <xf numFmtId="0" fontId="7" fillId="3" borderId="0" xfId="0" applyFont="1" applyFill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</xf>
    <xf numFmtId="0" fontId="7" fillId="0" borderId="0" xfId="0" applyFont="1" applyAlignment="1" applyProtection="1">
      <alignment vertical="center"/>
    </xf>
    <xf numFmtId="0" fontId="7" fillId="0" borderId="0" xfId="0" applyFont="1" applyFill="1" applyAlignment="1" applyProtection="1">
      <alignment vertical="center"/>
    </xf>
    <xf numFmtId="0" fontId="0" fillId="0" borderId="0" xfId="0" applyFill="1" applyAlignment="1" applyProtection="1">
      <alignment vertical="center"/>
    </xf>
    <xf numFmtId="0" fontId="6" fillId="0" borderId="0" xfId="0" applyFont="1" applyFill="1" applyBorder="1" applyAlignment="1" applyProtection="1">
      <alignment vertical="center"/>
    </xf>
    <xf numFmtId="0" fontId="4" fillId="0" borderId="0" xfId="0" applyFont="1" applyFill="1" applyBorder="1" applyAlignment="1" applyProtection="1">
      <alignment horizontal="left" vertical="center"/>
    </xf>
    <xf numFmtId="0" fontId="4" fillId="0" borderId="1" xfId="0" applyFont="1" applyBorder="1" applyAlignment="1" applyProtection="1">
      <alignment vertical="center" wrapText="1"/>
    </xf>
    <xf numFmtId="0" fontId="4" fillId="0" borderId="1" xfId="0" applyFont="1" applyBorder="1" applyAlignment="1" applyProtection="1">
      <alignment vertical="center"/>
    </xf>
    <xf numFmtId="0" fontId="4" fillId="3" borderId="1" xfId="0" applyFont="1" applyFill="1" applyBorder="1" applyAlignment="1" applyProtection="1">
      <alignment vertical="center"/>
    </xf>
    <xf numFmtId="0" fontId="4" fillId="0" borderId="0" xfId="0" applyFont="1" applyAlignment="1" applyProtection="1">
      <alignment vertical="center"/>
    </xf>
    <xf numFmtId="0" fontId="4" fillId="0" borderId="0" xfId="0" applyFont="1" applyFill="1" applyBorder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4" fillId="3" borderId="0" xfId="0" applyFont="1" applyFill="1" applyBorder="1" applyAlignment="1" applyProtection="1">
      <alignment vertical="center"/>
    </xf>
    <xf numFmtId="0" fontId="4" fillId="0" borderId="0" xfId="0" applyFont="1" applyBorder="1" applyAlignment="1" applyProtection="1">
      <alignment vertical="center" wrapText="1"/>
    </xf>
    <xf numFmtId="0" fontId="10" fillId="0" borderId="0" xfId="0" applyFont="1" applyAlignment="1" applyProtection="1">
      <alignment vertical="center"/>
    </xf>
    <xf numFmtId="0" fontId="11" fillId="0" borderId="0" xfId="1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left" vertical="center"/>
    </xf>
    <xf numFmtId="0" fontId="4" fillId="3" borderId="0" xfId="0" applyFont="1" applyFill="1" applyAlignment="1" applyProtection="1">
      <alignment horizontal="left" vertical="center"/>
    </xf>
    <xf numFmtId="0" fontId="4" fillId="0" borderId="0" xfId="0" applyFont="1" applyFill="1" applyBorder="1" applyAlignment="1" applyProtection="1">
      <alignment vertical="center" wrapText="1"/>
    </xf>
    <xf numFmtId="0" fontId="4" fillId="0" borderId="0" xfId="0" applyFont="1" applyAlignment="1" applyProtection="1">
      <alignment horizontal="center" vertical="center"/>
    </xf>
    <xf numFmtId="0" fontId="4" fillId="0" borderId="1" xfId="0" applyFont="1" applyFill="1" applyBorder="1" applyAlignment="1" applyProtection="1">
      <alignment vertical="center"/>
    </xf>
    <xf numFmtId="0" fontId="10" fillId="3" borderId="0" xfId="0" applyFont="1" applyFill="1" applyAlignment="1" applyProtection="1">
      <alignment vertical="center"/>
    </xf>
    <xf numFmtId="0" fontId="12" fillId="3" borderId="0" xfId="0" applyFont="1" applyFill="1" applyAlignment="1" applyProtection="1">
      <alignment vertical="center"/>
    </xf>
    <xf numFmtId="0" fontId="10" fillId="0" borderId="0" xfId="0" applyFont="1" applyFill="1" applyBorder="1" applyAlignment="1" applyProtection="1">
      <alignment horizontal="left" vertical="center"/>
    </xf>
    <xf numFmtId="0" fontId="6" fillId="0" borderId="0" xfId="0" applyFont="1" applyFill="1" applyBorder="1" applyAlignment="1" applyProtection="1">
      <alignment horizontal="left" vertical="center"/>
    </xf>
    <xf numFmtId="0" fontId="4" fillId="0" borderId="1" xfId="0" applyFont="1" applyFill="1" applyBorder="1" applyAlignment="1" applyProtection="1">
      <alignment horizontal="left" vertical="center" shrinkToFit="1"/>
    </xf>
    <xf numFmtId="0" fontId="6" fillId="3" borderId="0" xfId="0" applyFont="1" applyFill="1" applyAlignment="1" applyProtection="1">
      <alignment vertical="center"/>
    </xf>
    <xf numFmtId="0" fontId="12" fillId="0" borderId="0" xfId="0" applyFont="1" applyAlignment="1" applyProtection="1">
      <alignment vertical="center"/>
    </xf>
    <xf numFmtId="0" fontId="13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left" vertical="center" shrinkToFit="1"/>
    </xf>
    <xf numFmtId="1" fontId="6" fillId="0" borderId="0" xfId="0" applyNumberFormat="1" applyFont="1" applyFill="1" applyBorder="1" applyAlignment="1" applyProtection="1">
      <alignment horizontal="left" vertical="center"/>
    </xf>
    <xf numFmtId="0" fontId="7" fillId="3" borderId="0" xfId="0" applyFont="1" applyFill="1" applyAlignment="1" applyProtection="1">
      <alignment horizontal="left" vertical="center"/>
    </xf>
    <xf numFmtId="0" fontId="6" fillId="0" borderId="2" xfId="0" applyFont="1" applyFill="1" applyBorder="1" applyAlignment="1" applyProtection="1">
      <alignment horizontal="left" vertical="center" shrinkToFit="1"/>
    </xf>
    <xf numFmtId="0" fontId="6" fillId="0" borderId="2" xfId="0" applyFont="1" applyFill="1" applyBorder="1" applyAlignment="1" applyProtection="1">
      <alignment vertical="center" shrinkToFit="1"/>
    </xf>
    <xf numFmtId="0" fontId="7" fillId="3" borderId="0" xfId="0" applyFont="1" applyFill="1" applyBorder="1" applyAlignment="1" applyProtection="1">
      <alignment horizontal="left" vertical="center"/>
    </xf>
    <xf numFmtId="0" fontId="4" fillId="0" borderId="1" xfId="0" applyFont="1" applyBorder="1" applyAlignment="1">
      <alignment vertical="center" wrapText="1"/>
    </xf>
    <xf numFmtId="0" fontId="6" fillId="0" borderId="0" xfId="0" applyFont="1" applyFill="1" applyBorder="1" applyAlignment="1" applyProtection="1">
      <alignment horizontal="left" vertical="center" wrapText="1"/>
    </xf>
    <xf numFmtId="0" fontId="1" fillId="0" borderId="0" xfId="0" applyFont="1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0" xfId="0" applyFill="1" applyBorder="1" applyAlignment="1" applyProtection="1">
      <alignment horizontal="left" vertical="top" wrapText="1"/>
    </xf>
    <xf numFmtId="0" fontId="6" fillId="6" borderId="3" xfId="0" applyFont="1" applyFill="1" applyBorder="1" applyAlignment="1" applyProtection="1">
      <alignment horizontal="left" vertical="center"/>
      <protection locked="0"/>
    </xf>
    <xf numFmtId="49" fontId="6" fillId="6" borderId="3" xfId="0" applyNumberFormat="1" applyFont="1" applyFill="1" applyBorder="1" applyAlignment="1" applyProtection="1">
      <alignment horizontal="left" vertical="center"/>
      <protection locked="0"/>
    </xf>
    <xf numFmtId="0" fontId="6" fillId="6" borderId="3" xfId="0" applyFont="1" applyFill="1" applyBorder="1" applyAlignment="1" applyProtection="1">
      <alignment horizontal="left" vertical="center" wrapText="1"/>
      <protection locked="0"/>
    </xf>
    <xf numFmtId="0" fontId="6" fillId="6" borderId="3" xfId="0" applyFont="1" applyFill="1" applyBorder="1" applyAlignment="1" applyProtection="1">
      <alignment vertical="center"/>
      <protection locked="0"/>
    </xf>
    <xf numFmtId="0" fontId="30" fillId="2" borderId="0" xfId="1" applyFont="1" applyFill="1" applyBorder="1" applyAlignment="1" applyProtection="1">
      <alignment horizontal="center" vertical="center" wrapText="1"/>
    </xf>
    <xf numFmtId="0" fontId="0" fillId="0" borderId="4" xfId="0" quotePrefix="1" applyFill="1" applyBorder="1" applyAlignment="1">
      <alignment horizontal="center" vertical="center"/>
    </xf>
    <xf numFmtId="0" fontId="0" fillId="0" borderId="4" xfId="0" applyFill="1" applyBorder="1" applyAlignment="1">
      <alignment horizontal="left" vertical="center" indent="1"/>
    </xf>
    <xf numFmtId="0" fontId="0" fillId="0" borderId="0" xfId="0" applyAlignment="1">
      <alignment vertical="center"/>
    </xf>
    <xf numFmtId="0" fontId="0" fillId="0" borderId="4" xfId="0" applyFill="1" applyBorder="1" applyAlignment="1">
      <alignment horizontal="center" vertical="center"/>
    </xf>
    <xf numFmtId="0" fontId="0" fillId="0" borderId="4" xfId="0" applyFont="1" applyFill="1" applyBorder="1" applyAlignment="1">
      <alignment horizontal="left" vertical="center" indent="1"/>
    </xf>
    <xf numFmtId="0" fontId="0" fillId="0" borderId="0" xfId="0" applyBorder="1"/>
    <xf numFmtId="0" fontId="0" fillId="0" borderId="0" xfId="0" applyBorder="1" applyAlignment="1">
      <alignment horizontal="left" indent="1"/>
    </xf>
    <xf numFmtId="0" fontId="6" fillId="0" borderId="0" xfId="0" applyFont="1" applyFill="1" applyBorder="1" applyAlignment="1" applyProtection="1">
      <alignment vertical="center" shrinkToFit="1"/>
    </xf>
    <xf numFmtId="0" fontId="16" fillId="2" borderId="0" xfId="0" applyFont="1" applyFill="1" applyAlignment="1" applyProtection="1">
      <alignment vertical="center"/>
    </xf>
    <xf numFmtId="0" fontId="6" fillId="6" borderId="3" xfId="0" applyFont="1" applyFill="1" applyBorder="1" applyAlignment="1" applyProtection="1">
      <alignment horizontal="left" vertical="center" wrapText="1"/>
      <protection locked="0"/>
    </xf>
    <xf numFmtId="0" fontId="9" fillId="2" borderId="0" xfId="0" applyFont="1" applyFill="1" applyAlignment="1" applyProtection="1">
      <alignment horizontal="left" vertical="center"/>
    </xf>
    <xf numFmtId="0" fontId="0" fillId="0" borderId="0" xfId="0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4" borderId="0" xfId="0" applyFill="1" applyProtection="1">
      <protection locked="0"/>
    </xf>
    <xf numFmtId="0" fontId="0" fillId="6" borderId="0" xfId="0" applyFill="1"/>
    <xf numFmtId="0" fontId="0" fillId="7" borderId="0" xfId="0" applyFill="1" applyAlignment="1">
      <alignment vertical="center"/>
    </xf>
    <xf numFmtId="0" fontId="17" fillId="8" borderId="19" xfId="0" applyFont="1" applyFill="1" applyBorder="1" applyAlignment="1">
      <alignment vertical="center"/>
    </xf>
    <xf numFmtId="0" fontId="17" fillId="8" borderId="20" xfId="0" applyFont="1" applyFill="1" applyBorder="1" applyAlignment="1">
      <alignment vertical="center"/>
    </xf>
    <xf numFmtId="0" fontId="0" fillId="8" borderId="2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7" borderId="0" xfId="0" applyFill="1" applyBorder="1" applyAlignment="1">
      <alignment vertical="center"/>
    </xf>
    <xf numFmtId="0" fontId="14" fillId="8" borderId="19" xfId="0" applyFont="1" applyFill="1" applyBorder="1" applyAlignment="1">
      <alignment vertical="center"/>
    </xf>
    <xf numFmtId="0" fontId="6" fillId="8" borderId="20" xfId="0" applyFont="1" applyFill="1" applyBorder="1" applyAlignment="1">
      <alignment vertical="center"/>
    </xf>
    <xf numFmtId="0" fontId="31" fillId="7" borderId="0" xfId="0" applyFont="1" applyFill="1" applyAlignment="1">
      <alignment vertical="center"/>
    </xf>
    <xf numFmtId="0" fontId="32" fillId="7" borderId="0" xfId="1" applyFont="1" applyFill="1" applyAlignment="1" applyProtection="1">
      <alignment horizontal="center" vertical="center"/>
    </xf>
    <xf numFmtId="0" fontId="17" fillId="0" borderId="0" xfId="0" applyFont="1" applyAlignment="1">
      <alignment vertical="center"/>
    </xf>
    <xf numFmtId="0" fontId="17" fillId="0" borderId="19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17" fillId="0" borderId="19" xfId="0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166" fontId="0" fillId="0" borderId="0" xfId="0" applyNumberFormat="1"/>
    <xf numFmtId="0" fontId="0" fillId="0" borderId="23" xfId="0" applyBorder="1"/>
    <xf numFmtId="0" fontId="0" fillId="0" borderId="20" xfId="0" applyBorder="1"/>
    <xf numFmtId="0" fontId="0" fillId="0" borderId="0" xfId="0" applyAlignment="1"/>
    <xf numFmtId="0" fontId="0" fillId="0" borderId="0" xfId="0" applyBorder="1" applyAlignment="1">
      <alignment vertical="center"/>
    </xf>
    <xf numFmtId="0" fontId="17" fillId="8" borderId="0" xfId="0" applyFont="1" applyFill="1" applyBorder="1" applyAlignment="1">
      <alignment vertical="center"/>
    </xf>
    <xf numFmtId="0" fontId="20" fillId="0" borderId="0" xfId="0" applyFont="1" applyFill="1" applyBorder="1" applyAlignment="1" applyProtection="1">
      <alignment horizontal="left" vertical="center"/>
      <protection locked="0"/>
    </xf>
    <xf numFmtId="0" fontId="17" fillId="0" borderId="20" xfId="0" applyFont="1" applyFill="1" applyBorder="1" applyAlignment="1">
      <alignment vertical="center"/>
    </xf>
    <xf numFmtId="0" fontId="0" fillId="0" borderId="20" xfId="0" applyFill="1" applyBorder="1"/>
    <xf numFmtId="0" fontId="0" fillId="0" borderId="20" xfId="0" applyFill="1" applyBorder="1" applyAlignment="1">
      <alignment vertical="center"/>
    </xf>
    <xf numFmtId="0" fontId="0" fillId="0" borderId="24" xfId="0" applyBorder="1" applyAlignment="1">
      <alignment vertical="center"/>
    </xf>
    <xf numFmtId="0" fontId="10" fillId="6" borderId="3" xfId="0" applyFont="1" applyFill="1" applyBorder="1" applyAlignment="1" applyProtection="1">
      <alignment horizontal="left" vertical="center" wrapText="1"/>
      <protection locked="0"/>
    </xf>
    <xf numFmtId="0" fontId="0" fillId="4" borderId="0" xfId="0" applyFill="1" applyAlignment="1" applyProtection="1">
      <alignment wrapText="1"/>
      <protection locked="0"/>
    </xf>
    <xf numFmtId="0" fontId="7" fillId="0" borderId="0" xfId="0" applyFont="1" applyAlignment="1" applyProtection="1">
      <alignment wrapText="1"/>
      <protection locked="0"/>
    </xf>
    <xf numFmtId="0" fontId="10" fillId="0" borderId="0" xfId="0" applyFont="1" applyFill="1" applyAlignment="1" applyProtection="1">
      <alignment wrapText="1"/>
      <protection locked="0"/>
    </xf>
    <xf numFmtId="0" fontId="7" fillId="0" borderId="0" xfId="0" applyFont="1" applyFill="1" applyAlignment="1" applyProtection="1">
      <alignment wrapText="1"/>
      <protection locked="0"/>
    </xf>
    <xf numFmtId="0" fontId="6" fillId="0" borderId="4" xfId="0" applyFont="1" applyBorder="1" applyAlignment="1" applyProtection="1">
      <alignment horizontal="center" wrapText="1"/>
      <protection locked="0"/>
    </xf>
    <xf numFmtId="0" fontId="0" fillId="0" borderId="0" xfId="0" applyAlignment="1" applyProtection="1">
      <alignment wrapText="1"/>
      <protection locked="0"/>
    </xf>
    <xf numFmtId="0" fontId="0" fillId="5" borderId="0" xfId="0" applyFill="1" applyAlignment="1" applyProtection="1">
      <alignment wrapText="1"/>
      <protection locked="0"/>
    </xf>
    <xf numFmtId="0" fontId="20" fillId="0" borderId="0" xfId="0" applyFont="1" applyFill="1" applyBorder="1" applyAlignment="1" applyProtection="1">
      <alignment vertical="center" wrapText="1"/>
      <protection locked="0"/>
    </xf>
    <xf numFmtId="0" fontId="20" fillId="0" borderId="0" xfId="0" applyFont="1" applyFill="1" applyBorder="1" applyAlignment="1" applyProtection="1">
      <alignment horizontal="left" vertical="center" wrapText="1"/>
      <protection locked="0"/>
    </xf>
    <xf numFmtId="0" fontId="25" fillId="2" borderId="0" xfId="0" applyFont="1" applyFill="1" applyAlignment="1" applyProtection="1">
      <alignment vertical="center"/>
    </xf>
    <xf numFmtId="0" fontId="4" fillId="3" borderId="1" xfId="0" applyFont="1" applyFill="1" applyBorder="1" applyAlignment="1" applyProtection="1">
      <alignment vertical="center" wrapText="1"/>
    </xf>
    <xf numFmtId="0" fontId="10" fillId="6" borderId="3" xfId="0" applyFont="1" applyFill="1" applyBorder="1" applyAlignment="1" applyProtection="1">
      <alignment horizontal="left" vertical="center" shrinkToFit="1"/>
      <protection locked="0"/>
    </xf>
    <xf numFmtId="0" fontId="10" fillId="6" borderId="3" xfId="0" applyFont="1" applyFill="1" applyBorder="1" applyAlignment="1" applyProtection="1">
      <alignment horizontal="left" vertical="center"/>
      <protection locked="0"/>
    </xf>
    <xf numFmtId="0" fontId="10" fillId="6" borderId="7" xfId="0" applyFont="1" applyFill="1" applyBorder="1" applyAlignment="1" applyProtection="1">
      <alignment horizontal="left" vertical="center" wrapText="1"/>
      <protection locked="0"/>
    </xf>
    <xf numFmtId="0" fontId="10" fillId="6" borderId="3" xfId="0" applyNumberFormat="1" applyFont="1" applyFill="1" applyBorder="1" applyAlignment="1" applyProtection="1">
      <alignment horizontal="left" vertical="center"/>
      <protection locked="0"/>
    </xf>
    <xf numFmtId="0" fontId="10" fillId="0" borderId="2" xfId="0" applyFont="1" applyBorder="1" applyAlignment="1">
      <alignment horizontal="left" vertical="center" wrapText="1"/>
    </xf>
    <xf numFmtId="0" fontId="6" fillId="0" borderId="0" xfId="0" applyFont="1" applyAlignment="1">
      <alignment vertical="center"/>
    </xf>
    <xf numFmtId="0" fontId="15" fillId="0" borderId="0" xfId="0" applyFont="1" applyFill="1" applyAlignment="1">
      <alignment vertical="center"/>
    </xf>
    <xf numFmtId="0" fontId="0" fillId="0" borderId="0" xfId="0" applyBorder="1" applyAlignment="1" applyProtection="1">
      <alignment vertical="center"/>
    </xf>
    <xf numFmtId="0" fontId="10" fillId="0" borderId="0" xfId="0" applyFont="1" applyFill="1" applyBorder="1" applyAlignment="1" applyProtection="1">
      <alignment horizontal="left" vertical="center" wrapText="1"/>
    </xf>
    <xf numFmtId="0" fontId="31" fillId="7" borderId="8" xfId="0" applyFont="1" applyFill="1" applyBorder="1" applyAlignment="1">
      <alignment horizontal="left" vertical="center"/>
    </xf>
    <xf numFmtId="0" fontId="6" fillId="7" borderId="9" xfId="0" applyFont="1" applyFill="1" applyBorder="1" applyAlignment="1">
      <alignment horizontal="left" vertical="center"/>
    </xf>
    <xf numFmtId="0" fontId="32" fillId="7" borderId="0" xfId="1" applyFont="1" applyFill="1" applyAlignment="1" applyProtection="1">
      <alignment horizontal="left" vertical="center"/>
    </xf>
    <xf numFmtId="0" fontId="10" fillId="9" borderId="0" xfId="0" applyFont="1" applyFill="1" applyAlignment="1" applyProtection="1">
      <alignment wrapText="1"/>
      <protection locked="0"/>
    </xf>
    <xf numFmtId="0" fontId="7" fillId="0" borderId="0" xfId="0" applyFont="1" applyFill="1" applyAlignment="1" applyProtection="1">
      <alignment horizontal="left" wrapText="1"/>
      <protection locked="0"/>
    </xf>
    <xf numFmtId="0" fontId="7" fillId="0" borderId="0" xfId="0" applyFont="1" applyAlignment="1" applyProtection="1">
      <alignment horizontal="left" wrapText="1"/>
      <protection locked="0"/>
    </xf>
    <xf numFmtId="0" fontId="15" fillId="8" borderId="19" xfId="0" applyFont="1" applyFill="1" applyBorder="1" applyAlignment="1">
      <alignment vertical="center"/>
    </xf>
    <xf numFmtId="0" fontId="20" fillId="0" borderId="20" xfId="0" applyFont="1" applyFill="1" applyBorder="1" applyAlignment="1" applyProtection="1">
      <alignment vertical="center"/>
    </xf>
    <xf numFmtId="0" fontId="23" fillId="7" borderId="9" xfId="0" applyFont="1" applyFill="1" applyBorder="1" applyAlignment="1" applyProtection="1">
      <alignment horizontal="left" vertical="center"/>
    </xf>
    <xf numFmtId="0" fontId="0" fillId="6" borderId="5" xfId="0" applyFont="1" applyFill="1" applyBorder="1" applyAlignment="1" applyProtection="1">
      <alignment horizontal="left" vertical="center"/>
    </xf>
    <xf numFmtId="0" fontId="0" fillId="6" borderId="0" xfId="0" applyFont="1" applyFill="1" applyBorder="1" applyAlignment="1" applyProtection="1">
      <alignment horizontal="left" vertical="center"/>
    </xf>
    <xf numFmtId="0" fontId="0" fillId="6" borderId="6" xfId="0" applyFont="1" applyFill="1" applyBorder="1" applyAlignment="1" applyProtection="1">
      <alignment horizontal="left" vertical="center"/>
    </xf>
    <xf numFmtId="0" fontId="0" fillId="6" borderId="10" xfId="0" applyFont="1" applyFill="1" applyBorder="1" applyAlignment="1" applyProtection="1">
      <alignment horizontal="left" vertical="center"/>
    </xf>
    <xf numFmtId="0" fontId="0" fillId="6" borderId="11" xfId="0" applyFont="1" applyFill="1" applyBorder="1" applyAlignment="1" applyProtection="1">
      <alignment horizontal="left" vertical="center"/>
    </xf>
    <xf numFmtId="0" fontId="0" fillId="6" borderId="12" xfId="0" applyFont="1" applyFill="1" applyBorder="1" applyAlignment="1" applyProtection="1">
      <alignment horizontal="left" vertical="center"/>
    </xf>
    <xf numFmtId="0" fontId="10" fillId="6" borderId="3" xfId="0" applyFont="1" applyFill="1" applyBorder="1" applyAlignment="1" applyProtection="1">
      <alignment horizontal="left" vertical="center"/>
      <protection locked="0"/>
    </xf>
    <xf numFmtId="0" fontId="0" fillId="0" borderId="20" xfId="0" applyBorder="1" applyAlignment="1">
      <alignment vertical="center"/>
    </xf>
    <xf numFmtId="0" fontId="17" fillId="8" borderId="19" xfId="0" applyFont="1" applyFill="1" applyBorder="1" applyAlignment="1">
      <alignment horizontal="left" vertical="center"/>
    </xf>
    <xf numFmtId="0" fontId="17" fillId="8" borderId="19" xfId="0" applyFont="1" applyFill="1" applyBorder="1" applyAlignment="1">
      <alignment vertical="center"/>
    </xf>
    <xf numFmtId="0" fontId="17" fillId="8" borderId="20" xfId="0" applyFont="1" applyFill="1" applyBorder="1" applyAlignment="1">
      <alignment horizontal="left" vertical="center"/>
    </xf>
    <xf numFmtId="0" fontId="10" fillId="6" borderId="3" xfId="0" applyFont="1" applyFill="1" applyBorder="1" applyAlignment="1" applyProtection="1">
      <alignment vertical="center"/>
      <protection locked="0"/>
    </xf>
    <xf numFmtId="0" fontId="7" fillId="6" borderId="25" xfId="0" applyFont="1" applyFill="1" applyBorder="1" applyAlignment="1" applyProtection="1">
      <alignment vertical="center" wrapText="1"/>
    </xf>
    <xf numFmtId="0" fontId="7" fillId="6" borderId="26" xfId="0" applyFont="1" applyFill="1" applyBorder="1" applyAlignment="1" applyProtection="1">
      <alignment vertical="center" wrapText="1"/>
    </xf>
    <xf numFmtId="0" fontId="6" fillId="6" borderId="3" xfId="0" applyFont="1" applyFill="1" applyBorder="1" applyAlignment="1" applyProtection="1">
      <alignment horizontal="left" vertical="center"/>
      <protection locked="0"/>
    </xf>
    <xf numFmtId="0" fontId="17" fillId="0" borderId="20" xfId="0" applyFont="1" applyFill="1" applyBorder="1" applyAlignment="1" applyProtection="1">
      <alignment vertical="center"/>
    </xf>
    <xf numFmtId="0" fontId="29" fillId="6" borderId="3" xfId="0" applyFont="1" applyFill="1" applyBorder="1" applyAlignment="1" applyProtection="1">
      <alignment horizontal="left" vertical="center" wrapText="1"/>
      <protection locked="0"/>
    </xf>
    <xf numFmtId="0" fontId="0" fillId="0" borderId="27" xfId="0" applyBorder="1" applyAlignment="1">
      <alignment vertical="center"/>
    </xf>
    <xf numFmtId="0" fontId="20" fillId="0" borderId="0" xfId="0" applyFont="1" applyFill="1" applyBorder="1" applyAlignment="1">
      <alignment horizontal="left" vertical="center" shrinkToFit="1"/>
    </xf>
    <xf numFmtId="0" fontId="0" fillId="0" borderId="0" xfId="0" applyFill="1" applyBorder="1"/>
    <xf numFmtId="0" fontId="10" fillId="6" borderId="7" xfId="0" applyFont="1" applyFill="1" applyBorder="1" applyAlignment="1" applyProtection="1">
      <alignment horizontal="left" vertical="center" wrapText="1"/>
      <protection locked="0"/>
    </xf>
    <xf numFmtId="0" fontId="10" fillId="6" borderId="7" xfId="0" applyFont="1" applyFill="1" applyBorder="1" applyAlignment="1" applyProtection="1">
      <alignment horizontal="left" vertical="center" wrapText="1" shrinkToFit="1"/>
      <protection locked="0"/>
    </xf>
    <xf numFmtId="0" fontId="0" fillId="6" borderId="4" xfId="0" quotePrefix="1" applyFill="1" applyBorder="1" applyAlignment="1">
      <alignment horizontal="center" vertical="center"/>
    </xf>
    <xf numFmtId="0" fontId="0" fillId="6" borderId="4" xfId="0" applyFill="1" applyBorder="1" applyAlignment="1">
      <alignment horizontal="left" vertical="center" indent="1"/>
    </xf>
    <xf numFmtId="0" fontId="0" fillId="6" borderId="4" xfId="0" applyFill="1" applyBorder="1" applyAlignment="1">
      <alignment horizontal="center" vertical="center"/>
    </xf>
    <xf numFmtId="0" fontId="0" fillId="6" borderId="0" xfId="0" applyFill="1" applyAlignment="1">
      <alignment vertical="center"/>
    </xf>
    <xf numFmtId="0" fontId="0" fillId="6" borderId="4" xfId="0" applyFont="1" applyFill="1" applyBorder="1" applyAlignment="1">
      <alignment horizontal="left" vertical="center" indent="1"/>
    </xf>
    <xf numFmtId="0" fontId="0" fillId="6" borderId="0" xfId="0" applyFill="1" applyAlignment="1" applyProtection="1">
      <alignment horizontal="left" vertical="top"/>
    </xf>
    <xf numFmtId="0" fontId="17" fillId="8" borderId="19" xfId="0" applyFont="1" applyFill="1" applyBorder="1" applyAlignment="1">
      <alignment horizontal="left" vertical="center"/>
    </xf>
    <xf numFmtId="0" fontId="17" fillId="8" borderId="19" xfId="0" applyFont="1" applyFill="1" applyBorder="1" applyAlignment="1">
      <alignment vertical="center"/>
    </xf>
    <xf numFmtId="0" fontId="17" fillId="8" borderId="20" xfId="0" applyFont="1" applyFill="1" applyBorder="1" applyAlignment="1">
      <alignment horizontal="left" vertical="center"/>
    </xf>
    <xf numFmtId="0" fontId="32" fillId="7" borderId="0" xfId="1" applyFont="1" applyFill="1" applyAlignment="1" applyProtection="1">
      <alignment horizontal="center" vertical="center"/>
    </xf>
    <xf numFmtId="0" fontId="32" fillId="7" borderId="0" xfId="1" applyFont="1" applyFill="1" applyAlignment="1" applyProtection="1">
      <alignment vertical="center"/>
    </xf>
    <xf numFmtId="0" fontId="20" fillId="10" borderId="0" xfId="0" applyFont="1" applyFill="1" applyBorder="1" applyAlignment="1" applyProtection="1">
      <alignment horizontal="left" vertical="center"/>
      <protection locked="0"/>
    </xf>
    <xf numFmtId="0" fontId="17" fillId="10" borderId="0" xfId="0" applyFont="1" applyFill="1" applyBorder="1" applyAlignment="1">
      <alignment vertical="center"/>
    </xf>
    <xf numFmtId="0" fontId="0" fillId="10" borderId="0" xfId="0" applyFill="1" applyBorder="1"/>
    <xf numFmtId="0" fontId="10" fillId="0" borderId="0" xfId="0" applyFont="1" applyAlignment="1">
      <alignment vertical="center"/>
    </xf>
    <xf numFmtId="0" fontId="20" fillId="6" borderId="20" xfId="0" applyFont="1" applyFill="1" applyBorder="1" applyAlignment="1" applyProtection="1">
      <alignment horizontal="left" vertical="center"/>
    </xf>
    <xf numFmtId="0" fontId="20" fillId="6" borderId="28" xfId="0" applyFont="1" applyFill="1" applyBorder="1" applyAlignment="1" applyProtection="1">
      <alignment horizontal="left" vertical="center"/>
    </xf>
    <xf numFmtId="0" fontId="0" fillId="0" borderId="29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1" xfId="0" applyBorder="1" applyAlignment="1">
      <alignment vertical="center"/>
    </xf>
    <xf numFmtId="0" fontId="0" fillId="0" borderId="32" xfId="0" applyBorder="1" applyAlignment="1">
      <alignment vertical="center"/>
    </xf>
    <xf numFmtId="0" fontId="17" fillId="0" borderId="19" xfId="0" applyFont="1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8" xfId="0" applyBorder="1" applyAlignment="1">
      <alignment vertical="top"/>
    </xf>
    <xf numFmtId="49" fontId="20" fillId="6" borderId="20" xfId="0" applyNumberFormat="1" applyFont="1" applyFill="1" applyBorder="1" applyAlignment="1" applyProtection="1">
      <alignment horizontal="left" vertical="center"/>
    </xf>
    <xf numFmtId="49" fontId="6" fillId="6" borderId="3" xfId="0" applyNumberFormat="1" applyFont="1" applyFill="1" applyBorder="1" applyAlignment="1" applyProtection="1">
      <alignment horizontal="left" vertical="center" shrinkToFit="1"/>
      <protection locked="0"/>
    </xf>
    <xf numFmtId="0" fontId="1" fillId="0" borderId="0" xfId="0" applyFont="1" applyAlignment="1">
      <alignment vertical="center"/>
    </xf>
    <xf numFmtId="0" fontId="6" fillId="0" borderId="15" xfId="0" applyFont="1" applyBorder="1" applyAlignment="1" applyProtection="1">
      <alignment horizontal="center" wrapText="1"/>
      <protection locked="0"/>
    </xf>
    <xf numFmtId="0" fontId="6" fillId="0" borderId="16" xfId="0" applyFont="1" applyBorder="1" applyAlignment="1" applyProtection="1">
      <alignment horizontal="center" wrapText="1"/>
      <protection locked="0"/>
    </xf>
    <xf numFmtId="0" fontId="4" fillId="3" borderId="1" xfId="0" applyFont="1" applyFill="1" applyBorder="1" applyAlignment="1" applyProtection="1">
      <alignment vertical="center"/>
    </xf>
    <xf numFmtId="0" fontId="0" fillId="0" borderId="20" xfId="0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4" fillId="0" borderId="1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 wrapText="1"/>
    </xf>
    <xf numFmtId="0" fontId="7" fillId="6" borderId="33" xfId="0" applyFont="1" applyFill="1" applyBorder="1" applyAlignment="1" applyProtection="1">
      <alignment horizontal="left" vertical="center" wrapText="1"/>
      <protection locked="0"/>
    </xf>
    <xf numFmtId="0" fontId="7" fillId="6" borderId="25" xfId="0" applyFont="1" applyFill="1" applyBorder="1" applyAlignment="1" applyProtection="1">
      <alignment horizontal="left" vertical="center" wrapText="1"/>
      <protection locked="0"/>
    </xf>
    <xf numFmtId="0" fontId="6" fillId="6" borderId="2" xfId="0" applyFont="1" applyFill="1" applyBorder="1" applyAlignment="1" applyProtection="1">
      <alignment horizontal="left" vertical="center" shrinkToFit="1"/>
      <protection locked="0"/>
    </xf>
    <xf numFmtId="0" fontId="6" fillId="6" borderId="3" xfId="0" applyFont="1" applyFill="1" applyBorder="1" applyAlignment="1" applyProtection="1">
      <alignment horizontal="left" vertical="center" shrinkToFit="1"/>
      <protection locked="0"/>
    </xf>
    <xf numFmtId="164" fontId="6" fillId="6" borderId="2" xfId="0" applyNumberFormat="1" applyFont="1" applyFill="1" applyBorder="1" applyAlignment="1" applyProtection="1">
      <alignment horizontal="left" vertical="center"/>
      <protection locked="0"/>
    </xf>
    <xf numFmtId="164" fontId="6" fillId="6" borderId="3" xfId="0" applyNumberFormat="1" applyFont="1" applyFill="1" applyBorder="1" applyAlignment="1" applyProtection="1">
      <alignment horizontal="left" vertical="center"/>
      <protection locked="0"/>
    </xf>
    <xf numFmtId="0" fontId="10" fillId="6" borderId="1" xfId="0" applyFont="1" applyFill="1" applyBorder="1" applyAlignment="1" applyProtection="1">
      <alignment horizontal="left" vertical="center" wrapText="1" shrinkToFit="1"/>
      <protection locked="0"/>
    </xf>
    <xf numFmtId="0" fontId="10" fillId="6" borderId="3" xfId="0" applyFont="1" applyFill="1" applyBorder="1" applyAlignment="1" applyProtection="1">
      <alignment horizontal="left" vertical="center" wrapText="1" shrinkToFit="1"/>
      <protection locked="0"/>
    </xf>
    <xf numFmtId="0" fontId="15" fillId="6" borderId="2" xfId="0" applyFont="1" applyFill="1" applyBorder="1" applyAlignment="1" applyProtection="1">
      <alignment horizontal="left" vertical="center" wrapText="1"/>
      <protection locked="0"/>
    </xf>
    <xf numFmtId="0" fontId="4" fillId="0" borderId="2" xfId="0" applyFont="1" applyBorder="1" applyAlignment="1"/>
    <xf numFmtId="0" fontId="4" fillId="0" borderId="3" xfId="0" applyFont="1" applyBorder="1" applyAlignment="1"/>
    <xf numFmtId="0" fontId="10" fillId="3" borderId="0" xfId="0" applyFont="1" applyFill="1" applyAlignment="1" applyProtection="1">
      <alignment horizontal="center" vertical="center"/>
    </xf>
    <xf numFmtId="0" fontId="18" fillId="2" borderId="0" xfId="0" applyFont="1" applyFill="1" applyAlignment="1" applyProtection="1">
      <alignment horizontal="center" vertical="center"/>
    </xf>
    <xf numFmtId="0" fontId="19" fillId="0" borderId="0" xfId="0" applyFont="1" applyAlignment="1">
      <alignment horizontal="center" vertical="center"/>
    </xf>
    <xf numFmtId="0" fontId="9" fillId="2" borderId="0" xfId="0" applyFont="1" applyFill="1" applyAlignment="1" applyProtection="1">
      <alignment horizontal="left" vertical="center"/>
    </xf>
    <xf numFmtId="0" fontId="10" fillId="6" borderId="2" xfId="0" applyFont="1" applyFill="1" applyBorder="1" applyAlignment="1" applyProtection="1">
      <alignment horizontal="left" vertical="center" wrapText="1"/>
      <protection locked="0"/>
    </xf>
    <xf numFmtId="0" fontId="7" fillId="0" borderId="2" xfId="0" applyFont="1" applyBorder="1" applyAlignment="1" applyProtection="1">
      <alignment horizontal="left" vertical="center" wrapText="1"/>
      <protection locked="0"/>
    </xf>
    <xf numFmtId="0" fontId="7" fillId="0" borderId="3" xfId="0" applyFont="1" applyBorder="1" applyAlignment="1" applyProtection="1">
      <alignment horizontal="left" vertical="center" wrapText="1"/>
      <protection locked="0"/>
    </xf>
    <xf numFmtId="0" fontId="7" fillId="0" borderId="2" xfId="0" applyFont="1" applyBorder="1" applyAlignment="1"/>
    <xf numFmtId="0" fontId="4" fillId="3" borderId="1" xfId="0" applyFont="1" applyFill="1" applyBorder="1" applyAlignment="1" applyProtection="1">
      <alignment vertical="center" wrapText="1"/>
    </xf>
    <xf numFmtId="0" fontId="33" fillId="6" borderId="2" xfId="0" applyFont="1" applyFill="1" applyBorder="1" applyAlignment="1" applyProtection="1">
      <alignment horizontal="left" vertical="center" wrapText="1"/>
      <protection locked="0"/>
    </xf>
    <xf numFmtId="0" fontId="33" fillId="6" borderId="3" xfId="0" applyFont="1" applyFill="1" applyBorder="1" applyAlignment="1" applyProtection="1">
      <alignment horizontal="left" vertical="center" wrapText="1"/>
      <protection locked="0"/>
    </xf>
    <xf numFmtId="1" fontId="6" fillId="6" borderId="2" xfId="0" applyNumberFormat="1" applyFont="1" applyFill="1" applyBorder="1" applyAlignment="1" applyProtection="1">
      <alignment horizontal="left" vertical="center"/>
      <protection locked="0"/>
    </xf>
    <xf numFmtId="1" fontId="6" fillId="6" borderId="3" xfId="0" applyNumberFormat="1" applyFont="1" applyFill="1" applyBorder="1" applyAlignment="1" applyProtection="1">
      <alignment horizontal="left" vertical="center"/>
      <protection locked="0"/>
    </xf>
    <xf numFmtId="0" fontId="4" fillId="0" borderId="2" xfId="0" applyFont="1" applyBorder="1" applyAlignment="1" applyProtection="1">
      <alignment vertical="center" wrapText="1"/>
    </xf>
    <xf numFmtId="0" fontId="6" fillId="0" borderId="2" xfId="0" applyFont="1" applyFill="1" applyBorder="1" applyAlignment="1" applyProtection="1">
      <alignment horizontal="left" vertical="center"/>
    </xf>
    <xf numFmtId="0" fontId="6" fillId="0" borderId="3" xfId="0" applyFont="1" applyFill="1" applyBorder="1" applyAlignment="1" applyProtection="1">
      <alignment horizontal="left" vertical="center"/>
    </xf>
    <xf numFmtId="0" fontId="16" fillId="2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</xf>
    <xf numFmtId="0" fontId="4" fillId="0" borderId="2" xfId="0" applyFont="1" applyBorder="1" applyAlignment="1" applyProtection="1">
      <alignment horizontal="left" vertical="center" wrapText="1"/>
    </xf>
    <xf numFmtId="0" fontId="10" fillId="6" borderId="1" xfId="0" applyFont="1" applyFill="1" applyBorder="1" applyAlignment="1" applyProtection="1">
      <alignment horizontal="left" vertical="center" wrapText="1"/>
      <protection locked="0"/>
    </xf>
    <xf numFmtId="0" fontId="10" fillId="6" borderId="3" xfId="0" applyFont="1" applyFill="1" applyBorder="1" applyAlignment="1" applyProtection="1">
      <alignment horizontal="left" vertical="center" wrapText="1"/>
      <protection locked="0"/>
    </xf>
    <xf numFmtId="0" fontId="4" fillId="0" borderId="1" xfId="0" applyFont="1" applyBorder="1" applyAlignment="1" applyProtection="1">
      <alignment horizontal="left" vertical="center"/>
    </xf>
    <xf numFmtId="0" fontId="4" fillId="0" borderId="2" xfId="0" applyFont="1" applyBorder="1" applyAlignment="1" applyProtection="1">
      <alignment horizontal="left" vertical="center"/>
    </xf>
    <xf numFmtId="0" fontId="6" fillId="6" borderId="2" xfId="0" applyFont="1" applyFill="1" applyBorder="1" applyAlignment="1" applyProtection="1">
      <alignment horizontal="left" vertical="center"/>
      <protection locked="0"/>
    </xf>
    <xf numFmtId="0" fontId="6" fillId="6" borderId="3" xfId="0" applyFont="1" applyFill="1" applyBorder="1" applyAlignment="1" applyProtection="1">
      <alignment horizontal="left" vertical="center"/>
      <protection locked="0"/>
    </xf>
    <xf numFmtId="0" fontId="34" fillId="0" borderId="0" xfId="0" applyFont="1" applyAlignment="1" applyProtection="1">
      <alignment horizontal="center" vertical="center"/>
    </xf>
    <xf numFmtId="0" fontId="0" fillId="6" borderId="17" xfId="0" applyFont="1" applyFill="1" applyBorder="1" applyAlignment="1" applyProtection="1">
      <alignment horizontal="left" vertical="center"/>
      <protection locked="0"/>
    </xf>
    <xf numFmtId="0" fontId="0" fillId="0" borderId="13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6" borderId="1" xfId="0" applyFill="1" applyBorder="1" applyAlignment="1" applyProtection="1">
      <alignment horizontal="left" vertical="center"/>
      <protection locked="0"/>
    </xf>
    <xf numFmtId="0" fontId="0" fillId="6" borderId="2" xfId="0" applyFill="1" applyBorder="1" applyAlignment="1" applyProtection="1">
      <alignment horizontal="left" vertical="center"/>
      <protection locked="0"/>
    </xf>
    <xf numFmtId="0" fontId="0" fillId="6" borderId="3" xfId="0" applyFill="1" applyBorder="1" applyAlignment="1" applyProtection="1">
      <alignment horizontal="left" vertical="center"/>
      <protection locked="0"/>
    </xf>
    <xf numFmtId="0" fontId="6" fillId="0" borderId="0" xfId="0" applyFont="1" applyBorder="1" applyAlignment="1">
      <alignment horizontal="left" vertical="center"/>
    </xf>
    <xf numFmtId="0" fontId="20" fillId="6" borderId="19" xfId="0" applyFont="1" applyFill="1" applyBorder="1" applyAlignment="1">
      <alignment horizontal="left" vertical="center" shrinkToFit="1"/>
    </xf>
    <xf numFmtId="0" fontId="20" fillId="6" borderId="20" xfId="0" applyFont="1" applyFill="1" applyBorder="1" applyAlignment="1">
      <alignment horizontal="left" vertical="center" shrinkToFit="1"/>
    </xf>
    <xf numFmtId="0" fontId="20" fillId="6" borderId="28" xfId="0" applyFont="1" applyFill="1" applyBorder="1" applyAlignment="1">
      <alignment horizontal="left" vertical="center" shrinkToFit="1"/>
    </xf>
    <xf numFmtId="0" fontId="20" fillId="11" borderId="34" xfId="0" applyFont="1" applyFill="1" applyBorder="1" applyAlignment="1">
      <alignment horizontal="left" vertical="center" shrinkToFit="1"/>
    </xf>
    <xf numFmtId="0" fontId="20" fillId="11" borderId="35" xfId="0" applyFont="1" applyFill="1" applyBorder="1" applyAlignment="1">
      <alignment horizontal="left" vertical="center" shrinkToFit="1"/>
    </xf>
    <xf numFmtId="0" fontId="20" fillId="11" borderId="36" xfId="0" applyFont="1" applyFill="1" applyBorder="1" applyAlignment="1">
      <alignment horizontal="left" vertical="center" shrinkToFit="1"/>
    </xf>
    <xf numFmtId="0" fontId="15" fillId="0" borderId="0" xfId="0" applyFont="1" applyAlignment="1">
      <alignment horizontal="left" vertical="center"/>
    </xf>
    <xf numFmtId="0" fontId="15" fillId="6" borderId="20" xfId="0" applyFont="1" applyFill="1" applyBorder="1" applyAlignment="1">
      <alignment horizontal="left" vertical="center"/>
    </xf>
    <xf numFmtId="0" fontId="15" fillId="6" borderId="28" xfId="0" applyFont="1" applyFill="1" applyBorder="1" applyAlignment="1">
      <alignment horizontal="left" vertical="center"/>
    </xf>
    <xf numFmtId="0" fontId="4" fillId="0" borderId="20" xfId="0" applyFont="1" applyBorder="1" applyAlignment="1"/>
    <xf numFmtId="0" fontId="15" fillId="10" borderId="20" xfId="0" applyFont="1" applyFill="1" applyBorder="1" applyAlignment="1" applyProtection="1">
      <alignment horizontal="left" vertical="center"/>
      <protection locked="0"/>
    </xf>
    <xf numFmtId="0" fontId="15" fillId="10" borderId="28" xfId="0" applyFont="1" applyFill="1" applyBorder="1" applyAlignment="1" applyProtection="1">
      <alignment horizontal="left" vertical="center"/>
      <protection locked="0"/>
    </xf>
    <xf numFmtId="0" fontId="15" fillId="6" borderId="20" xfId="0" applyFont="1" applyFill="1" applyBorder="1" applyAlignment="1">
      <alignment horizontal="left" vertical="center" wrapText="1" shrinkToFit="1"/>
    </xf>
    <xf numFmtId="0" fontId="15" fillId="6" borderId="28" xfId="0" applyFont="1" applyFill="1" applyBorder="1" applyAlignment="1">
      <alignment horizontal="left" vertical="center" wrapText="1" shrinkToFit="1"/>
    </xf>
    <xf numFmtId="167" fontId="15" fillId="10" borderId="20" xfId="0" applyNumberFormat="1" applyFont="1" applyFill="1" applyBorder="1" applyAlignment="1" applyProtection="1">
      <alignment horizontal="left" vertical="center"/>
      <protection locked="0"/>
    </xf>
    <xf numFmtId="167" fontId="15" fillId="10" borderId="28" xfId="0" applyNumberFormat="1" applyFont="1" applyFill="1" applyBorder="1" applyAlignment="1" applyProtection="1">
      <alignment horizontal="left" vertical="center"/>
      <protection locked="0"/>
    </xf>
    <xf numFmtId="167" fontId="21" fillId="10" borderId="20" xfId="0" applyNumberFormat="1" applyFont="1" applyFill="1" applyBorder="1" applyAlignment="1" applyProtection="1">
      <alignment horizontal="left" vertical="center"/>
      <protection locked="0"/>
    </xf>
    <xf numFmtId="167" fontId="21" fillId="10" borderId="28" xfId="0" applyNumberFormat="1" applyFont="1" applyFill="1" applyBorder="1" applyAlignment="1" applyProtection="1">
      <alignment horizontal="left" vertical="center"/>
      <protection locked="0"/>
    </xf>
    <xf numFmtId="18" fontId="21" fillId="12" borderId="20" xfId="0" applyNumberFormat="1" applyFont="1" applyFill="1" applyBorder="1" applyAlignment="1" applyProtection="1">
      <alignment horizontal="left" vertical="center"/>
      <protection locked="0"/>
    </xf>
    <xf numFmtId="18" fontId="21" fillId="12" borderId="28" xfId="0" applyNumberFormat="1" applyFont="1" applyFill="1" applyBorder="1" applyAlignment="1" applyProtection="1">
      <alignment horizontal="left" vertical="center"/>
      <protection locked="0"/>
    </xf>
    <xf numFmtId="0" fontId="15" fillId="6" borderId="19" xfId="0" applyFont="1" applyFill="1" applyBorder="1" applyAlignment="1">
      <alignment horizontal="left" vertical="center"/>
    </xf>
    <xf numFmtId="0" fontId="15" fillId="0" borderId="23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17" fillId="8" borderId="19" xfId="0" applyFont="1" applyFill="1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31" fillId="7" borderId="0" xfId="0" applyFont="1" applyFill="1" applyAlignment="1">
      <alignment horizontal="left" vertical="center"/>
    </xf>
    <xf numFmtId="0" fontId="17" fillId="8" borderId="19" xfId="0" applyFont="1" applyFill="1" applyBorder="1" applyAlignment="1">
      <alignment horizontal="left" vertical="center"/>
    </xf>
    <xf numFmtId="0" fontId="0" fillId="0" borderId="20" xfId="0" applyBorder="1" applyAlignment="1">
      <alignment horizontal="left"/>
    </xf>
    <xf numFmtId="0" fontId="4" fillId="0" borderId="20" xfId="0" applyFont="1" applyBorder="1" applyAlignment="1">
      <alignment horizontal="left" vertical="center"/>
    </xf>
    <xf numFmtId="0" fontId="4" fillId="0" borderId="28" xfId="0" applyFont="1" applyBorder="1" applyAlignment="1">
      <alignment horizontal="left" vertical="center"/>
    </xf>
    <xf numFmtId="0" fontId="4" fillId="10" borderId="20" xfId="0" applyFont="1" applyFill="1" applyBorder="1" applyAlignment="1" applyProtection="1">
      <alignment horizontal="left" vertical="center"/>
      <protection locked="0"/>
    </xf>
    <xf numFmtId="0" fontId="4" fillId="10" borderId="28" xfId="0" applyFont="1" applyFill="1" applyBorder="1" applyAlignment="1" applyProtection="1">
      <alignment horizontal="left" vertical="center"/>
      <protection locked="0"/>
    </xf>
    <xf numFmtId="0" fontId="17" fillId="12" borderId="19" xfId="0" applyFont="1" applyFill="1" applyBorder="1" applyAlignment="1">
      <alignment horizontal="left" vertical="center"/>
    </xf>
    <xf numFmtId="0" fontId="17" fillId="12" borderId="20" xfId="0" applyFont="1" applyFill="1" applyBorder="1" applyAlignment="1">
      <alignment horizontal="left" vertical="center"/>
    </xf>
    <xf numFmtId="0" fontId="15" fillId="6" borderId="20" xfId="0" applyFont="1" applyFill="1" applyBorder="1" applyAlignment="1">
      <alignment horizontal="left" vertical="center" shrinkToFit="1"/>
    </xf>
    <xf numFmtId="0" fontId="15" fillId="6" borderId="28" xfId="0" applyFont="1" applyFill="1" applyBorder="1" applyAlignment="1">
      <alignment horizontal="left" vertical="center" shrinkToFit="1"/>
    </xf>
    <xf numFmtId="0" fontId="17" fillId="0" borderId="19" xfId="0" applyFont="1" applyBorder="1" applyAlignment="1">
      <alignment horizontal="left" vertical="center"/>
    </xf>
    <xf numFmtId="0" fontId="17" fillId="0" borderId="20" xfId="0" applyFont="1" applyBorder="1" applyAlignment="1">
      <alignment horizontal="left" vertical="center"/>
    </xf>
    <xf numFmtId="2" fontId="20" fillId="10" borderId="20" xfId="0" applyNumberFormat="1" applyFont="1" applyFill="1" applyBorder="1" applyAlignment="1" applyProtection="1">
      <alignment horizontal="left" vertical="center"/>
      <protection locked="0"/>
    </xf>
    <xf numFmtId="2" fontId="20" fillId="10" borderId="28" xfId="0" applyNumberFormat="1" applyFont="1" applyFill="1" applyBorder="1" applyAlignment="1" applyProtection="1">
      <alignment horizontal="left" vertical="center"/>
      <protection locked="0"/>
    </xf>
    <xf numFmtId="0" fontId="15" fillId="6" borderId="20" xfId="0" applyFont="1" applyFill="1" applyBorder="1" applyAlignment="1" applyProtection="1">
      <alignment horizontal="center" vertical="center"/>
      <protection locked="0"/>
    </xf>
    <xf numFmtId="0" fontId="17" fillId="8" borderId="19" xfId="0" applyFont="1" applyFill="1" applyBorder="1" applyAlignment="1">
      <alignment vertical="center"/>
    </xf>
    <xf numFmtId="0" fontId="0" fillId="0" borderId="20" xfId="0" applyBorder="1" applyAlignment="1"/>
    <xf numFmtId="0" fontId="15" fillId="6" borderId="0" xfId="0" applyFont="1" applyFill="1" applyBorder="1" applyAlignment="1">
      <alignment horizontal="left" vertical="center"/>
    </xf>
    <xf numFmtId="49" fontId="22" fillId="6" borderId="20" xfId="0" applyNumberFormat="1" applyFont="1" applyFill="1" applyBorder="1" applyAlignment="1" applyProtection="1">
      <alignment horizontal="left" vertical="center"/>
    </xf>
    <xf numFmtId="49" fontId="22" fillId="6" borderId="28" xfId="0" applyNumberFormat="1" applyFont="1" applyFill="1" applyBorder="1" applyAlignment="1" applyProtection="1">
      <alignment horizontal="left" vertical="center"/>
    </xf>
    <xf numFmtId="0" fontId="23" fillId="6" borderId="20" xfId="0" applyFont="1" applyFill="1" applyBorder="1" applyAlignment="1">
      <alignment horizontal="left" vertical="center"/>
    </xf>
    <xf numFmtId="0" fontId="23" fillId="6" borderId="28" xfId="0" applyFont="1" applyFill="1" applyBorder="1" applyAlignment="1">
      <alignment horizontal="left" vertical="center"/>
    </xf>
    <xf numFmtId="0" fontId="15" fillId="6" borderId="20" xfId="0" applyFont="1" applyFill="1" applyBorder="1" applyAlignment="1" applyProtection="1">
      <alignment horizontal="left" vertical="center"/>
    </xf>
    <xf numFmtId="49" fontId="15" fillId="6" borderId="20" xfId="0" applyNumberFormat="1" applyFont="1" applyFill="1" applyBorder="1" applyAlignment="1">
      <alignment horizontal="center" vertical="center"/>
    </xf>
    <xf numFmtId="49" fontId="15" fillId="6" borderId="28" xfId="0" applyNumberFormat="1" applyFont="1" applyFill="1" applyBorder="1" applyAlignment="1">
      <alignment horizontal="center" vertical="center"/>
    </xf>
    <xf numFmtId="0" fontId="17" fillId="8" borderId="20" xfId="0" applyFont="1" applyFill="1" applyBorder="1" applyAlignment="1">
      <alignment horizontal="left" vertical="center"/>
    </xf>
    <xf numFmtId="0" fontId="17" fillId="0" borderId="19" xfId="0" applyFont="1" applyBorder="1" applyAlignment="1">
      <alignment horizontal="left" vertical="top"/>
    </xf>
    <xf numFmtId="0" fontId="0" fillId="0" borderId="20" xfId="0" applyBorder="1" applyAlignment="1">
      <alignment horizontal="left" vertical="top"/>
    </xf>
    <xf numFmtId="0" fontId="0" fillId="0" borderId="28" xfId="0" applyBorder="1" applyAlignment="1">
      <alignment horizontal="left" vertical="top"/>
    </xf>
    <xf numFmtId="0" fontId="15" fillId="6" borderId="19" xfId="0" applyFont="1" applyFill="1" applyBorder="1" applyAlignment="1">
      <alignment horizontal="left" vertical="center" wrapText="1" shrinkToFit="1"/>
    </xf>
    <xf numFmtId="0" fontId="23" fillId="10" borderId="20" xfId="0" applyFont="1" applyFill="1" applyBorder="1" applyAlignment="1" applyProtection="1">
      <alignment horizontal="left" vertical="center"/>
      <protection locked="0"/>
    </xf>
    <xf numFmtId="0" fontId="23" fillId="10" borderId="28" xfId="0" applyFont="1" applyFill="1" applyBorder="1" applyAlignment="1" applyProtection="1">
      <alignment horizontal="left" vertical="center"/>
      <protection locked="0"/>
    </xf>
    <xf numFmtId="0" fontId="20" fillId="0" borderId="20" xfId="0" applyFont="1" applyBorder="1" applyAlignment="1">
      <alignment horizontal="left" vertical="center" shrinkToFit="1"/>
    </xf>
    <xf numFmtId="0" fontId="20" fillId="0" borderId="28" xfId="0" applyFont="1" applyBorder="1" applyAlignment="1">
      <alignment horizontal="left" vertical="center" shrinkToFit="1"/>
    </xf>
    <xf numFmtId="1" fontId="15" fillId="6" borderId="20" xfId="0" applyNumberFormat="1" applyFont="1" applyFill="1" applyBorder="1" applyAlignment="1">
      <alignment horizontal="left" vertical="center"/>
    </xf>
    <xf numFmtId="49" fontId="15" fillId="6" borderId="20" xfId="0" applyNumberFormat="1" applyFont="1" applyFill="1" applyBorder="1" applyAlignment="1">
      <alignment horizontal="left" vertical="center"/>
    </xf>
    <xf numFmtId="49" fontId="22" fillId="10" borderId="20" xfId="0" applyNumberFormat="1" applyFont="1" applyFill="1" applyBorder="1" applyAlignment="1" applyProtection="1">
      <alignment horizontal="left" vertical="center"/>
      <protection locked="0"/>
    </xf>
    <xf numFmtId="49" fontId="22" fillId="10" borderId="28" xfId="0" applyNumberFormat="1" applyFont="1" applyFill="1" applyBorder="1" applyAlignment="1" applyProtection="1">
      <alignment horizontal="left" vertical="center"/>
      <protection locked="0"/>
    </xf>
    <xf numFmtId="0" fontId="20" fillId="10" borderId="20" xfId="0" applyFont="1" applyFill="1" applyBorder="1" applyAlignment="1" applyProtection="1">
      <alignment horizontal="left" vertical="center"/>
      <protection locked="0"/>
    </xf>
    <xf numFmtId="0" fontId="20" fillId="10" borderId="28" xfId="0" applyFont="1" applyFill="1" applyBorder="1" applyAlignment="1" applyProtection="1">
      <alignment horizontal="left" vertical="center"/>
      <protection locked="0"/>
    </xf>
    <xf numFmtId="49" fontId="15" fillId="10" borderId="20" xfId="0" applyNumberFormat="1" applyFont="1" applyFill="1" applyBorder="1" applyAlignment="1" applyProtection="1">
      <alignment horizontal="left" vertical="center"/>
      <protection locked="0"/>
    </xf>
    <xf numFmtId="49" fontId="15" fillId="10" borderId="28" xfId="0" applyNumberFormat="1" applyFont="1" applyFill="1" applyBorder="1" applyAlignment="1" applyProtection="1">
      <alignment horizontal="left" vertical="center"/>
      <protection locked="0"/>
    </xf>
    <xf numFmtId="165" fontId="20" fillId="6" borderId="20" xfId="0" applyNumberFormat="1" applyFont="1" applyFill="1" applyBorder="1" applyAlignment="1">
      <alignment horizontal="left" vertical="center"/>
    </xf>
    <xf numFmtId="165" fontId="20" fillId="6" borderId="28" xfId="0" applyNumberFormat="1" applyFont="1" applyFill="1" applyBorder="1" applyAlignment="1">
      <alignment horizontal="left" vertical="center"/>
    </xf>
    <xf numFmtId="0" fontId="15" fillId="6" borderId="20" xfId="0" applyNumberFormat="1" applyFont="1" applyFill="1" applyBorder="1" applyAlignment="1">
      <alignment horizontal="left" vertical="center" wrapText="1"/>
    </xf>
    <xf numFmtId="0" fontId="15" fillId="6" borderId="28" xfId="0" applyNumberFormat="1" applyFont="1" applyFill="1" applyBorder="1" applyAlignment="1">
      <alignment horizontal="left" vertical="center" wrapText="1"/>
    </xf>
    <xf numFmtId="0" fontId="23" fillId="10" borderId="9" xfId="0" applyFont="1" applyFill="1" applyBorder="1" applyAlignment="1" applyProtection="1">
      <alignment horizontal="left" vertical="center"/>
      <protection locked="0"/>
    </xf>
    <xf numFmtId="0" fontId="23" fillId="10" borderId="18" xfId="0" applyFont="1" applyFill="1" applyBorder="1" applyAlignment="1" applyProtection="1">
      <alignment horizontal="left" vertical="center"/>
      <protection locked="0"/>
    </xf>
    <xf numFmtId="0" fontId="20" fillId="10" borderId="20" xfId="0" applyFont="1" applyFill="1" applyBorder="1" applyAlignment="1" applyProtection="1">
      <alignment horizontal="left" vertical="center"/>
      <protection locked="0" hidden="1"/>
    </xf>
    <xf numFmtId="0" fontId="20" fillId="10" borderId="28" xfId="0" applyFont="1" applyFill="1" applyBorder="1" applyAlignment="1" applyProtection="1">
      <alignment horizontal="left" vertical="center"/>
      <protection locked="0" hidden="1"/>
    </xf>
    <xf numFmtId="1" fontId="15" fillId="6" borderId="28" xfId="0" applyNumberFormat="1" applyFont="1" applyFill="1" applyBorder="1" applyAlignment="1">
      <alignment horizontal="left" vertical="center"/>
    </xf>
    <xf numFmtId="0" fontId="17" fillId="8" borderId="19" xfId="0" applyFont="1" applyFill="1" applyBorder="1" applyAlignment="1">
      <alignment horizontal="left" vertical="center" wrapText="1"/>
    </xf>
    <xf numFmtId="0" fontId="17" fillId="8" borderId="20" xfId="0" applyFont="1" applyFill="1" applyBorder="1" applyAlignment="1">
      <alignment horizontal="left" vertical="center" wrapText="1"/>
    </xf>
    <xf numFmtId="0" fontId="15" fillId="6" borderId="20" xfId="0" applyFont="1" applyFill="1" applyBorder="1" applyAlignment="1" applyProtection="1">
      <alignment horizontal="left" vertical="center" shrinkToFit="1"/>
    </xf>
    <xf numFmtId="0" fontId="15" fillId="6" borderId="28" xfId="0" applyFont="1" applyFill="1" applyBorder="1" applyAlignment="1" applyProtection="1">
      <alignment horizontal="left" vertical="center" shrinkToFit="1"/>
    </xf>
    <xf numFmtId="0" fontId="15" fillId="6" borderId="20" xfId="0" applyFont="1" applyFill="1" applyBorder="1" applyAlignment="1">
      <alignment horizontal="left" vertical="center" wrapText="1"/>
    </xf>
    <xf numFmtId="0" fontId="4" fillId="0" borderId="20" xfId="0" applyFont="1" applyBorder="1" applyAlignment="1">
      <alignment horizontal="left" vertical="center" wrapText="1"/>
    </xf>
    <xf numFmtId="0" fontId="4" fillId="0" borderId="28" xfId="0" applyFont="1" applyBorder="1" applyAlignment="1">
      <alignment horizontal="left" vertical="center" wrapText="1"/>
    </xf>
    <xf numFmtId="0" fontId="10" fillId="0" borderId="0" xfId="0" applyFont="1" applyAlignment="1">
      <alignment horizontal="left" vertical="center"/>
    </xf>
    <xf numFmtId="0" fontId="20" fillId="10" borderId="20" xfId="0" applyFont="1" applyFill="1" applyBorder="1" applyAlignment="1" applyProtection="1">
      <alignment horizontal="left" vertical="center" shrinkToFit="1"/>
      <protection locked="0"/>
    </xf>
    <xf numFmtId="0" fontId="20" fillId="10" borderId="28" xfId="0" applyFont="1" applyFill="1" applyBorder="1" applyAlignment="1" applyProtection="1">
      <alignment horizontal="left" vertical="center" shrinkToFit="1"/>
      <protection locked="0"/>
    </xf>
    <xf numFmtId="0" fontId="20" fillId="6" borderId="20" xfId="0" applyFont="1" applyFill="1" applyBorder="1" applyAlignment="1" applyProtection="1">
      <alignment horizontal="left" vertical="center"/>
    </xf>
    <xf numFmtId="0" fontId="20" fillId="6" borderId="28" xfId="0" applyFont="1" applyFill="1" applyBorder="1" applyAlignment="1" applyProtection="1">
      <alignment horizontal="left" vertical="center"/>
    </xf>
    <xf numFmtId="0" fontId="24" fillId="6" borderId="20" xfId="0" applyFont="1" applyFill="1" applyBorder="1" applyAlignment="1">
      <alignment horizontal="left" vertical="center"/>
    </xf>
    <xf numFmtId="0" fontId="24" fillId="6" borderId="28" xfId="0" applyFont="1" applyFill="1" applyBorder="1" applyAlignment="1">
      <alignment horizontal="left" vertical="center"/>
    </xf>
    <xf numFmtId="0" fontId="20" fillId="6" borderId="20" xfId="0" applyFont="1" applyFill="1" applyBorder="1" applyAlignment="1">
      <alignment horizontal="left" vertical="center"/>
    </xf>
    <xf numFmtId="0" fontId="20" fillId="6" borderId="28" xfId="0" applyFont="1" applyFill="1" applyBorder="1" applyAlignment="1">
      <alignment horizontal="left" vertical="center"/>
    </xf>
    <xf numFmtId="1" fontId="20" fillId="10" borderId="20" xfId="0" applyNumberFormat="1" applyFont="1" applyFill="1" applyBorder="1" applyAlignment="1" applyProtection="1">
      <alignment horizontal="left" vertical="center"/>
      <protection locked="0"/>
    </xf>
    <xf numFmtId="1" fontId="20" fillId="10" borderId="28" xfId="0" applyNumberFormat="1" applyFont="1" applyFill="1" applyBorder="1" applyAlignment="1" applyProtection="1">
      <alignment horizontal="left" vertical="center"/>
      <protection locked="0"/>
    </xf>
    <xf numFmtId="49" fontId="23" fillId="6" borderId="20" xfId="0" applyNumberFormat="1" applyFont="1" applyFill="1" applyBorder="1" applyAlignment="1">
      <alignment horizontal="left" vertical="center"/>
    </xf>
    <xf numFmtId="167" fontId="20" fillId="10" borderId="20" xfId="0" applyNumberFormat="1" applyFont="1" applyFill="1" applyBorder="1" applyAlignment="1" applyProtection="1">
      <alignment horizontal="left" vertical="center"/>
      <protection locked="0"/>
    </xf>
    <xf numFmtId="167" fontId="20" fillId="10" borderId="28" xfId="0" applyNumberFormat="1" applyFont="1" applyFill="1" applyBorder="1" applyAlignment="1" applyProtection="1">
      <alignment horizontal="left" vertical="center"/>
      <protection locked="0"/>
    </xf>
    <xf numFmtId="0" fontId="6" fillId="0" borderId="15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10" fillId="0" borderId="0" xfId="0" applyFont="1" applyAlignment="1">
      <alignment horizontal="center" wrapText="1"/>
    </xf>
    <xf numFmtId="164" fontId="0" fillId="6" borderId="0" xfId="0" applyNumberFormat="1" applyFill="1" applyAlignment="1">
      <alignment horizontal="left" vertical="center"/>
    </xf>
  </cellXfs>
  <cellStyles count="2">
    <cellStyle name="Hyperlink" xfId="1" builtinId="8"/>
    <cellStyle name="Normal" xfId="0" builtinId="0"/>
  </cellStyles>
  <dxfs count="43">
    <dxf>
      <font>
        <color theme="0"/>
      </font>
      <fill>
        <patternFill patternType="none">
          <fgColor indexed="64"/>
          <bgColor indexed="65"/>
        </patternFill>
      </fill>
      <border>
        <left/>
        <right/>
        <top/>
        <bottom/>
      </border>
    </dxf>
    <dxf>
      <font>
        <color rgb="FF9C0006"/>
      </font>
      <fill>
        <patternFill patternType="solid">
          <fgColor indexed="64"/>
          <bgColor theme="0" tint="-0.1499984740745262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color rgb="FFFF0000"/>
      </font>
      <fill>
        <patternFill patternType="solid">
          <fgColor indexed="64"/>
          <bgColor theme="8" tint="0.59999389629810485"/>
        </patternFill>
      </fill>
    </dxf>
    <dxf>
      <font>
        <color rgb="FFFF0000"/>
      </font>
      <fill>
        <patternFill patternType="solid">
          <fgColor indexed="64"/>
          <bgColor theme="8" tint="0.59999389629810485"/>
        </patternFill>
      </fill>
    </dxf>
    <dxf>
      <font>
        <color rgb="FFFF0000"/>
      </font>
      <fill>
        <patternFill patternType="solid">
          <fgColor indexed="64"/>
          <bgColor theme="8" tint="0.59999389629810485"/>
        </patternFill>
      </fill>
    </dxf>
    <dxf>
      <font>
        <color rgb="FF9C0006"/>
      </font>
      <fill>
        <patternFill patternType="solid">
          <fgColor indexed="64"/>
          <bgColor theme="0" tint="-0.14999847407452621"/>
        </patternFill>
      </fill>
    </dxf>
    <dxf>
      <font>
        <color rgb="FF9C0006"/>
      </font>
      <fill>
        <patternFill patternType="solid">
          <fgColor indexed="64"/>
          <bgColor theme="0" tint="-0.14999847407452621"/>
        </patternFill>
      </fill>
    </dxf>
    <dxf>
      <font>
        <color rgb="FFFFFF00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none">
          <fgColor indexed="64"/>
          <bgColor indexed="65"/>
        </patternFill>
      </fill>
      <border>
        <left style="thin">
          <color theme="0" tint="-0.34998626667073579"/>
        </left>
        <right/>
        <top/>
        <bottom/>
      </border>
    </dxf>
    <dxf>
      <font>
        <color theme="0"/>
      </font>
      <fill>
        <patternFill patternType="none">
          <fgColor indexed="64"/>
          <bgColor indexed="65"/>
        </patternFill>
      </fill>
      <border>
        <left style="thin">
          <color theme="0" tint="-0.34998626667073579"/>
        </left>
        <right/>
        <top/>
        <bottom/>
      </border>
    </dxf>
    <dxf>
      <font>
        <color theme="0"/>
      </font>
      <fill>
        <patternFill patternType="none">
          <fgColor indexed="64"/>
          <bgColor indexed="65"/>
        </patternFill>
      </fill>
      <border>
        <left style="thin">
          <color theme="0" tint="-0.34998626667073579"/>
        </left>
        <right/>
        <top/>
        <bottom/>
      </border>
    </dxf>
    <dxf>
      <font>
        <color theme="0"/>
      </font>
      <fill>
        <patternFill patternType="none">
          <fgColor indexed="64"/>
          <bgColor indexed="65"/>
        </patternFill>
      </fill>
      <border>
        <left style="thin">
          <color theme="0" tint="-0.34998626667073579"/>
        </left>
        <right/>
        <top/>
        <bottom/>
      </border>
    </dxf>
    <dxf>
      <font>
        <color theme="0" tint="-0.14999847407452621"/>
      </font>
      <fill>
        <patternFill patternType="solid">
          <fgColor indexed="64"/>
          <bgColor theme="0" tint="-0.14999847407452621"/>
        </patternFill>
      </fill>
    </dxf>
    <dxf>
      <font>
        <color theme="0" tint="-0.14999847407452621"/>
      </font>
      <fill>
        <patternFill patternType="solid">
          <fgColor indexed="64"/>
          <bgColor theme="0" tint="-0.14999847407452621"/>
        </patternFill>
      </fill>
    </dxf>
    <dxf>
      <font>
        <color theme="0"/>
      </font>
      <fill>
        <patternFill patternType="none">
          <fgColor indexed="64"/>
          <bgColor indexed="65"/>
        </patternFill>
      </fill>
    </dxf>
    <dxf>
      <font>
        <b/>
        <i val="0"/>
        <color theme="8" tint="0.59999389629810485"/>
      </font>
      <fill>
        <patternFill patternType="solid">
          <fgColor indexed="64"/>
          <bgColor theme="8" tint="0.59999389629810485"/>
        </patternFill>
      </fill>
    </dxf>
    <dxf>
      <font>
        <color auto="1"/>
      </font>
      <fill>
        <patternFill patternType="solid">
          <fgColor indexed="64"/>
          <bgColor theme="8" tint="0.59999389629810485"/>
        </patternFill>
      </fill>
    </dxf>
    <dxf>
      <font>
        <color rgb="FFFF0000"/>
      </font>
      <fill>
        <patternFill patternType="solid">
          <fgColor indexed="64"/>
          <bgColor theme="8" tint="0.59999389629810485"/>
        </patternFill>
      </fill>
    </dxf>
    <dxf>
      <font>
        <color auto="1"/>
      </font>
      <fill>
        <patternFill patternType="solid">
          <fgColor indexed="64"/>
          <bgColor theme="8" tint="0.59999389629810485"/>
        </patternFill>
      </fill>
    </dxf>
    <dxf>
      <font>
        <color rgb="FFFF0000"/>
      </font>
      <fill>
        <patternFill patternType="solid">
          <fgColor indexed="64"/>
          <bgColor theme="8" tint="0.59999389629810485"/>
        </patternFill>
      </fill>
    </dxf>
    <dxf>
      <font>
        <color theme="5" tint="-0.249977111117893"/>
      </font>
      <fill>
        <patternFill patternType="solid">
          <fgColor indexed="64"/>
          <bgColor theme="8" tint="0.59999389629810485"/>
        </patternFill>
      </fill>
    </dxf>
    <dxf>
      <font>
        <color theme="8" tint="0.59999389629810485"/>
      </font>
      <fill>
        <patternFill patternType="solid">
          <fgColor indexed="64"/>
          <bgColor theme="8" tint="0.59999389629810485"/>
        </patternFill>
      </fill>
    </dxf>
    <dxf>
      <font>
        <color theme="8" tint="0.59999389629810485"/>
      </font>
      <fill>
        <patternFill patternType="solid">
          <fgColor indexed="64"/>
          <bgColor theme="8" tint="0.59999389629810485"/>
        </patternFill>
      </fill>
    </dxf>
    <dxf>
      <font>
        <color rgb="FFFF0000"/>
      </font>
      <fill>
        <patternFill patternType="solid">
          <fgColor indexed="64"/>
          <bgColor theme="8" tint="0.59999389629810485"/>
        </patternFill>
      </fill>
    </dxf>
    <dxf>
      <font>
        <color theme="8" tint="0.59999389629810485"/>
      </font>
      <fill>
        <patternFill patternType="solid">
          <fgColor indexed="64"/>
          <bgColor theme="8" tint="0.59999389629810485"/>
        </patternFill>
      </fill>
    </dxf>
    <dxf>
      <font>
        <color rgb="FFFF0000"/>
      </font>
      <fill>
        <patternFill patternType="solid">
          <fgColor indexed="64"/>
          <bgColor theme="8" tint="0.59999389629810485"/>
        </patternFill>
      </fill>
    </dxf>
    <dxf>
      <font>
        <color auto="1"/>
      </font>
      <fill>
        <patternFill patternType="solid">
          <fgColor indexed="64"/>
          <bgColor theme="8" tint="0.59999389629810485"/>
        </patternFill>
      </fill>
    </dxf>
    <dxf>
      <font>
        <color rgb="FFFF0000"/>
      </font>
      <fill>
        <patternFill patternType="solid">
          <fgColor indexed="64"/>
          <bgColor theme="8" tint="0.59999389629810485"/>
        </patternFill>
      </fill>
    </dxf>
    <dxf>
      <font>
        <condense val="0"/>
        <extend val="0"/>
        <color auto="1"/>
      </font>
    </dxf>
    <dxf>
      <font>
        <color theme="0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condense val="0"/>
        <extend val="0"/>
        <color auto="1"/>
      </font>
    </dxf>
    <dxf>
      <font>
        <b/>
        <i val="0"/>
        <condense val="0"/>
        <extend val="0"/>
        <color indexed="9"/>
      </font>
    </dxf>
    <dxf>
      <font>
        <b/>
        <i val="0"/>
        <color theme="8" tint="0.59999389629810485"/>
      </font>
      <fill>
        <patternFill patternType="solid">
          <fgColor indexed="64"/>
          <bgColor theme="8" tint="0.59999389629810485"/>
        </patternFill>
      </fill>
    </dxf>
    <dxf>
      <font>
        <b/>
        <i val="0"/>
        <condense val="0"/>
        <extend val="0"/>
        <color indexed="10"/>
      </font>
      <fill>
        <patternFill patternType="solid">
          <fgColor indexed="64"/>
          <bgColor rgb="FFFFFF00"/>
        </patternFill>
      </fill>
      <border>
        <left/>
        <right/>
        <top/>
        <bottom/>
      </border>
    </dxf>
    <dxf>
      <font>
        <b/>
        <i val="0"/>
        <condense val="0"/>
        <extend val="0"/>
        <color indexed="27"/>
      </font>
    </dxf>
    <dxf>
      <font>
        <b/>
        <i val="0"/>
        <condense val="0"/>
        <extend val="0"/>
        <color auto="1"/>
      </font>
    </dxf>
    <dxf>
      <font>
        <condense val="0"/>
        <extend val="0"/>
        <color indexed="9"/>
      </font>
      <border>
        <left/>
        <right/>
        <top/>
        <bottom/>
      </border>
    </dxf>
    <dxf>
      <font>
        <color theme="8" tint="0.59999389629810485"/>
      </font>
      <fill>
        <patternFill patternType="solid">
          <fgColor indexed="64"/>
          <bgColor theme="8" tint="0.59999389629810485"/>
        </patternFill>
      </fill>
    </dxf>
    <dxf>
      <font>
        <b/>
        <i val="0"/>
        <color theme="8" tint="0.59999389629810485"/>
      </font>
      <fill>
        <patternFill patternType="solid">
          <fgColor indexed="64"/>
          <bgColor theme="8" tint="0.59999389629810485"/>
        </patternFill>
      </fill>
    </dxf>
    <dxf>
      <font>
        <b val="0"/>
        <i val="0"/>
        <condense val="0"/>
        <extend val="0"/>
        <color auto="1"/>
      </font>
    </dxf>
    <dxf>
      <font>
        <b/>
        <i val="0"/>
        <condense val="0"/>
        <extend val="0"/>
        <color indexed="9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D9DAD8"/>
      <rgbColor rgb="00DD2D32"/>
      <rgbColor rgb="00C4C4BF"/>
      <rgbColor rgb="00ACD1E1"/>
      <rgbColor rgb="006711FF"/>
      <rgbColor rgb="00FEA746"/>
      <rgbColor rgb="00865357"/>
      <rgbColor rgb="00A2BD90"/>
      <rgbColor rgb="0063AAFE"/>
      <rgbColor rgb="00DD2D32"/>
      <rgbColor rgb="00FFF58C"/>
      <rgbColor rgb="006F9C79"/>
      <rgbColor rgb="006711FF"/>
      <rgbColor rgb="00FEA746"/>
      <rgbColor rgb="00865357"/>
      <rgbColor rgb="00A2BD90"/>
      <rgbColor rgb="0000CCFF"/>
      <rgbColor rgb="00CCFFFF"/>
      <rgbColor rgb="00CCFFCC"/>
      <rgbColor rgb="00FDFF63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fmlaLink="Data!$J$5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fmlaLink="Data!$H$5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firstButton="1" fmlaLink="Data!$L$5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69</xdr:row>
          <xdr:rowOff>66675</xdr:rowOff>
        </xdr:from>
        <xdr:to>
          <xdr:col>0</xdr:col>
          <xdr:colOff>400050</xdr:colOff>
          <xdr:row>70</xdr:row>
          <xdr:rowOff>190500</xdr:rowOff>
        </xdr:to>
        <xdr:sp macro="" textlink="">
          <xdr:nvSpPr>
            <xdr:cNvPr id="2421" name="Option Button 373" hidden="1">
              <a:extLst>
                <a:ext uri="{63B3BB69-23CF-44E3-9099-C40C66FF867C}">
                  <a14:compatExt spid="_x0000_s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69</xdr:row>
          <xdr:rowOff>66675</xdr:rowOff>
        </xdr:from>
        <xdr:to>
          <xdr:col>5</xdr:col>
          <xdr:colOff>342900</xdr:colOff>
          <xdr:row>70</xdr:row>
          <xdr:rowOff>190500</xdr:rowOff>
        </xdr:to>
        <xdr:sp macro="" textlink="">
          <xdr:nvSpPr>
            <xdr:cNvPr id="2422" name="Option Button 374" hidden="1">
              <a:extLst>
                <a:ext uri="{63B3BB69-23CF-44E3-9099-C40C66FF867C}">
                  <a14:compatExt spid="_x0000_s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44</xdr:row>
          <xdr:rowOff>9525</xdr:rowOff>
        </xdr:from>
        <xdr:to>
          <xdr:col>3</xdr:col>
          <xdr:colOff>0</xdr:colOff>
          <xdr:row>47</xdr:row>
          <xdr:rowOff>0</xdr:rowOff>
        </xdr:to>
        <xdr:sp macro="" textlink="">
          <xdr:nvSpPr>
            <xdr:cNvPr id="2431" name="Group Box 383" hidden="1">
              <a:extLst>
                <a:ext uri="{63B3BB69-23CF-44E3-9099-C40C66FF867C}">
                  <a14:compatExt spid="_x0000_s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69</xdr:row>
          <xdr:rowOff>38100</xdr:rowOff>
        </xdr:from>
        <xdr:to>
          <xdr:col>8</xdr:col>
          <xdr:colOff>971550</xdr:colOff>
          <xdr:row>71</xdr:row>
          <xdr:rowOff>28575</xdr:rowOff>
        </xdr:to>
        <xdr:sp macro="" textlink="">
          <xdr:nvSpPr>
            <xdr:cNvPr id="2434" name="Group Box 386" hidden="1">
              <a:extLst>
                <a:ext uri="{63B3BB69-23CF-44E3-9099-C40C66FF867C}">
                  <a14:compatExt spid="_x0000_s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44</xdr:row>
          <xdr:rowOff>114300</xdr:rowOff>
        </xdr:from>
        <xdr:to>
          <xdr:col>1</xdr:col>
          <xdr:colOff>171450</xdr:colOff>
          <xdr:row>45</xdr:row>
          <xdr:rowOff>9525</xdr:rowOff>
        </xdr:to>
        <xdr:sp macro="" textlink="">
          <xdr:nvSpPr>
            <xdr:cNvPr id="2435" name="Option Button 387" hidden="1">
              <a:extLst>
                <a:ext uri="{63B3BB69-23CF-44E3-9099-C40C66FF867C}">
                  <a14:compatExt spid="_x0000_s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/>
                </a:rPr>
                <a:t>New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46</xdr:row>
          <xdr:rowOff>38100</xdr:rowOff>
        </xdr:from>
        <xdr:to>
          <xdr:col>2</xdr:col>
          <xdr:colOff>838200</xdr:colOff>
          <xdr:row>46</xdr:row>
          <xdr:rowOff>266700</xdr:rowOff>
        </xdr:to>
        <xdr:sp macro="" textlink="">
          <xdr:nvSpPr>
            <xdr:cNvPr id="2436" name="Option Button 388" hidden="1">
              <a:extLst>
                <a:ext uri="{63B3BB69-23CF-44E3-9099-C40C66FF867C}">
                  <a14:compatExt spid="_x0000_s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/>
                </a:rPr>
                <a:t>RWC (indicate movex #)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8</xdr:col>
          <xdr:colOff>914400</xdr:colOff>
          <xdr:row>16</xdr:row>
          <xdr:rowOff>390525</xdr:rowOff>
        </xdr:to>
        <xdr:sp macro="" textlink="">
          <xdr:nvSpPr>
            <xdr:cNvPr id="2466" name="Group Box 418" hidden="1">
              <a:extLst>
                <a:ext uri="{63B3BB69-23CF-44E3-9099-C40C66FF867C}">
                  <a14:compatExt spid="_x0000_s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16</xdr:row>
          <xdr:rowOff>76200</xdr:rowOff>
        </xdr:from>
        <xdr:to>
          <xdr:col>2</xdr:col>
          <xdr:colOff>409575</xdr:colOff>
          <xdr:row>16</xdr:row>
          <xdr:rowOff>295275</xdr:rowOff>
        </xdr:to>
        <xdr:sp macro="" textlink="">
          <xdr:nvSpPr>
            <xdr:cNvPr id="2492" name="Option Button 444" hidden="1">
              <a:extLst>
                <a:ext uri="{63B3BB69-23CF-44E3-9099-C40C66FF867C}">
                  <a14:compatExt spid="_x0000_s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16</xdr:row>
          <xdr:rowOff>85725</xdr:rowOff>
        </xdr:from>
        <xdr:to>
          <xdr:col>4</xdr:col>
          <xdr:colOff>400050</xdr:colOff>
          <xdr:row>16</xdr:row>
          <xdr:rowOff>304800</xdr:rowOff>
        </xdr:to>
        <xdr:sp macro="" textlink="">
          <xdr:nvSpPr>
            <xdr:cNvPr id="2493" name="Option Button 445" hidden="1">
              <a:extLst>
                <a:ext uri="{63B3BB69-23CF-44E3-9099-C40C66FF867C}">
                  <a14:compatExt spid="_x0000_s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16</xdr:row>
          <xdr:rowOff>76200</xdr:rowOff>
        </xdr:from>
        <xdr:to>
          <xdr:col>5</xdr:col>
          <xdr:colOff>419100</xdr:colOff>
          <xdr:row>16</xdr:row>
          <xdr:rowOff>295275</xdr:rowOff>
        </xdr:to>
        <xdr:sp macro="" textlink="">
          <xdr:nvSpPr>
            <xdr:cNvPr id="2500" name="Option Button 452" hidden="1">
              <a:extLst>
                <a:ext uri="{63B3BB69-23CF-44E3-9099-C40C66FF867C}">
                  <a14:compatExt spid="_x0000_s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52</xdr:row>
          <xdr:rowOff>38100</xdr:rowOff>
        </xdr:from>
        <xdr:to>
          <xdr:col>7</xdr:col>
          <xdr:colOff>0</xdr:colOff>
          <xdr:row>52</xdr:row>
          <xdr:rowOff>295275</xdr:rowOff>
        </xdr:to>
        <xdr:sp macro="" textlink="">
          <xdr:nvSpPr>
            <xdr:cNvPr id="2646" name="Option Button 598" hidden="1">
              <a:extLst>
                <a:ext uri="{63B3BB69-23CF-44E3-9099-C40C66FF867C}">
                  <a14:compatExt spid="_x0000_s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/>
                </a:rPr>
                <a:t>1 Side (Front)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219075</xdr:colOff>
          <xdr:row>52</xdr:row>
          <xdr:rowOff>38100</xdr:rowOff>
        </xdr:from>
        <xdr:to>
          <xdr:col>8</xdr:col>
          <xdr:colOff>371475</xdr:colOff>
          <xdr:row>52</xdr:row>
          <xdr:rowOff>304800</xdr:rowOff>
        </xdr:to>
        <xdr:sp macro="" textlink="">
          <xdr:nvSpPr>
            <xdr:cNvPr id="2647" name="Option Button 599" hidden="1">
              <a:extLst>
                <a:ext uri="{63B3BB69-23CF-44E3-9099-C40C66FF867C}">
                  <a14:compatExt spid="_x0000_s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/>
                </a:rPr>
                <a:t>1 Side (Back)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52</xdr:row>
          <xdr:rowOff>38100</xdr:rowOff>
        </xdr:from>
        <xdr:to>
          <xdr:col>4</xdr:col>
          <xdr:colOff>733425</xdr:colOff>
          <xdr:row>52</xdr:row>
          <xdr:rowOff>314325</xdr:rowOff>
        </xdr:to>
        <xdr:sp macro="" textlink="">
          <xdr:nvSpPr>
            <xdr:cNvPr id="2648" name="Option Button 600" hidden="1">
              <a:extLst>
                <a:ext uri="{63B3BB69-23CF-44E3-9099-C40C66FF867C}">
                  <a14:compatExt spid="_x0000_s2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/>
                </a:rPr>
                <a:t>2 Sides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8</xdr:col>
          <xdr:colOff>971550</xdr:colOff>
          <xdr:row>53</xdr:row>
          <xdr:rowOff>9525</xdr:rowOff>
        </xdr:to>
        <xdr:sp macro="" textlink="">
          <xdr:nvSpPr>
            <xdr:cNvPr id="2649" name="Group Box 601" hidden="1">
              <a:extLst>
                <a:ext uri="{63B3BB69-23CF-44E3-9099-C40C66FF867C}">
                  <a14:compatExt spid="_x0000_s2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268816</xdr:colOff>
      <xdr:row>16</xdr:row>
      <xdr:rowOff>2</xdr:rowOff>
    </xdr:from>
    <xdr:to>
      <xdr:col>5</xdr:col>
      <xdr:colOff>22385</xdr:colOff>
      <xdr:row>18</xdr:row>
      <xdr:rowOff>21167</xdr:rowOff>
    </xdr:to>
    <xdr:sp macro="" textlink="">
      <xdr:nvSpPr>
        <xdr:cNvPr id="18" name="TextBox 17"/>
        <xdr:cNvSpPr txBox="1"/>
      </xdr:nvSpPr>
      <xdr:spPr>
        <a:xfrm>
          <a:off x="2730499" y="3249085"/>
          <a:ext cx="910167" cy="4868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r>
            <a:rPr lang="en-US" sz="900" b="1" i="0">
              <a:latin typeface="Arial"/>
              <a:cs typeface="Arial"/>
            </a:rPr>
            <a:t>3</a:t>
          </a:r>
          <a:r>
            <a:rPr lang="en-US" sz="900" b="1" i="0" baseline="0">
              <a:latin typeface="Arial"/>
              <a:cs typeface="Arial"/>
            </a:rPr>
            <a:t> Side Seal</a:t>
          </a:r>
        </a:p>
        <a:p>
          <a:r>
            <a:rPr lang="en-US" sz="900" b="1" i="0" baseline="0">
              <a:latin typeface="Arial"/>
              <a:cs typeface="Arial"/>
            </a:rPr>
            <a:t>Open Zipper</a:t>
          </a:r>
          <a:endParaRPr lang="en-US" sz="900" b="1" i="0">
            <a:latin typeface="Arial"/>
            <a:cs typeface="Arial"/>
          </a:endParaRPr>
        </a:p>
      </xdr:txBody>
    </xdr:sp>
    <xdr:clientData/>
  </xdr:twoCellAnchor>
  <xdr:twoCellAnchor>
    <xdr:from>
      <xdr:col>5</xdr:col>
      <xdr:colOff>291041</xdr:colOff>
      <xdr:row>16</xdr:row>
      <xdr:rowOff>2</xdr:rowOff>
    </xdr:from>
    <xdr:to>
      <xdr:col>7</xdr:col>
      <xdr:colOff>321834</xdr:colOff>
      <xdr:row>17</xdr:row>
      <xdr:rowOff>31751</xdr:rowOff>
    </xdr:to>
    <xdr:sp macro="" textlink="">
      <xdr:nvSpPr>
        <xdr:cNvPr id="19" name="TextBox 18"/>
        <xdr:cNvSpPr txBox="1"/>
      </xdr:nvSpPr>
      <xdr:spPr>
        <a:xfrm>
          <a:off x="3947583" y="3249085"/>
          <a:ext cx="1280584" cy="43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r>
            <a:rPr lang="en-US" sz="900" b="1" i="0">
              <a:latin typeface="Arial"/>
              <a:cs typeface="Arial"/>
            </a:rPr>
            <a:t>3</a:t>
          </a:r>
          <a:r>
            <a:rPr lang="en-US" sz="900" b="1" i="0" baseline="0">
              <a:latin typeface="Arial"/>
              <a:cs typeface="Arial"/>
            </a:rPr>
            <a:t> Side Seal</a:t>
          </a:r>
        </a:p>
        <a:p>
          <a:r>
            <a:rPr lang="en-US" sz="900" b="1" i="0" baseline="0">
              <a:latin typeface="Arial"/>
              <a:cs typeface="Arial"/>
            </a:rPr>
            <a:t>Closed Zipper</a:t>
          </a:r>
          <a:endParaRPr lang="en-US" sz="900" b="1" i="0">
            <a:latin typeface="Arial"/>
            <a:cs typeface="Arial"/>
          </a:endParaRPr>
        </a:p>
      </xdr:txBody>
    </xdr:sp>
    <xdr:clientData/>
  </xdr:twoCellAnchor>
  <xdr:twoCellAnchor>
    <xdr:from>
      <xdr:col>2</xdr:col>
      <xdr:colOff>301625</xdr:colOff>
      <xdr:row>16</xdr:row>
      <xdr:rowOff>2</xdr:rowOff>
    </xdr:from>
    <xdr:to>
      <xdr:col>4</xdr:col>
      <xdr:colOff>21710</xdr:colOff>
      <xdr:row>18</xdr:row>
      <xdr:rowOff>31751</xdr:rowOff>
    </xdr:to>
    <xdr:sp macro="" textlink="">
      <xdr:nvSpPr>
        <xdr:cNvPr id="20" name="TextBox 19"/>
        <xdr:cNvSpPr txBox="1"/>
      </xdr:nvSpPr>
      <xdr:spPr>
        <a:xfrm>
          <a:off x="1534583" y="3249085"/>
          <a:ext cx="910167" cy="497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r>
            <a:rPr lang="en-US" sz="900" b="1" i="0">
              <a:latin typeface="Arial"/>
              <a:cs typeface="Arial"/>
            </a:rPr>
            <a:t>3</a:t>
          </a:r>
          <a:r>
            <a:rPr lang="en-US" sz="900" b="1" i="0" baseline="0">
              <a:latin typeface="Arial"/>
              <a:cs typeface="Arial"/>
            </a:rPr>
            <a:t> Side Seal</a:t>
          </a:r>
        </a:p>
        <a:p>
          <a:r>
            <a:rPr lang="en-US" sz="900" b="1" i="0" baseline="0">
              <a:latin typeface="Arial"/>
              <a:cs typeface="Arial"/>
            </a:rPr>
            <a:t>No Zipper</a:t>
          </a:r>
          <a:endParaRPr lang="en-US" sz="900" b="1" i="0"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279401</xdr:colOff>
      <xdr:row>70</xdr:row>
      <xdr:rowOff>10583</xdr:rowOff>
    </xdr:from>
    <xdr:to>
      <xdr:col>4</xdr:col>
      <xdr:colOff>1000098</xdr:colOff>
      <xdr:row>71</xdr:row>
      <xdr:rowOff>31610</xdr:rowOff>
    </xdr:to>
    <xdr:sp macro="" textlink="">
      <xdr:nvSpPr>
        <xdr:cNvPr id="3" name="TextBox 2"/>
        <xdr:cNvSpPr txBox="1"/>
      </xdr:nvSpPr>
      <xdr:spPr>
        <a:xfrm>
          <a:off x="317501" y="14403916"/>
          <a:ext cx="3249082" cy="2232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l"/>
          <a:r>
            <a:rPr lang="en-US" sz="1000" b="1" i="0">
              <a:latin typeface="Arial"/>
              <a:cs typeface="Arial"/>
            </a:rPr>
            <a:t>Colours are</a:t>
          </a:r>
          <a:r>
            <a:rPr lang="en-US" sz="1000" b="1" i="0" baseline="0">
              <a:latin typeface="Arial"/>
              <a:cs typeface="Arial"/>
            </a:rPr>
            <a:t> EXACTLY the same as the front</a:t>
          </a:r>
          <a:endParaRPr lang="en-US" sz="1000" b="1" i="0">
            <a:latin typeface="Arial"/>
            <a:cs typeface="Arial"/>
          </a:endParaRPr>
        </a:p>
      </xdr:txBody>
    </xdr:sp>
    <xdr:clientData/>
  </xdr:twoCellAnchor>
  <xdr:twoCellAnchor>
    <xdr:from>
      <xdr:col>5</xdr:col>
      <xdr:colOff>214842</xdr:colOff>
      <xdr:row>70</xdr:row>
      <xdr:rowOff>10584</xdr:rowOff>
    </xdr:from>
    <xdr:to>
      <xdr:col>8</xdr:col>
      <xdr:colOff>968479</xdr:colOff>
      <xdr:row>71</xdr:row>
      <xdr:rowOff>4769</xdr:rowOff>
    </xdr:to>
    <xdr:sp macro="" textlink="">
      <xdr:nvSpPr>
        <xdr:cNvPr id="22" name="TextBox 21"/>
        <xdr:cNvSpPr txBox="1"/>
      </xdr:nvSpPr>
      <xdr:spPr>
        <a:xfrm>
          <a:off x="3852334" y="14403917"/>
          <a:ext cx="3122083" cy="2058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l"/>
          <a:r>
            <a:rPr lang="en-US" sz="1000" b="1" i="0">
              <a:latin typeface="Arial"/>
              <a:cs typeface="Arial"/>
            </a:rPr>
            <a:t>Colours are</a:t>
          </a:r>
          <a:r>
            <a:rPr lang="en-US" sz="1000" b="1" i="0" baseline="0">
              <a:latin typeface="Arial"/>
              <a:cs typeface="Arial"/>
            </a:rPr>
            <a:t> NOT exactly the same as the front</a:t>
          </a:r>
          <a:endParaRPr lang="en-US" sz="1000" b="1" i="0">
            <a:latin typeface="Arial"/>
            <a:cs typeface="Arial"/>
          </a:endParaRPr>
        </a:p>
      </xdr:txBody>
    </xdr:sp>
    <xdr:clientData/>
  </xdr:twoCellAnchor>
  <xdr:twoCellAnchor editAs="oneCell">
    <xdr:from>
      <xdr:col>0</xdr:col>
      <xdr:colOff>52916</xdr:colOff>
      <xdr:row>84</xdr:row>
      <xdr:rowOff>42334</xdr:rowOff>
    </xdr:from>
    <xdr:to>
      <xdr:col>8</xdr:col>
      <xdr:colOff>752455</xdr:colOff>
      <xdr:row>135</xdr:row>
      <xdr:rowOff>83602</xdr:rowOff>
    </xdr:to>
    <xdr:sp macro="" textlink="" fLocksText="0">
      <xdr:nvSpPr>
        <xdr:cNvPr id="23" name="Text Box 10"/>
        <xdr:cNvSpPr txBox="1">
          <a:spLocks noChangeArrowheads="1"/>
        </xdr:cNvSpPr>
      </xdr:nvSpPr>
      <xdr:spPr bwMode="auto">
        <a:xfrm>
          <a:off x="52916" y="17134417"/>
          <a:ext cx="6667500" cy="7588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rtlCol="0"/>
        <a:lstStyle/>
        <a:p>
          <a:pPr algn="l"/>
          <a:endParaRPr lang="en-US" sz="900" i="0">
            <a:latin typeface="Arial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180975</xdr:colOff>
      <xdr:row>60</xdr:row>
      <xdr:rowOff>75750</xdr:rowOff>
    </xdr:from>
    <xdr:to>
      <xdr:col>20</xdr:col>
      <xdr:colOff>18538</xdr:colOff>
      <xdr:row>62</xdr:row>
      <xdr:rowOff>110805</xdr:rowOff>
    </xdr:to>
    <xdr:sp macro="" textlink="">
      <xdr:nvSpPr>
        <xdr:cNvPr id="64" name="TextBox 63"/>
        <xdr:cNvSpPr txBox="1"/>
      </xdr:nvSpPr>
      <xdr:spPr>
        <a:xfrm>
          <a:off x="3511096" y="8058607"/>
          <a:ext cx="262466" cy="27940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8CD0E9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/>
        </a:p>
      </xdr:txBody>
    </xdr:sp>
    <xdr:clientData fLocksWithSheet="0"/>
  </xdr:twoCellAnchor>
  <xdr:twoCellAnchor>
    <xdr:from>
      <xdr:col>18</xdr:col>
      <xdr:colOff>177800</xdr:colOff>
      <xdr:row>62</xdr:row>
      <xdr:rowOff>185968</xdr:rowOff>
    </xdr:from>
    <xdr:to>
      <xdr:col>20</xdr:col>
      <xdr:colOff>15363</xdr:colOff>
      <xdr:row>65</xdr:row>
      <xdr:rowOff>15424</xdr:rowOff>
    </xdr:to>
    <xdr:sp macro="" textlink="">
      <xdr:nvSpPr>
        <xdr:cNvPr id="66" name="TextBox 65"/>
        <xdr:cNvSpPr txBox="1"/>
      </xdr:nvSpPr>
      <xdr:spPr>
        <a:xfrm>
          <a:off x="3507921" y="8422825"/>
          <a:ext cx="262466" cy="283028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8CD0E9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/>
        </a:p>
      </xdr:txBody>
    </xdr:sp>
    <xdr:clientData fLocksWithSheet="0"/>
  </xdr:twoCellAnchor>
  <xdr:twoCellAnchor>
    <xdr:from>
      <xdr:col>17</xdr:col>
      <xdr:colOff>106893</xdr:colOff>
      <xdr:row>69</xdr:row>
      <xdr:rowOff>5895</xdr:rowOff>
    </xdr:from>
    <xdr:to>
      <xdr:col>18</xdr:col>
      <xdr:colOff>131512</xdr:colOff>
      <xdr:row>71</xdr:row>
      <xdr:rowOff>25399</xdr:rowOff>
    </xdr:to>
    <xdr:sp macro="" textlink="">
      <xdr:nvSpPr>
        <xdr:cNvPr id="71" name="TextBox 70"/>
        <xdr:cNvSpPr txBox="1"/>
      </xdr:nvSpPr>
      <xdr:spPr>
        <a:xfrm>
          <a:off x="3139018" y="8991599"/>
          <a:ext cx="262466" cy="27940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8CD0E9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/>
        </a:p>
      </xdr:txBody>
    </xdr:sp>
    <xdr:clientData fLocksWithSheet="0"/>
  </xdr:twoCellAnchor>
  <xdr:twoCellAnchor>
    <xdr:from>
      <xdr:col>18</xdr:col>
      <xdr:colOff>180975</xdr:colOff>
      <xdr:row>49</xdr:row>
      <xdr:rowOff>46565</xdr:rowOff>
    </xdr:from>
    <xdr:to>
      <xdr:col>20</xdr:col>
      <xdr:colOff>18538</xdr:colOff>
      <xdr:row>52</xdr:row>
      <xdr:rowOff>33995</xdr:rowOff>
    </xdr:to>
    <xdr:sp macro="" textlink="">
      <xdr:nvSpPr>
        <xdr:cNvPr id="28246" name="TextBox 28245"/>
        <xdr:cNvSpPr txBox="1"/>
      </xdr:nvSpPr>
      <xdr:spPr>
        <a:xfrm>
          <a:off x="3451225" y="6460065"/>
          <a:ext cx="262466" cy="27940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8CD0E9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/>
        </a:p>
      </xdr:txBody>
    </xdr:sp>
    <xdr:clientData fLocksWithSheet="0"/>
  </xdr:twoCellAnchor>
  <xdr:twoCellAnchor>
    <xdr:from>
      <xdr:col>17</xdr:col>
      <xdr:colOff>106893</xdr:colOff>
      <xdr:row>50</xdr:row>
      <xdr:rowOff>2115</xdr:rowOff>
    </xdr:from>
    <xdr:to>
      <xdr:col>18</xdr:col>
      <xdr:colOff>131512</xdr:colOff>
      <xdr:row>52</xdr:row>
      <xdr:rowOff>37170</xdr:rowOff>
    </xdr:to>
    <xdr:sp macro="" textlink="">
      <xdr:nvSpPr>
        <xdr:cNvPr id="57" name="TextBox 56"/>
        <xdr:cNvSpPr txBox="1"/>
      </xdr:nvSpPr>
      <xdr:spPr>
        <a:xfrm>
          <a:off x="3139018" y="6463240"/>
          <a:ext cx="262466" cy="27940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8CD0E9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/>
        </a:p>
      </xdr:txBody>
    </xdr:sp>
    <xdr:clientData fLocksWithSheet="0"/>
  </xdr:twoCellAnchor>
  <xdr:twoCellAnchor>
    <xdr:from>
      <xdr:col>18</xdr:col>
      <xdr:colOff>177800</xdr:colOff>
      <xdr:row>52</xdr:row>
      <xdr:rowOff>155876</xdr:rowOff>
    </xdr:from>
    <xdr:to>
      <xdr:col>20</xdr:col>
      <xdr:colOff>15363</xdr:colOff>
      <xdr:row>54</xdr:row>
      <xdr:rowOff>181276</xdr:rowOff>
    </xdr:to>
    <xdr:sp macro="" textlink="">
      <xdr:nvSpPr>
        <xdr:cNvPr id="58" name="TextBox 57"/>
        <xdr:cNvSpPr txBox="1"/>
      </xdr:nvSpPr>
      <xdr:spPr>
        <a:xfrm>
          <a:off x="3507921" y="6923162"/>
          <a:ext cx="262466" cy="27940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8CD0E9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/>
        </a:p>
      </xdr:txBody>
    </xdr:sp>
    <xdr:clientData fLocksWithSheet="0"/>
  </xdr:twoCellAnchor>
  <xdr:twoCellAnchor>
    <xdr:from>
      <xdr:col>17</xdr:col>
      <xdr:colOff>106893</xdr:colOff>
      <xdr:row>52</xdr:row>
      <xdr:rowOff>152701</xdr:rowOff>
    </xdr:from>
    <xdr:to>
      <xdr:col>18</xdr:col>
      <xdr:colOff>131512</xdr:colOff>
      <xdr:row>54</xdr:row>
      <xdr:rowOff>178101</xdr:rowOff>
    </xdr:to>
    <xdr:sp macro="" textlink="">
      <xdr:nvSpPr>
        <xdr:cNvPr id="59" name="TextBox 58"/>
        <xdr:cNvSpPr txBox="1"/>
      </xdr:nvSpPr>
      <xdr:spPr>
        <a:xfrm>
          <a:off x="3200704" y="6919987"/>
          <a:ext cx="260651" cy="27940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8CD0E9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/>
        </a:p>
      </xdr:txBody>
    </xdr:sp>
    <xdr:clientData fLocksWithSheet="0"/>
  </xdr:twoCellAnchor>
  <xdr:twoCellAnchor>
    <xdr:from>
      <xdr:col>18</xdr:col>
      <xdr:colOff>177800</xdr:colOff>
      <xdr:row>54</xdr:row>
      <xdr:rowOff>274567</xdr:rowOff>
    </xdr:from>
    <xdr:to>
      <xdr:col>20</xdr:col>
      <xdr:colOff>15363</xdr:colOff>
      <xdr:row>56</xdr:row>
      <xdr:rowOff>158453</xdr:rowOff>
    </xdr:to>
    <xdr:sp macro="" textlink="">
      <xdr:nvSpPr>
        <xdr:cNvPr id="60" name="TextBox 59"/>
        <xdr:cNvSpPr txBox="1"/>
      </xdr:nvSpPr>
      <xdr:spPr>
        <a:xfrm>
          <a:off x="3507921" y="7295853"/>
          <a:ext cx="262466" cy="283029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8CD0E9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/>
        </a:p>
      </xdr:txBody>
    </xdr:sp>
    <xdr:clientData fLocksWithSheet="0"/>
  </xdr:twoCellAnchor>
  <xdr:twoCellAnchor>
    <xdr:from>
      <xdr:col>17</xdr:col>
      <xdr:colOff>103718</xdr:colOff>
      <xdr:row>54</xdr:row>
      <xdr:rowOff>268217</xdr:rowOff>
    </xdr:from>
    <xdr:to>
      <xdr:col>18</xdr:col>
      <xdr:colOff>128337</xdr:colOff>
      <xdr:row>56</xdr:row>
      <xdr:rowOff>148474</xdr:rowOff>
    </xdr:to>
    <xdr:sp macro="" textlink="">
      <xdr:nvSpPr>
        <xdr:cNvPr id="61" name="TextBox 60"/>
        <xdr:cNvSpPr txBox="1"/>
      </xdr:nvSpPr>
      <xdr:spPr>
        <a:xfrm>
          <a:off x="3197529" y="7289503"/>
          <a:ext cx="260651" cy="27940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8CD0E9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/>
        </a:p>
      </xdr:txBody>
    </xdr:sp>
    <xdr:clientData fLocksWithSheet="0"/>
  </xdr:twoCellAnchor>
  <xdr:twoCellAnchor>
    <xdr:from>
      <xdr:col>18</xdr:col>
      <xdr:colOff>177800</xdr:colOff>
      <xdr:row>58</xdr:row>
      <xdr:rowOff>458</xdr:rowOff>
    </xdr:from>
    <xdr:to>
      <xdr:col>20</xdr:col>
      <xdr:colOff>15363</xdr:colOff>
      <xdr:row>59</xdr:row>
      <xdr:rowOff>29486</xdr:rowOff>
    </xdr:to>
    <xdr:sp macro="" textlink="">
      <xdr:nvSpPr>
        <xdr:cNvPr id="62" name="TextBox 61"/>
        <xdr:cNvSpPr txBox="1"/>
      </xdr:nvSpPr>
      <xdr:spPr>
        <a:xfrm>
          <a:off x="3507921" y="7674887"/>
          <a:ext cx="262466" cy="283028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8CD0E9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/>
        </a:p>
      </xdr:txBody>
    </xdr:sp>
    <xdr:clientData fLocksWithSheet="0"/>
  </xdr:twoCellAnchor>
  <xdr:twoCellAnchor>
    <xdr:from>
      <xdr:col>17</xdr:col>
      <xdr:colOff>100543</xdr:colOff>
      <xdr:row>57</xdr:row>
      <xdr:rowOff>44908</xdr:rowOff>
    </xdr:from>
    <xdr:to>
      <xdr:col>18</xdr:col>
      <xdr:colOff>124777</xdr:colOff>
      <xdr:row>59</xdr:row>
      <xdr:rowOff>36095</xdr:rowOff>
    </xdr:to>
    <xdr:sp macro="" textlink="">
      <xdr:nvSpPr>
        <xdr:cNvPr id="63" name="TextBox 62"/>
        <xdr:cNvSpPr txBox="1"/>
      </xdr:nvSpPr>
      <xdr:spPr>
        <a:xfrm>
          <a:off x="3194354" y="7681237"/>
          <a:ext cx="260651" cy="283028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8CD0E9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/>
        </a:p>
      </xdr:txBody>
    </xdr:sp>
    <xdr:clientData fLocksWithSheet="0"/>
  </xdr:twoCellAnchor>
  <xdr:twoCellAnchor>
    <xdr:from>
      <xdr:col>17</xdr:col>
      <xdr:colOff>106893</xdr:colOff>
      <xdr:row>60</xdr:row>
      <xdr:rowOff>72575</xdr:rowOff>
    </xdr:from>
    <xdr:to>
      <xdr:col>18</xdr:col>
      <xdr:colOff>131512</xdr:colOff>
      <xdr:row>62</xdr:row>
      <xdr:rowOff>107630</xdr:rowOff>
    </xdr:to>
    <xdr:sp macro="" textlink="">
      <xdr:nvSpPr>
        <xdr:cNvPr id="65" name="TextBox 64"/>
        <xdr:cNvSpPr txBox="1"/>
      </xdr:nvSpPr>
      <xdr:spPr>
        <a:xfrm>
          <a:off x="3200704" y="8055432"/>
          <a:ext cx="260651" cy="27940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8CD0E9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/>
        </a:p>
      </xdr:txBody>
    </xdr:sp>
    <xdr:clientData fLocksWithSheet="0"/>
  </xdr:twoCellAnchor>
  <xdr:twoCellAnchor>
    <xdr:from>
      <xdr:col>17</xdr:col>
      <xdr:colOff>103718</xdr:colOff>
      <xdr:row>62</xdr:row>
      <xdr:rowOff>195493</xdr:rowOff>
    </xdr:from>
    <xdr:to>
      <xdr:col>18</xdr:col>
      <xdr:colOff>128337</xdr:colOff>
      <xdr:row>65</xdr:row>
      <xdr:rowOff>24949</xdr:rowOff>
    </xdr:to>
    <xdr:sp macro="" textlink="">
      <xdr:nvSpPr>
        <xdr:cNvPr id="67" name="TextBox 66"/>
        <xdr:cNvSpPr txBox="1"/>
      </xdr:nvSpPr>
      <xdr:spPr>
        <a:xfrm>
          <a:off x="3197529" y="8432350"/>
          <a:ext cx="260651" cy="283028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8CD0E9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/>
        </a:p>
      </xdr:txBody>
    </xdr:sp>
    <xdr:clientData fLocksWithSheet="0"/>
  </xdr:twoCellAnchor>
  <xdr:twoCellAnchor>
    <xdr:from>
      <xdr:col>18</xdr:col>
      <xdr:colOff>177800</xdr:colOff>
      <xdr:row>66</xdr:row>
      <xdr:rowOff>71816</xdr:rowOff>
    </xdr:from>
    <xdr:to>
      <xdr:col>20</xdr:col>
      <xdr:colOff>15363</xdr:colOff>
      <xdr:row>68</xdr:row>
      <xdr:rowOff>97216</xdr:rowOff>
    </xdr:to>
    <xdr:sp macro="" textlink="">
      <xdr:nvSpPr>
        <xdr:cNvPr id="68" name="TextBox 67"/>
        <xdr:cNvSpPr txBox="1"/>
      </xdr:nvSpPr>
      <xdr:spPr>
        <a:xfrm>
          <a:off x="3507921" y="8816673"/>
          <a:ext cx="262466" cy="27940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8CD0E9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/>
        </a:p>
      </xdr:txBody>
    </xdr:sp>
    <xdr:clientData fLocksWithSheet="0"/>
  </xdr:twoCellAnchor>
  <xdr:twoCellAnchor>
    <xdr:from>
      <xdr:col>17</xdr:col>
      <xdr:colOff>106893</xdr:colOff>
      <xdr:row>66</xdr:row>
      <xdr:rowOff>74991</xdr:rowOff>
    </xdr:from>
    <xdr:to>
      <xdr:col>18</xdr:col>
      <xdr:colOff>131512</xdr:colOff>
      <xdr:row>68</xdr:row>
      <xdr:rowOff>100391</xdr:rowOff>
    </xdr:to>
    <xdr:sp macro="" textlink="">
      <xdr:nvSpPr>
        <xdr:cNvPr id="69" name="TextBox 68"/>
        <xdr:cNvSpPr txBox="1"/>
      </xdr:nvSpPr>
      <xdr:spPr>
        <a:xfrm>
          <a:off x="3200704" y="8819848"/>
          <a:ext cx="260651" cy="27940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8CD0E9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/>
        </a:p>
      </xdr:txBody>
    </xdr:sp>
    <xdr:clientData fLocksWithSheet="0"/>
  </xdr:twoCellAnchor>
  <xdr:twoCellAnchor>
    <xdr:from>
      <xdr:col>18</xdr:col>
      <xdr:colOff>184150</xdr:colOff>
      <xdr:row>69</xdr:row>
      <xdr:rowOff>2720</xdr:rowOff>
    </xdr:from>
    <xdr:to>
      <xdr:col>20</xdr:col>
      <xdr:colOff>20822</xdr:colOff>
      <xdr:row>71</xdr:row>
      <xdr:rowOff>22224</xdr:rowOff>
    </xdr:to>
    <xdr:sp macro="" textlink="">
      <xdr:nvSpPr>
        <xdr:cNvPr id="70" name="TextBox 69"/>
        <xdr:cNvSpPr txBox="1"/>
      </xdr:nvSpPr>
      <xdr:spPr>
        <a:xfrm>
          <a:off x="3454400" y="8988424"/>
          <a:ext cx="262466" cy="27940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8CD0E9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/>
        </a:p>
      </xdr:txBody>
    </xdr:sp>
    <xdr:clientData fLocksWithSheet="0"/>
  </xdr:twoCellAnchor>
  <xdr:twoCellAnchor>
    <xdr:from>
      <xdr:col>0</xdr:col>
      <xdr:colOff>50800</xdr:colOff>
      <xdr:row>86</xdr:row>
      <xdr:rowOff>36286</xdr:rowOff>
    </xdr:from>
    <xdr:to>
      <xdr:col>37</xdr:col>
      <xdr:colOff>114342</xdr:colOff>
      <xdr:row>132</xdr:row>
      <xdr:rowOff>136522</xdr:rowOff>
    </xdr:to>
    <xdr:sp macro="" textlink="" fLocksText="0">
      <xdr:nvSpPr>
        <xdr:cNvPr id="3" name="TextBox 2"/>
        <xdr:cNvSpPr txBox="1"/>
      </xdr:nvSpPr>
      <xdr:spPr>
        <a:xfrm>
          <a:off x="50800" y="11221357"/>
          <a:ext cx="6958693" cy="7184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900" baseline="0">
            <a:latin typeface="Arial"/>
          </a:endParaRPr>
        </a:p>
      </xdr:txBody>
    </xdr:sp>
    <xdr:clientData/>
  </xdr:twoCellAnchor>
  <xdr:twoCellAnchor>
    <xdr:from>
      <xdr:col>20</xdr:col>
      <xdr:colOff>62446</xdr:colOff>
      <xdr:row>49</xdr:row>
      <xdr:rowOff>33867</xdr:rowOff>
    </xdr:from>
    <xdr:to>
      <xdr:col>20</xdr:col>
      <xdr:colOff>171101</xdr:colOff>
      <xdr:row>71</xdr:row>
      <xdr:rowOff>7405</xdr:rowOff>
    </xdr:to>
    <xdr:sp macro="" textlink="">
      <xdr:nvSpPr>
        <xdr:cNvPr id="4" name="TextBox 3"/>
        <xdr:cNvSpPr txBox="1"/>
      </xdr:nvSpPr>
      <xdr:spPr>
        <a:xfrm>
          <a:off x="3767671" y="6434667"/>
          <a:ext cx="118533" cy="2827866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" wrap="square" rtlCol="0" anchor="ctr" anchorCtr="0"/>
        <a:lstStyle/>
        <a:p>
          <a:pPr algn="ctr"/>
          <a:r>
            <a:rPr lang="en-US" sz="900" b="1" i="0" kern="0" spc="470">
              <a:latin typeface="Arial"/>
            </a:rPr>
            <a:t>RIGHT</a:t>
          </a:r>
          <a:r>
            <a:rPr lang="en-US" sz="1000" b="1" i="0" kern="0" spc="470">
              <a:latin typeface="Arial"/>
            </a:rPr>
            <a:t> HAND SEAL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47</xdr:row>
          <xdr:rowOff>19050</xdr:rowOff>
        </xdr:from>
        <xdr:to>
          <xdr:col>19</xdr:col>
          <xdr:colOff>142875</xdr:colOff>
          <xdr:row>48</xdr:row>
          <xdr:rowOff>171450</xdr:rowOff>
        </xdr:to>
        <xdr:sp macro="" textlink="">
          <xdr:nvSpPr>
            <xdr:cNvPr id="31356" name="Button 7804" hidden="1">
              <a:extLst>
                <a:ext uri="{63B3BB69-23CF-44E3-9099-C40C66FF867C}">
                  <a14:compatExt spid="_x0000_s3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80808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19050</xdr:colOff>
      <xdr:row>49</xdr:row>
      <xdr:rowOff>28575</xdr:rowOff>
    </xdr:from>
    <xdr:to>
      <xdr:col>20</xdr:col>
      <xdr:colOff>38100</xdr:colOff>
      <xdr:row>71</xdr:row>
      <xdr:rowOff>28575</xdr:rowOff>
    </xdr:to>
    <xdr:grpSp>
      <xdr:nvGrpSpPr>
        <xdr:cNvPr id="54868" name="Group 1"/>
        <xdr:cNvGrpSpPr>
          <a:grpSpLocks/>
        </xdr:cNvGrpSpPr>
      </xdr:nvGrpSpPr>
      <xdr:grpSpPr bwMode="auto">
        <a:xfrm>
          <a:off x="2563586" y="6185807"/>
          <a:ext cx="604157" cy="2884714"/>
          <a:chOff x="3122386" y="6484257"/>
          <a:chExt cx="683985" cy="2993572"/>
        </a:xfrm>
      </xdr:grpSpPr>
      <xdr:pic macro="[0]!PDB4_Click">
        <xdr:nvPicPr>
          <xdr:cNvPr id="54869" name="Picture 16" descr="PD4B.png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14271" y="7622577"/>
            <a:ext cx="279400" cy="33749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 macro="[0]!PDB5_Click">
        <xdr:nvPicPr>
          <xdr:cNvPr id="54870" name="Picture 18" descr="PD5B.png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14271" y="8013458"/>
            <a:ext cx="292100" cy="33367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 macro="[0]!PDF1_Click">
        <xdr:nvPicPr>
          <xdr:cNvPr id="54871" name="Picture 4" descr="PD1F.png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22386" y="6484257"/>
            <a:ext cx="353785" cy="32414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 macro="[0]!PDF2_Click">
        <xdr:nvPicPr>
          <xdr:cNvPr id="54872" name="Picture 5" descr="PD2F.png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22386" y="6875137"/>
            <a:ext cx="353785" cy="32033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 macro="[0]!PDF3_Click">
        <xdr:nvPicPr>
          <xdr:cNvPr id="54873" name="Picture 6" descr="PD3F.png"/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22386" y="7248857"/>
            <a:ext cx="353785" cy="33367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 macro="[0]!PDF4_Click">
        <xdr:nvPicPr>
          <xdr:cNvPr id="54874" name="Picture 7" descr="PD4F.png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22386" y="7635924"/>
            <a:ext cx="353785" cy="32414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 macro="[0]!PDF5_Click">
        <xdr:nvPicPr>
          <xdr:cNvPr id="54875" name="Picture 9" descr="PD5F.png"/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22386" y="8013458"/>
            <a:ext cx="366485" cy="33367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 macro="[0]!PDF6_Click">
        <xdr:nvPicPr>
          <xdr:cNvPr id="54876" name="Picture 10" descr="PD6F.png"/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22386" y="8396711"/>
            <a:ext cx="353785" cy="32414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 macro="[0]!PDF7_Click">
        <xdr:nvPicPr>
          <xdr:cNvPr id="54877" name="Picture 11" descr="PD7F.png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22386" y="8774245"/>
            <a:ext cx="353785" cy="32033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 macro="[0]!PDF8_Click">
        <xdr:nvPicPr>
          <xdr:cNvPr id="54878" name="Picture 12" descr="PD8F.png"/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22386" y="9147964"/>
            <a:ext cx="353785" cy="32986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 macro="[0]!PDB1_Click">
        <xdr:nvPicPr>
          <xdr:cNvPr id="54879" name="Picture 13" descr="PD1B.png"/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14271" y="6484257"/>
            <a:ext cx="279400" cy="33749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 macro="[0]!PDB2_Click">
        <xdr:nvPicPr>
          <xdr:cNvPr id="54880" name="Picture 14" descr="PD2B.png"/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14271" y="6875137"/>
            <a:ext cx="279400" cy="33367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 macro="[0]!PDB3_Click">
        <xdr:nvPicPr>
          <xdr:cNvPr id="54881" name="Picture 15" descr="PD3B.png"/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14271" y="7262204"/>
            <a:ext cx="279400" cy="32033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 macro="[0]!PDB6_Click">
        <xdr:nvPicPr>
          <xdr:cNvPr id="54882" name="Picture 19" descr="PD6B.png"/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14271" y="8383364"/>
            <a:ext cx="279400" cy="33749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 macro="[0]!PDB7_Click">
        <xdr:nvPicPr>
          <xdr:cNvPr id="54883" name="Picture 20" descr="PD7B.png"/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14271" y="8774245"/>
            <a:ext cx="279400" cy="32033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 macro="[0]!PDB8_Click">
        <xdr:nvPicPr>
          <xdr:cNvPr id="54884" name="Picture 21" descr="PD8B.png"/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01571" y="9147964"/>
            <a:ext cx="292100" cy="32986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82</xdr:row>
          <xdr:rowOff>123825</xdr:rowOff>
        </xdr:from>
        <xdr:to>
          <xdr:col>6</xdr:col>
          <xdr:colOff>133350</xdr:colOff>
          <xdr:row>84</xdr:row>
          <xdr:rowOff>123825</xdr:rowOff>
        </xdr:to>
        <xdr:sp macro="" textlink="">
          <xdr:nvSpPr>
            <xdr:cNvPr id="52737" name="Check Box 26113" hidden="1">
              <a:extLst>
                <a:ext uri="{63B3BB69-23CF-44E3-9099-C40C66FF867C}">
                  <a14:compatExt spid="_x0000_s52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19050</xdr:colOff>
          <xdr:row>28</xdr:row>
          <xdr:rowOff>9525</xdr:rowOff>
        </xdr:from>
        <xdr:to>
          <xdr:col>37</xdr:col>
          <xdr:colOff>57150</xdr:colOff>
          <xdr:row>30</xdr:row>
          <xdr:rowOff>9525</xdr:rowOff>
        </xdr:to>
        <xdr:sp macro="" textlink="">
          <xdr:nvSpPr>
            <xdr:cNvPr id="55297" name="Check Box 1" hidden="1">
              <a:extLst>
                <a:ext uri="{63B3BB69-23CF-44E3-9099-C40C66FF867C}">
                  <a14:compatExt spid="_x0000_s55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11430</xdr:colOff>
      <xdr:row>34</xdr:row>
      <xdr:rowOff>0</xdr:rowOff>
    </xdr:from>
    <xdr:to>
      <xdr:col>37</xdr:col>
      <xdr:colOff>104132</xdr:colOff>
      <xdr:row>41</xdr:row>
      <xdr:rowOff>112466</xdr:rowOff>
    </xdr:to>
    <xdr:sp macro="" textlink="" fLocksText="0">
      <xdr:nvSpPr>
        <xdr:cNvPr id="3" name="TextBox 2"/>
        <xdr:cNvSpPr txBox="1"/>
      </xdr:nvSpPr>
      <xdr:spPr>
        <a:xfrm>
          <a:off x="20955" y="3962400"/>
          <a:ext cx="6680839" cy="1077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152400</xdr:rowOff>
        </xdr:from>
        <xdr:to>
          <xdr:col>4</xdr:col>
          <xdr:colOff>390525</xdr:colOff>
          <xdr:row>9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 to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161925</xdr:rowOff>
        </xdr:from>
        <xdr:to>
          <xdr:col>4</xdr:col>
          <xdr:colOff>381000</xdr:colOff>
          <xdr:row>12</xdr:row>
          <xdr:rowOff>28575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 to ICM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381000</xdr:colOff>
          <xdr:row>15</xdr:row>
          <xdr:rowOff>9525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 to S+R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4</xdr:row>
      <xdr:rowOff>57150</xdr:rowOff>
    </xdr:from>
    <xdr:to>
      <xdr:col>8</xdr:col>
      <xdr:colOff>190500</xdr:colOff>
      <xdr:row>17</xdr:row>
      <xdr:rowOff>0</xdr:rowOff>
    </xdr:to>
    <xdr:pic>
      <xdr:nvPicPr>
        <xdr:cNvPr id="29337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828675"/>
          <a:ext cx="4876800" cy="2047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21</xdr:row>
          <xdr:rowOff>66675</xdr:rowOff>
        </xdr:from>
        <xdr:to>
          <xdr:col>6</xdr:col>
          <xdr:colOff>552450</xdr:colOff>
          <xdr:row>24</xdr:row>
          <xdr:rowOff>28575</xdr:rowOff>
        </xdr:to>
        <xdr:sp macro="" textlink="">
          <xdr:nvSpPr>
            <xdr:cNvPr id="29276" name="Button 1628" hidden="1">
              <a:extLst>
                <a:ext uri="{63B3BB69-23CF-44E3-9099-C40C66FF867C}">
                  <a14:compatExt spid="_x0000_s29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sng" strike="noStrike" baseline="0">
                  <a:solidFill>
                    <a:srgbClr val="33CCCC"/>
                  </a:solidFill>
                  <a:latin typeface="Arial"/>
                  <a:cs typeface="Arial"/>
                </a:rPr>
                <a:t>Back to ICM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21</xdr:row>
          <xdr:rowOff>66675</xdr:rowOff>
        </xdr:from>
        <xdr:to>
          <xdr:col>4</xdr:col>
          <xdr:colOff>304800</xdr:colOff>
          <xdr:row>24</xdr:row>
          <xdr:rowOff>28575</xdr:rowOff>
        </xdr:to>
        <xdr:sp macro="" textlink="">
          <xdr:nvSpPr>
            <xdr:cNvPr id="29277" name="Button 1629" hidden="1">
              <a:extLst>
                <a:ext uri="{63B3BB69-23CF-44E3-9099-C40C66FF867C}">
                  <a14:compatExt spid="_x0000_s29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sng" strike="noStrike" baseline="0">
                  <a:solidFill>
                    <a:srgbClr val="33CCCC"/>
                  </a:solidFill>
                  <a:latin typeface="Arial"/>
                  <a:cs typeface="Arial"/>
                </a:rPr>
                <a:t>Back to Checklist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5" tint="0.39997558519241921"/>
  </sheetPr>
  <dimension ref="A3:L61"/>
  <sheetViews>
    <sheetView topLeftCell="A3" zoomScaleNormal="100" workbookViewId="0">
      <selection activeCell="B24" sqref="B24"/>
    </sheetView>
  </sheetViews>
  <sheetFormatPr defaultColWidth="10.85546875" defaultRowHeight="12" x14ac:dyDescent="0.2"/>
  <cols>
    <col min="1" max="1" width="2.28515625" style="105" customWidth="1"/>
    <col min="2" max="2" width="12.42578125" style="105" customWidth="1"/>
    <col min="3" max="3" width="18" style="105" customWidth="1"/>
    <col min="4" max="4" width="2.28515625" style="105" customWidth="1"/>
    <col min="5" max="5" width="12.42578125" style="105" customWidth="1"/>
    <col min="6" max="6" width="18" style="105" customWidth="1"/>
    <col min="7" max="7" width="2.28515625" style="105" customWidth="1"/>
    <col min="8" max="8" width="10.85546875" style="105"/>
    <col min="9" max="9" width="2.28515625" style="105" customWidth="1"/>
    <col min="10" max="10" width="13.28515625" style="105" customWidth="1"/>
    <col min="11" max="11" width="2.28515625" style="105" customWidth="1"/>
    <col min="12" max="16384" width="10.85546875" style="105"/>
  </cols>
  <sheetData>
    <row r="3" spans="2:12" x14ac:dyDescent="0.2">
      <c r="B3" s="106"/>
      <c r="C3" s="107"/>
      <c r="D3" s="107"/>
      <c r="E3" s="107"/>
      <c r="F3" s="107"/>
    </row>
    <row r="4" spans="2:12" ht="24" x14ac:dyDescent="0.2">
      <c r="B4" s="182" t="s">
        <v>225</v>
      </c>
      <c r="C4" s="183"/>
      <c r="E4" s="182" t="s">
        <v>233</v>
      </c>
      <c r="F4" s="183"/>
      <c r="H4" s="127" t="s">
        <v>293</v>
      </c>
      <c r="J4" s="127" t="s">
        <v>294</v>
      </c>
      <c r="L4" s="127" t="s">
        <v>295</v>
      </c>
    </row>
    <row r="5" spans="2:12" ht="12.75" x14ac:dyDescent="0.2">
      <c r="B5" s="108" t="s">
        <v>226</v>
      </c>
      <c r="C5" s="108" t="s">
        <v>227</v>
      </c>
      <c r="E5" s="108" t="s">
        <v>226</v>
      </c>
      <c r="F5" s="108" t="s">
        <v>234</v>
      </c>
      <c r="H5" s="129">
        <v>0</v>
      </c>
      <c r="I5" s="129"/>
      <c r="J5" s="128">
        <v>0</v>
      </c>
      <c r="K5" s="129"/>
      <c r="L5" s="129">
        <v>0</v>
      </c>
    </row>
    <row r="6" spans="2:12" ht="25.5" x14ac:dyDescent="0.2">
      <c r="B6" s="104" t="s">
        <v>229</v>
      </c>
      <c r="C6" s="104" t="b">
        <f>IF('3 Side Seal Zipper Pouch'!C19="OD in.",'3 Side Seal Zipper Pouch'!F19)</f>
        <v>0</v>
      </c>
      <c r="E6" s="104" t="s">
        <v>235</v>
      </c>
      <c r="F6" s="104" t="b">
        <f>IF('3 Side Seal Zipper Pouch'!C19="OD in.",'3 Side Seal Zipper Pouch'!I19)</f>
        <v>0</v>
      </c>
    </row>
    <row r="7" spans="2:12" ht="12.75" x14ac:dyDescent="0.2">
      <c r="B7" s="109"/>
      <c r="C7" s="109">
        <f>C6*25.4</f>
        <v>0</v>
      </c>
      <c r="E7" s="109"/>
      <c r="F7" s="109">
        <f>F6*25.4</f>
        <v>0</v>
      </c>
    </row>
    <row r="8" spans="2:12" ht="12.75" x14ac:dyDescent="0.2">
      <c r="B8" s="109"/>
      <c r="C8" s="109">
        <v>3.8</v>
      </c>
      <c r="E8" s="109"/>
      <c r="F8" s="109">
        <v>3.8</v>
      </c>
    </row>
    <row r="9" spans="2:12" ht="12.75" x14ac:dyDescent="0.2">
      <c r="B9" s="109"/>
      <c r="C9" s="109">
        <f>C7+C8</f>
        <v>3.8</v>
      </c>
      <c r="E9" s="109"/>
      <c r="F9" s="109">
        <f>F7+F8</f>
        <v>3.8</v>
      </c>
    </row>
    <row r="10" spans="2:12" ht="12.75" x14ac:dyDescent="0.2">
      <c r="B10" s="109"/>
      <c r="C10" s="109">
        <f>C9/5</f>
        <v>0.76</v>
      </c>
      <c r="E10" s="109"/>
      <c r="F10" s="109">
        <f>F9/5</f>
        <v>0.76</v>
      </c>
    </row>
    <row r="11" spans="2:12" ht="12.75" x14ac:dyDescent="0.2">
      <c r="B11" s="109"/>
      <c r="C11" s="109">
        <f>FLOOR(C10,1)</f>
        <v>0</v>
      </c>
      <c r="E11" s="109"/>
      <c r="F11" s="109">
        <f>FLOOR(F10,1)</f>
        <v>0</v>
      </c>
    </row>
    <row r="12" spans="2:12" ht="12.75" x14ac:dyDescent="0.2">
      <c r="B12" s="110" t="s">
        <v>232</v>
      </c>
      <c r="C12" s="110">
        <f>C11*5</f>
        <v>0</v>
      </c>
      <c r="E12" s="110" t="s">
        <v>232</v>
      </c>
      <c r="F12" s="110">
        <f>F11*5</f>
        <v>0</v>
      </c>
    </row>
    <row r="14" spans="2:12" ht="12.75" x14ac:dyDescent="0.2">
      <c r="B14" s="182" t="s">
        <v>236</v>
      </c>
      <c r="C14" s="183"/>
      <c r="E14" s="182" t="s">
        <v>238</v>
      </c>
      <c r="F14" s="183"/>
    </row>
    <row r="15" spans="2:12" ht="12.75" x14ac:dyDescent="0.2">
      <c r="B15" s="108" t="s">
        <v>226</v>
      </c>
      <c r="C15" s="108" t="s">
        <v>227</v>
      </c>
      <c r="E15" s="108" t="s">
        <v>226</v>
      </c>
      <c r="F15" s="108" t="s">
        <v>234</v>
      </c>
    </row>
    <row r="16" spans="2:12" ht="25.5" x14ac:dyDescent="0.2">
      <c r="B16" s="104" t="s">
        <v>229</v>
      </c>
      <c r="C16" s="104" t="b">
        <f>IF('3 Side Seal Zipper Pouch'!C19="ID in.",'3 Side Seal Zipper Pouch'!F19)</f>
        <v>0</v>
      </c>
      <c r="E16" s="104" t="s">
        <v>235</v>
      </c>
      <c r="F16" s="104" t="b">
        <f>IF('3 Side Seal Zipper Pouch'!C19="ID in.",'3 Side Seal Zipper Pouch'!I19)</f>
        <v>0</v>
      </c>
    </row>
    <row r="17" spans="2:6" ht="12.75" x14ac:dyDescent="0.2">
      <c r="B17" s="109"/>
      <c r="C17" s="109">
        <f>C16*25.4</f>
        <v>0</v>
      </c>
      <c r="E17" s="109"/>
      <c r="F17" s="109">
        <f>F16*25.4</f>
        <v>0</v>
      </c>
    </row>
    <row r="18" spans="2:6" ht="12.75" x14ac:dyDescent="0.2">
      <c r="B18" s="109"/>
      <c r="C18" s="109">
        <v>19.8</v>
      </c>
      <c r="E18" s="109"/>
      <c r="F18" s="109">
        <v>11.8</v>
      </c>
    </row>
    <row r="19" spans="2:6" ht="12.75" x14ac:dyDescent="0.2">
      <c r="B19" s="109"/>
      <c r="C19" s="109">
        <f>C17+C18</f>
        <v>19.8</v>
      </c>
      <c r="E19" s="109"/>
      <c r="F19" s="109">
        <f>F17+F18</f>
        <v>11.8</v>
      </c>
    </row>
    <row r="20" spans="2:6" ht="12.75" x14ac:dyDescent="0.2">
      <c r="B20" s="109"/>
      <c r="C20" s="109">
        <f>C19/5</f>
        <v>3.96</v>
      </c>
      <c r="E20" s="109"/>
      <c r="F20" s="109">
        <f>F19/5</f>
        <v>2.3600000000000003</v>
      </c>
    </row>
    <row r="21" spans="2:6" ht="12.75" x14ac:dyDescent="0.2">
      <c r="B21" s="109"/>
      <c r="C21" s="109">
        <f>FLOOR(C20,1)</f>
        <v>3</v>
      </c>
      <c r="E21" s="109"/>
      <c r="F21" s="109">
        <f>FLOOR(F20,1)</f>
        <v>2</v>
      </c>
    </row>
    <row r="22" spans="2:6" ht="12.75" x14ac:dyDescent="0.2">
      <c r="B22" s="110" t="s">
        <v>237</v>
      </c>
      <c r="C22" s="110">
        <f>C21*5</f>
        <v>15</v>
      </c>
      <c r="E22" s="110" t="s">
        <v>237</v>
      </c>
      <c r="F22" s="110">
        <f>F21*5</f>
        <v>10</v>
      </c>
    </row>
    <row r="49" spans="1:5" x14ac:dyDescent="0.2">
      <c r="A49" s="111"/>
      <c r="B49" s="111"/>
      <c r="C49" s="111"/>
      <c r="D49" s="111"/>
      <c r="E49" s="111"/>
    </row>
    <row r="50" spans="1:5" x14ac:dyDescent="0.2">
      <c r="A50" s="112"/>
      <c r="B50" s="112"/>
      <c r="C50" s="112"/>
      <c r="D50" s="112"/>
      <c r="E50" s="112"/>
    </row>
    <row r="51" spans="1:5" x14ac:dyDescent="0.2">
      <c r="A51" s="112"/>
      <c r="B51" s="112"/>
      <c r="C51" s="112"/>
      <c r="D51" s="112"/>
      <c r="E51" s="112"/>
    </row>
    <row r="52" spans="1:5" x14ac:dyDescent="0.2">
      <c r="A52" s="112"/>
      <c r="B52" s="112"/>
      <c r="C52" s="112"/>
      <c r="D52" s="112"/>
      <c r="E52" s="112"/>
    </row>
    <row r="53" spans="1:5" x14ac:dyDescent="0.2">
      <c r="A53" s="112"/>
      <c r="B53" s="112"/>
      <c r="C53" s="112"/>
      <c r="D53" s="112"/>
      <c r="E53" s="112"/>
    </row>
    <row r="54" spans="1:5" x14ac:dyDescent="0.2">
      <c r="A54" s="112"/>
      <c r="B54" s="112"/>
      <c r="C54" s="112"/>
      <c r="D54" s="112"/>
      <c r="E54" s="112"/>
    </row>
    <row r="55" spans="1:5" x14ac:dyDescent="0.2">
      <c r="A55" s="112"/>
      <c r="B55" s="112"/>
      <c r="C55" s="112"/>
      <c r="D55" s="112"/>
      <c r="E55" s="112"/>
    </row>
    <row r="56" spans="1:5" x14ac:dyDescent="0.2">
      <c r="A56" s="112"/>
      <c r="B56" s="112"/>
      <c r="C56" s="112"/>
      <c r="D56" s="112"/>
      <c r="E56" s="112"/>
    </row>
    <row r="57" spans="1:5" x14ac:dyDescent="0.2">
      <c r="A57" s="112"/>
      <c r="B57" s="112"/>
      <c r="C57" s="112"/>
      <c r="D57" s="112"/>
      <c r="E57" s="112"/>
    </row>
    <row r="58" spans="1:5" x14ac:dyDescent="0.2">
      <c r="A58" s="112"/>
      <c r="B58" s="112"/>
      <c r="C58" s="112"/>
      <c r="D58" s="112"/>
      <c r="E58" s="112"/>
    </row>
    <row r="59" spans="1:5" x14ac:dyDescent="0.2">
      <c r="A59" s="112"/>
      <c r="B59" s="112"/>
      <c r="C59" s="112"/>
      <c r="D59" s="112"/>
      <c r="E59" s="112"/>
    </row>
    <row r="60" spans="1:5" x14ac:dyDescent="0.2">
      <c r="A60" s="112"/>
      <c r="B60" s="112"/>
      <c r="C60" s="112"/>
      <c r="D60" s="112"/>
      <c r="E60" s="112"/>
    </row>
    <row r="61" spans="1:5" x14ac:dyDescent="0.2">
      <c r="A61" s="112"/>
      <c r="B61" s="112"/>
      <c r="C61" s="112"/>
      <c r="D61" s="112"/>
      <c r="E61" s="112"/>
    </row>
  </sheetData>
  <mergeCells count="4">
    <mergeCell ref="B4:C4"/>
    <mergeCell ref="E4:F4"/>
    <mergeCell ref="B14:C14"/>
    <mergeCell ref="E14:F14"/>
  </mergeCells>
  <pageMargins left="0.75" right="0.75" top="1" bottom="1" header="0.5" footer="0.5"/>
  <pageSetup orientation="portrait" horizontalDpi="4294967292" verticalDpi="4294967292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A1:N139"/>
  <sheetViews>
    <sheetView showGridLines="0" tabSelected="1" zoomScale="120" zoomScaleNormal="120" workbookViewId="0">
      <selection activeCell="C3" sqref="C3:F3"/>
    </sheetView>
  </sheetViews>
  <sheetFormatPr defaultColWidth="8.85546875" defaultRowHeight="12.75" x14ac:dyDescent="0.2"/>
  <cols>
    <col min="1" max="1" width="11.140625" style="3" customWidth="1"/>
    <col min="2" max="2" width="4.42578125" style="3" customWidth="1"/>
    <col min="3" max="3" width="15.28515625" style="3" customWidth="1"/>
    <col min="4" max="4" width="1" style="3" customWidth="1"/>
    <col min="5" max="6" width="15.42578125" style="3" customWidth="1"/>
    <col min="7" max="7" width="1" style="3" customWidth="1"/>
    <col min="8" max="8" width="13" style="3" customWidth="1"/>
    <col min="9" max="9" width="15.42578125" style="3" customWidth="1"/>
    <col min="10" max="16384" width="8.85546875" style="3"/>
  </cols>
  <sheetData>
    <row r="1" spans="1:9" ht="21" customHeight="1" x14ac:dyDescent="0.2">
      <c r="A1" s="204" t="s">
        <v>183</v>
      </c>
      <c r="B1" s="204"/>
      <c r="C1" s="204"/>
      <c r="D1" s="204"/>
      <c r="E1" s="204"/>
      <c r="F1" s="204"/>
      <c r="G1" s="204"/>
      <c r="H1" s="204"/>
      <c r="I1" s="204"/>
    </row>
    <row r="2" spans="1:9" ht="6" customHeight="1" x14ac:dyDescent="0.2">
      <c r="B2" s="8"/>
      <c r="C2" s="8"/>
      <c r="D2" s="8"/>
      <c r="E2" s="8"/>
      <c r="F2" s="8"/>
      <c r="G2" s="8"/>
      <c r="H2" s="8"/>
      <c r="I2" s="8"/>
    </row>
    <row r="3" spans="1:9" ht="27.95" customHeight="1" x14ac:dyDescent="0.2">
      <c r="A3" s="188" t="s">
        <v>2</v>
      </c>
      <c r="B3" s="185"/>
      <c r="C3" s="194"/>
      <c r="D3" s="194"/>
      <c r="E3" s="194"/>
      <c r="F3" s="195"/>
      <c r="G3" s="9"/>
      <c r="H3" s="18" t="s">
        <v>164</v>
      </c>
      <c r="I3" s="51"/>
    </row>
    <row r="4" spans="1:9" ht="6" customHeight="1" x14ac:dyDescent="0.2">
      <c r="A4" s="21"/>
      <c r="B4" s="21"/>
      <c r="C4" s="32"/>
      <c r="D4" s="32"/>
      <c r="E4" s="32"/>
      <c r="F4" s="32"/>
      <c r="G4" s="9"/>
      <c r="H4" s="21"/>
      <c r="I4" s="32"/>
    </row>
    <row r="5" spans="1:9" ht="27.95" customHeight="1" x14ac:dyDescent="0.2">
      <c r="A5" s="188" t="s">
        <v>5</v>
      </c>
      <c r="B5" s="185"/>
      <c r="C5" s="192"/>
      <c r="D5" s="192"/>
      <c r="E5" s="192"/>
      <c r="F5" s="193"/>
      <c r="G5" s="9"/>
      <c r="H5" s="18" t="s">
        <v>312</v>
      </c>
      <c r="I5" s="52"/>
    </row>
    <row r="6" spans="1:9" ht="6" customHeight="1" x14ac:dyDescent="0.2">
      <c r="A6" s="21"/>
      <c r="B6" s="21"/>
      <c r="C6" s="32"/>
      <c r="D6" s="32"/>
      <c r="E6" s="32"/>
      <c r="F6" s="32"/>
      <c r="G6" s="9"/>
      <c r="H6" s="21"/>
      <c r="I6" s="32"/>
    </row>
    <row r="7" spans="1:9" ht="27.95" customHeight="1" x14ac:dyDescent="0.2">
      <c r="A7" s="188" t="s">
        <v>152</v>
      </c>
      <c r="B7" s="185"/>
      <c r="C7" s="192"/>
      <c r="D7" s="192"/>
      <c r="E7" s="192"/>
      <c r="F7" s="193"/>
      <c r="G7" s="9"/>
      <c r="H7" s="18" t="s">
        <v>33</v>
      </c>
      <c r="I7" s="52"/>
    </row>
    <row r="8" spans="1:9" ht="6" customHeight="1" x14ac:dyDescent="0.2">
      <c r="A8" s="21"/>
      <c r="B8" s="21"/>
      <c r="C8" s="32"/>
      <c r="D8" s="32"/>
      <c r="E8" s="32"/>
      <c r="F8" s="32"/>
      <c r="G8" s="9"/>
      <c r="H8" s="21"/>
      <c r="I8" s="32"/>
    </row>
    <row r="9" spans="1:9" ht="27.95" customHeight="1" x14ac:dyDescent="0.2">
      <c r="A9" s="188" t="s">
        <v>107</v>
      </c>
      <c r="B9" s="185"/>
      <c r="C9" s="192"/>
      <c r="D9" s="192"/>
      <c r="E9" s="192"/>
      <c r="F9" s="193"/>
      <c r="G9" s="9"/>
      <c r="H9" s="18" t="s">
        <v>72</v>
      </c>
      <c r="I9" s="51"/>
    </row>
    <row r="10" spans="1:9" ht="6" customHeight="1" x14ac:dyDescent="0.2">
      <c r="B10" s="21"/>
      <c r="C10" s="32"/>
      <c r="D10" s="32"/>
      <c r="E10" s="32"/>
      <c r="F10" s="32"/>
      <c r="G10" s="9"/>
      <c r="H10" s="21"/>
      <c r="I10" s="32"/>
    </row>
    <row r="11" spans="1:9" ht="27.95" customHeight="1" x14ac:dyDescent="0.2">
      <c r="A11" s="17" t="s">
        <v>180</v>
      </c>
      <c r="B11" s="119">
        <f>ICM!G11</f>
        <v>0</v>
      </c>
      <c r="C11" s="192"/>
      <c r="D11" s="192"/>
      <c r="E11" s="192"/>
      <c r="F11" s="193"/>
      <c r="G11" s="9"/>
      <c r="H11" s="18" t="s">
        <v>202</v>
      </c>
      <c r="I11" s="180"/>
    </row>
    <row r="12" spans="1:9" ht="6.95" customHeight="1" x14ac:dyDescent="0.2">
      <c r="B12" s="20"/>
      <c r="C12" s="40"/>
      <c r="D12" s="40"/>
      <c r="E12" s="40"/>
      <c r="F12" s="40"/>
      <c r="G12" s="12"/>
      <c r="H12" s="20"/>
      <c r="I12" s="41"/>
    </row>
    <row r="13" spans="1:9" ht="27.95" customHeight="1" x14ac:dyDescent="0.2">
      <c r="A13" s="188" t="s">
        <v>48</v>
      </c>
      <c r="B13" s="185"/>
      <c r="C13" s="192" t="s">
        <v>138</v>
      </c>
      <c r="D13" s="192"/>
      <c r="E13" s="192"/>
      <c r="F13" s="193"/>
      <c r="G13" s="12"/>
      <c r="H13" s="30" t="s">
        <v>192</v>
      </c>
      <c r="I13" s="52"/>
    </row>
    <row r="14" spans="1:9" ht="6" customHeight="1" x14ac:dyDescent="0.2">
      <c r="B14" s="21"/>
      <c r="C14" s="9"/>
      <c r="D14" s="9"/>
      <c r="E14" s="9"/>
      <c r="F14" s="9"/>
      <c r="G14" s="9"/>
      <c r="H14" s="21"/>
      <c r="I14" s="32"/>
    </row>
    <row r="15" spans="1:9" ht="18" customHeight="1" x14ac:dyDescent="0.2">
      <c r="A15" s="204" t="s">
        <v>51</v>
      </c>
      <c r="B15" s="204"/>
      <c r="C15" s="204"/>
      <c r="D15" s="5"/>
      <c r="E15" s="5"/>
      <c r="F15" s="5"/>
      <c r="G15" s="5"/>
      <c r="H15" s="5"/>
      <c r="I15" s="113"/>
    </row>
    <row r="16" spans="1:9" ht="5.0999999999999996" customHeight="1" x14ac:dyDescent="0.2">
      <c r="B16" s="21"/>
      <c r="C16" s="9"/>
      <c r="D16" s="9"/>
      <c r="E16" s="9"/>
      <c r="F16" s="9"/>
      <c r="G16" s="9"/>
      <c r="H16" s="9"/>
      <c r="I16" s="9"/>
    </row>
    <row r="17" spans="1:9" ht="32.1" customHeight="1" x14ac:dyDescent="0.2">
      <c r="A17" s="190" t="s">
        <v>306</v>
      </c>
      <c r="B17" s="191"/>
      <c r="C17" s="145"/>
      <c r="D17" s="145"/>
      <c r="E17" s="145"/>
      <c r="F17" s="145"/>
      <c r="G17" s="145"/>
      <c r="H17" s="145"/>
      <c r="I17" s="146"/>
    </row>
    <row r="18" spans="1:9" ht="5.0999999999999996" customHeight="1" x14ac:dyDescent="0.2">
      <c r="B18" s="49"/>
      <c r="C18" s="49"/>
      <c r="D18" s="49"/>
      <c r="E18" s="49"/>
      <c r="F18" s="49"/>
      <c r="G18" s="42"/>
      <c r="H18" s="42"/>
      <c r="I18" s="42"/>
    </row>
    <row r="19" spans="1:9" ht="27.95" customHeight="1" x14ac:dyDescent="0.2">
      <c r="A19" s="189" t="s">
        <v>222</v>
      </c>
      <c r="B19" s="187"/>
      <c r="C19" s="115"/>
      <c r="D19" s="49"/>
      <c r="E19" s="35" t="s">
        <v>144</v>
      </c>
      <c r="F19" s="115"/>
      <c r="G19" s="42"/>
      <c r="H19" s="18" t="s">
        <v>16</v>
      </c>
      <c r="I19" s="116"/>
    </row>
    <row r="20" spans="1:9" ht="5.0999999999999996" customHeight="1" x14ac:dyDescent="0.2">
      <c r="A20" s="49"/>
      <c r="B20" s="49"/>
      <c r="C20" s="49"/>
      <c r="D20" s="49"/>
      <c r="E20" s="49"/>
      <c r="F20" s="49"/>
      <c r="G20" s="42"/>
      <c r="H20" s="42"/>
      <c r="I20" s="42"/>
    </row>
    <row r="21" spans="1:9" ht="26.1" customHeight="1" x14ac:dyDescent="0.2">
      <c r="A21" s="186" t="s">
        <v>133</v>
      </c>
      <c r="B21" s="187"/>
      <c r="C21" s="103"/>
      <c r="D21" s="42"/>
      <c r="E21" s="18" t="s">
        <v>108</v>
      </c>
      <c r="F21" s="116"/>
      <c r="H21" s="46" t="s">
        <v>166</v>
      </c>
      <c r="I21" s="103"/>
    </row>
    <row r="22" spans="1:9" ht="5.0999999999999996" customHeight="1" x14ac:dyDescent="0.2">
      <c r="A22" s="21"/>
      <c r="B22" s="21"/>
      <c r="C22" s="32"/>
      <c r="D22" s="9"/>
      <c r="E22" s="45"/>
      <c r="F22" s="45"/>
      <c r="G22" s="45"/>
      <c r="H22" s="45"/>
      <c r="I22" s="45"/>
    </row>
    <row r="23" spans="1:9" ht="27" customHeight="1" x14ac:dyDescent="0.2">
      <c r="A23" s="189" t="s">
        <v>271</v>
      </c>
      <c r="B23" s="187"/>
      <c r="C23" s="103" t="b">
        <f>IF(F21="Top Fill","N/A")</f>
        <v>0</v>
      </c>
      <c r="D23" s="47"/>
      <c r="E23" s="16" t="s">
        <v>273</v>
      </c>
      <c r="F23" s="103" t="b">
        <f>IF(F21="Bottom Fill","N/A")</f>
        <v>0</v>
      </c>
      <c r="H23" s="26" t="s">
        <v>110</v>
      </c>
      <c r="I23" s="103"/>
    </row>
    <row r="24" spans="1:9" ht="5.0999999999999996" customHeight="1" x14ac:dyDescent="0.2">
      <c r="A24" s="21"/>
      <c r="B24" s="21"/>
      <c r="C24" s="9"/>
      <c r="D24" s="42"/>
      <c r="E24" s="42"/>
      <c r="F24" s="42"/>
      <c r="G24" s="42"/>
      <c r="H24" s="42"/>
      <c r="I24" s="42"/>
    </row>
    <row r="25" spans="1:9" ht="27" customHeight="1" x14ac:dyDescent="0.2">
      <c r="A25" s="186" t="s">
        <v>64</v>
      </c>
      <c r="B25" s="187"/>
      <c r="C25" s="205"/>
      <c r="D25" s="206"/>
      <c r="E25" s="206"/>
      <c r="F25" s="207"/>
      <c r="G25" s="47"/>
      <c r="H25" s="16" t="s">
        <v>272</v>
      </c>
      <c r="I25" s="103" t="b">
        <f>IF(C25="N/A","N/A")</f>
        <v>0</v>
      </c>
    </row>
    <row r="26" spans="1:9" ht="5.0999999999999996" customHeight="1" x14ac:dyDescent="0.2">
      <c r="A26" s="21"/>
      <c r="B26" s="21"/>
      <c r="C26" s="9"/>
      <c r="D26" s="9"/>
      <c r="E26" s="9"/>
      <c r="F26" s="9"/>
      <c r="G26" s="9"/>
      <c r="H26" s="9"/>
      <c r="I26" s="9"/>
    </row>
    <row r="27" spans="1:9" ht="27" customHeight="1" x14ac:dyDescent="0.2">
      <c r="A27" s="209" t="s">
        <v>266</v>
      </c>
      <c r="B27" s="187"/>
      <c r="C27" s="103"/>
      <c r="D27" s="9"/>
      <c r="E27" s="26" t="s">
        <v>274</v>
      </c>
      <c r="F27" s="205" t="b">
        <f>IF(C27="N/A","N/A")</f>
        <v>0</v>
      </c>
      <c r="G27" s="208"/>
      <c r="H27" s="208"/>
      <c r="I27" s="117" t="b">
        <f>IF(F27="mm from outside seal","Enter distance", IF(F27="mm from top of hole punch to open end of pouch","Enter distance", IF(F27="N/A"," ",IF(F27="Centered in seal (top to bottom)"," "))))</f>
        <v>0</v>
      </c>
    </row>
    <row r="28" spans="1:9" ht="5.0999999999999996" customHeight="1" x14ac:dyDescent="0.2">
      <c r="A28" s="21"/>
      <c r="B28" s="21"/>
      <c r="C28" s="32"/>
      <c r="D28" s="9"/>
      <c r="E28" s="9"/>
      <c r="F28" s="9"/>
      <c r="G28" s="9"/>
      <c r="H28" s="9"/>
      <c r="I28" s="9"/>
    </row>
    <row r="29" spans="1:9" ht="27" customHeight="1" x14ac:dyDescent="0.2">
      <c r="A29" s="184" t="s">
        <v>44</v>
      </c>
      <c r="B29" s="185"/>
      <c r="C29" s="116"/>
      <c r="D29" s="9"/>
      <c r="E29" s="26" t="s">
        <v>274</v>
      </c>
      <c r="F29" s="198" t="b">
        <f>IF(C29="N/A","N/A")</f>
        <v>0</v>
      </c>
      <c r="G29" s="199"/>
      <c r="H29" s="200"/>
      <c r="I29" s="117" t="b">
        <f>IF(F29="mm from open end of pouch","Enter distance",IF(F29="Midway between top of zipper crush and bottom of header seal"," ",IF(F29="N/A"," ")))</f>
        <v>0</v>
      </c>
    </row>
    <row r="30" spans="1:9" ht="5.0999999999999996" customHeight="1" x14ac:dyDescent="0.2">
      <c r="A30" s="21"/>
      <c r="B30" s="21"/>
      <c r="C30" s="36"/>
      <c r="D30" s="9"/>
      <c r="E30" s="27"/>
      <c r="F30" s="9"/>
      <c r="G30" s="9"/>
      <c r="H30" s="9"/>
      <c r="I30" s="9"/>
    </row>
    <row r="31" spans="1:9" ht="27" customHeight="1" x14ac:dyDescent="0.2">
      <c r="A31" s="209" t="s">
        <v>310</v>
      </c>
      <c r="B31" s="187"/>
      <c r="C31" s="149"/>
      <c r="D31" s="9"/>
      <c r="E31" s="26" t="s">
        <v>274</v>
      </c>
      <c r="F31" s="210" t="b">
        <f>IF(C31="N/A", "N/A", IF(C31="Perf Line","Enter position and distance", IF(C31="Laser Score","Enter position and distance")))</f>
        <v>0</v>
      </c>
      <c r="G31" s="210"/>
      <c r="H31" s="210"/>
      <c r="I31" s="211"/>
    </row>
    <row r="32" spans="1:9" ht="5.0999999999999996" customHeight="1" x14ac:dyDescent="0.2">
      <c r="A32" s="21"/>
      <c r="B32" s="21"/>
      <c r="C32" s="36"/>
      <c r="D32" s="9"/>
      <c r="E32" s="27"/>
      <c r="F32" s="31"/>
      <c r="G32" s="31"/>
      <c r="H32" s="31"/>
      <c r="I32" s="31"/>
    </row>
    <row r="33" spans="1:14" ht="27" customHeight="1" x14ac:dyDescent="0.2">
      <c r="A33" s="184" t="s">
        <v>136</v>
      </c>
      <c r="B33" s="185"/>
      <c r="C33" s="115"/>
      <c r="D33" s="9"/>
      <c r="E33" s="18" t="s">
        <v>275</v>
      </c>
      <c r="F33" s="144" t="b">
        <f>IF(C33="No","N/A")</f>
        <v>0</v>
      </c>
      <c r="G33"/>
      <c r="H33" s="114" t="s">
        <v>305</v>
      </c>
      <c r="I33" s="139" t="b">
        <f>IF(C33="No","N/A")</f>
        <v>0</v>
      </c>
    </row>
    <row r="34" spans="1:14" ht="5.0999999999999996" customHeight="1" x14ac:dyDescent="0.2">
      <c r="A34" s="21"/>
      <c r="B34" s="21"/>
      <c r="C34" s="36"/>
      <c r="D34" s="9"/>
      <c r="E34" s="21"/>
      <c r="F34" s="36"/>
      <c r="G34" s="36"/>
      <c r="H34" s="36"/>
      <c r="I34" s="36"/>
    </row>
    <row r="35" spans="1:14" ht="27" customHeight="1" x14ac:dyDescent="0.2">
      <c r="A35" s="184" t="s">
        <v>276</v>
      </c>
      <c r="B35" s="185"/>
      <c r="C35" s="116" t="b">
        <f>IF(C33="No","N/A")</f>
        <v>0</v>
      </c>
      <c r="D35" s="9"/>
      <c r="E35" s="114" t="s">
        <v>277</v>
      </c>
      <c r="F35" s="116" t="b">
        <f>IF(C33="No","N/A")</f>
        <v>0</v>
      </c>
      <c r="G35"/>
      <c r="H35" s="114" t="s">
        <v>278</v>
      </c>
      <c r="I35" s="118" t="b">
        <f>IF(C33="No","N/A")</f>
        <v>0</v>
      </c>
    </row>
    <row r="36" spans="1:14" ht="5.0999999999999996" customHeight="1" x14ac:dyDescent="0.2">
      <c r="A36" s="22"/>
      <c r="B36" s="22"/>
      <c r="C36" s="14"/>
      <c r="D36" s="9"/>
      <c r="E36" s="21"/>
      <c r="F36" s="36"/>
      <c r="G36" s="36"/>
      <c r="H36" s="36"/>
      <c r="I36" s="36"/>
    </row>
    <row r="37" spans="1:14" ht="27" customHeight="1" x14ac:dyDescent="0.2">
      <c r="A37" s="184" t="s">
        <v>92</v>
      </c>
      <c r="B37" s="185"/>
      <c r="C37" s="103"/>
      <c r="E37"/>
      <c r="F37"/>
      <c r="G37" s="9"/>
      <c r="H37"/>
      <c r="I37"/>
    </row>
    <row r="38" spans="1:14" ht="5.0999999999999996" customHeight="1" x14ac:dyDescent="0.2">
      <c r="A38" s="22"/>
      <c r="B38" s="122"/>
      <c r="C38" s="33"/>
      <c r="D38" s="13"/>
      <c r="E38" s="28"/>
      <c r="F38" s="123"/>
      <c r="G38" s="12"/>
      <c r="H38" s="28"/>
      <c r="I38" s="123"/>
    </row>
    <row r="39" spans="1:14" ht="27" customHeight="1" x14ac:dyDescent="0.2">
      <c r="A39" s="189" t="s">
        <v>151</v>
      </c>
      <c r="B39" s="214"/>
      <c r="C39" s="103"/>
      <c r="E39" s="26" t="s">
        <v>274</v>
      </c>
      <c r="F39" s="210" t="b">
        <f>IF(C39="None", "N/A", IF(C39=1,"Enter position and distance", IF(C39=2,"Enter position and distance", IF(C39=3,"Enter position and distance", IF(C39=4,"Enter position and distance", IF(C39=5,"Enter position and distance"))))))</f>
        <v>0</v>
      </c>
      <c r="G39" s="210"/>
      <c r="H39" s="210"/>
      <c r="I39" s="211"/>
    </row>
    <row r="40" spans="1:14" ht="5.0999999999999996" customHeight="1" x14ac:dyDescent="0.2">
      <c r="A40" s="22"/>
      <c r="B40" s="122"/>
      <c r="C40" s="33"/>
      <c r="D40" s="13"/>
      <c r="E40" s="28"/>
      <c r="F40" s="123"/>
      <c r="G40" s="12"/>
      <c r="H40" s="28"/>
      <c r="I40" s="123"/>
    </row>
    <row r="41" spans="1:14" ht="27" customHeight="1" x14ac:dyDescent="0.2">
      <c r="A41" s="189" t="s">
        <v>148</v>
      </c>
      <c r="B41" s="214"/>
      <c r="C41" s="103"/>
      <c r="E41" s="26" t="s">
        <v>274</v>
      </c>
      <c r="F41" s="210" t="b">
        <f>IF(C41="No", "N/A", IF(C41="Yes","Enter position and distance"))</f>
        <v>0</v>
      </c>
      <c r="G41" s="210"/>
      <c r="H41" s="210"/>
      <c r="I41" s="211"/>
    </row>
    <row r="42" spans="1:14" ht="5.0999999999999996" customHeight="1" x14ac:dyDescent="0.2">
      <c r="A42" s="201"/>
      <c r="B42" s="201"/>
      <c r="C42" s="201"/>
      <c r="D42" s="201"/>
      <c r="E42" s="201"/>
      <c r="F42" s="201"/>
      <c r="G42" s="201"/>
      <c r="H42" s="201"/>
      <c r="I42" s="201"/>
      <c r="M42"/>
      <c r="N42"/>
    </row>
    <row r="43" spans="1:14" ht="21" customHeight="1" x14ac:dyDescent="0.2">
      <c r="A43" s="204" t="s">
        <v>80</v>
      </c>
      <c r="B43" s="204"/>
      <c r="C43" s="204"/>
      <c r="D43" s="204"/>
      <c r="E43" s="204"/>
      <c r="F43" s="5"/>
      <c r="G43" s="5"/>
      <c r="H43" s="5"/>
      <c r="I43" s="5"/>
      <c r="N43" s="13"/>
    </row>
    <row r="44" spans="1:14" ht="6.95" customHeight="1" x14ac:dyDescent="0.2"/>
    <row r="45" spans="1:14" ht="26.1" customHeight="1" x14ac:dyDescent="0.2">
      <c r="A45" s="228"/>
      <c r="B45" s="229"/>
      <c r="C45" s="230"/>
      <c r="E45" s="16" t="s">
        <v>269</v>
      </c>
      <c r="F45" s="212"/>
      <c r="G45" s="212"/>
      <c r="H45" s="212"/>
      <c r="I45" s="213"/>
    </row>
    <row r="46" spans="1:14" ht="6.95" customHeight="1" x14ac:dyDescent="0.2">
      <c r="A46" s="133"/>
      <c r="B46" s="134"/>
      <c r="C46" s="135"/>
      <c r="E46" s="19"/>
      <c r="F46" s="48"/>
      <c r="G46" s="48"/>
      <c r="H46" s="48"/>
      <c r="I46" s="48"/>
    </row>
    <row r="47" spans="1:14" ht="26.1" customHeight="1" x14ac:dyDescent="0.2">
      <c r="A47" s="136"/>
      <c r="B47" s="137"/>
      <c r="C47" s="138"/>
      <c r="D47" s="4"/>
      <c r="E47" s="17" t="s">
        <v>199</v>
      </c>
      <c r="F47" s="192"/>
      <c r="G47" s="192"/>
      <c r="H47" s="192"/>
      <c r="I47" s="193"/>
      <c r="K47"/>
      <c r="L47"/>
      <c r="M47"/>
      <c r="N47"/>
    </row>
    <row r="48" spans="1:14" ht="6.95" customHeight="1" x14ac:dyDescent="0.2">
      <c r="F48" s="48"/>
      <c r="G48" s="48"/>
      <c r="H48" s="48"/>
      <c r="I48" s="48"/>
    </row>
    <row r="49" spans="1:9" ht="26.1" customHeight="1" x14ac:dyDescent="0.2">
      <c r="A49" s="189" t="s">
        <v>304</v>
      </c>
      <c r="B49" s="214"/>
      <c r="C49" s="147"/>
      <c r="E49" s="17" t="s">
        <v>270</v>
      </c>
      <c r="F49" s="225"/>
      <c r="G49" s="225"/>
      <c r="H49" s="225"/>
      <c r="I49" s="226"/>
    </row>
    <row r="50" spans="1:9" ht="15" customHeight="1" x14ac:dyDescent="0.2">
      <c r="A50" s="227" t="b">
        <f>IF(F45="N/A","NOTE: Winpak Graphics requires an existing printed sample if item is NEW to Winpak")</f>
        <v>0</v>
      </c>
      <c r="B50" s="227"/>
      <c r="C50" s="227"/>
      <c r="D50" s="227"/>
      <c r="E50" s="227"/>
      <c r="F50" s="227"/>
      <c r="G50" s="227"/>
      <c r="H50" s="227"/>
      <c r="I50" s="227"/>
    </row>
    <row r="51" spans="1:9" ht="21" customHeight="1" x14ac:dyDescent="0.2">
      <c r="A51" s="204" t="s">
        <v>24</v>
      </c>
      <c r="B51" s="204"/>
      <c r="C51" s="204"/>
      <c r="D51" s="204"/>
      <c r="E51" s="204"/>
      <c r="F51" s="5"/>
      <c r="G51" s="5"/>
      <c r="H51" s="5"/>
      <c r="I51" s="5"/>
    </row>
    <row r="52" spans="1:9" ht="6.95" customHeight="1" x14ac:dyDescent="0.2"/>
    <row r="53" spans="1:9" ht="26.1" customHeight="1" x14ac:dyDescent="0.2">
      <c r="A53" s="223" t="s">
        <v>159</v>
      </c>
      <c r="B53" s="224"/>
      <c r="C53" s="54"/>
      <c r="E53" s="231"/>
      <c r="F53" s="232"/>
      <c r="G53" s="232"/>
      <c r="H53" s="232"/>
      <c r="I53" s="233"/>
    </row>
    <row r="54" spans="1:9" ht="6.95" customHeight="1" x14ac:dyDescent="0.2">
      <c r="B54" s="20"/>
      <c r="C54" s="14"/>
      <c r="D54" s="13"/>
      <c r="E54" s="20"/>
      <c r="F54" s="34"/>
      <c r="G54" s="13"/>
      <c r="H54" s="15"/>
      <c r="I54" s="33"/>
    </row>
    <row r="55" spans="1:9" ht="26.1" customHeight="1" x14ac:dyDescent="0.2">
      <c r="A55" s="223" t="s">
        <v>37</v>
      </c>
      <c r="B55" s="224"/>
      <c r="C55" s="53"/>
      <c r="E55" s="30" t="s">
        <v>95</v>
      </c>
      <c r="F55" s="51"/>
      <c r="G55" s="13"/>
      <c r="H55" s="15"/>
      <c r="I55" s="33"/>
    </row>
    <row r="56" spans="1:9" ht="15" customHeight="1" x14ac:dyDescent="0.2">
      <c r="B56" s="19"/>
      <c r="C56" s="24"/>
      <c r="D56" s="11"/>
      <c r="E56" s="19"/>
      <c r="F56" s="11"/>
      <c r="G56" s="11"/>
      <c r="H56" s="11"/>
      <c r="I56" s="11"/>
    </row>
    <row r="57" spans="1:9" ht="21" customHeight="1" x14ac:dyDescent="0.2">
      <c r="A57" s="66" t="s">
        <v>184</v>
      </c>
      <c r="B57" s="66"/>
      <c r="C57" s="202"/>
      <c r="D57" s="203"/>
      <c r="E57" s="203"/>
      <c r="F57" s="203"/>
      <c r="G57" s="66"/>
      <c r="H57" s="66"/>
      <c r="I57" s="66"/>
    </row>
    <row r="58" spans="1:9" ht="6.95" customHeight="1" x14ac:dyDescent="0.2">
      <c r="B58" s="19"/>
      <c r="C58" s="24"/>
      <c r="D58" s="11"/>
      <c r="E58" s="20"/>
      <c r="F58" s="10"/>
      <c r="G58" s="10"/>
      <c r="H58" s="10"/>
      <c r="I58" s="10"/>
    </row>
    <row r="59" spans="1:9" ht="26.1" customHeight="1" x14ac:dyDescent="0.2">
      <c r="A59" s="221"/>
      <c r="B59" s="222"/>
      <c r="C59" s="196"/>
      <c r="D59" s="197"/>
      <c r="E59" s="154"/>
      <c r="F59" s="154"/>
      <c r="G59" s="196"/>
      <c r="H59" s="197"/>
      <c r="I59" s="153"/>
    </row>
    <row r="60" spans="1:9" ht="6" customHeight="1" x14ac:dyDescent="0.2">
      <c r="B60" s="63"/>
      <c r="C60" s="43"/>
      <c r="D60" s="43"/>
      <c r="E60" s="44"/>
      <c r="F60" s="44"/>
      <c r="G60" s="43"/>
      <c r="H60" s="43"/>
      <c r="I60" s="10"/>
    </row>
    <row r="61" spans="1:9" ht="26.1" customHeight="1" x14ac:dyDescent="0.2">
      <c r="A61" s="221"/>
      <c r="B61" s="222"/>
      <c r="C61" s="196"/>
      <c r="D61" s="197"/>
      <c r="E61" s="154"/>
      <c r="F61" s="154"/>
      <c r="G61" s="196"/>
      <c r="H61" s="197"/>
      <c r="I61" s="153"/>
    </row>
    <row r="62" spans="1:9" ht="6.95" customHeight="1" x14ac:dyDescent="0.2">
      <c r="B62" s="19"/>
      <c r="C62" s="24"/>
      <c r="D62" s="11"/>
      <c r="E62" s="19"/>
      <c r="F62" s="11"/>
      <c r="G62" s="11"/>
      <c r="H62" s="11"/>
      <c r="I62" s="11"/>
    </row>
    <row r="63" spans="1:9" ht="27" customHeight="1" x14ac:dyDescent="0.2">
      <c r="A63" s="219" t="s">
        <v>263</v>
      </c>
      <c r="B63" s="220"/>
      <c r="C63" s="53"/>
      <c r="D63" s="11"/>
      <c r="E63" s="38"/>
      <c r="F63" s="55" t="s">
        <v>106</v>
      </c>
      <c r="G63" s="25"/>
      <c r="I63" s="33"/>
    </row>
    <row r="64" spans="1:9" ht="6.95" customHeight="1" x14ac:dyDescent="0.2">
      <c r="A64" s="29"/>
      <c r="B64" s="29"/>
      <c r="C64" s="37"/>
      <c r="D64" s="11"/>
      <c r="E64" s="29"/>
      <c r="F64" s="11"/>
      <c r="G64" s="11"/>
      <c r="H64" s="11"/>
      <c r="I64" s="11"/>
    </row>
    <row r="65" spans="1:11" ht="26.1" customHeight="1" x14ac:dyDescent="0.2">
      <c r="A65" s="219" t="s">
        <v>167</v>
      </c>
      <c r="B65" s="220"/>
      <c r="C65" s="51"/>
      <c r="D65" s="12"/>
      <c r="E65" s="16" t="s">
        <v>279</v>
      </c>
      <c r="F65" s="51" t="b">
        <f>IF(C65="Yes","N/A", IF(C65="N/A","N/A", IF(C65="Random","N/A")))</f>
        <v>0</v>
      </c>
      <c r="G65" s="215" t="b">
        <f>IF(C65="No","mm from outside right hand seal")</f>
        <v>0</v>
      </c>
      <c r="H65" s="215"/>
      <c r="I65" s="216"/>
    </row>
    <row r="66" spans="1:11" ht="6.95" customHeight="1" x14ac:dyDescent="0.2">
      <c r="A66" s="28"/>
      <c r="B66" s="28"/>
      <c r="C66" s="34"/>
      <c r="D66" s="12"/>
      <c r="E66" s="28"/>
      <c r="F66" s="33"/>
      <c r="G66" s="33"/>
      <c r="H66" s="33"/>
      <c r="I66" s="33"/>
    </row>
    <row r="67" spans="1:11" ht="26.1" customHeight="1" x14ac:dyDescent="0.2">
      <c r="A67" s="219" t="s">
        <v>170</v>
      </c>
      <c r="B67" s="220"/>
      <c r="C67" s="51"/>
      <c r="D67" s="12"/>
      <c r="E67" s="16" t="s">
        <v>280</v>
      </c>
      <c r="F67" s="65" t="b">
        <f>IF(C67="Yes","N/A", IF(C67="N/A","N/A",IF(C67="Random","See comments")))</f>
        <v>0</v>
      </c>
      <c r="G67" s="215" t="b">
        <f>IF(C67="No","mm to outside seal")</f>
        <v>0</v>
      </c>
      <c r="H67" s="215"/>
      <c r="I67" s="216"/>
    </row>
    <row r="68" spans="1:11" ht="15" customHeight="1" x14ac:dyDescent="0.2">
      <c r="B68" s="6"/>
      <c r="C68" s="6"/>
    </row>
    <row r="69" spans="1:11" ht="21" customHeight="1" x14ac:dyDescent="0.2">
      <c r="A69" s="204" t="s">
        <v>83</v>
      </c>
      <c r="B69" s="204"/>
      <c r="C69" s="217"/>
      <c r="D69" s="217"/>
      <c r="E69" s="217"/>
      <c r="F69" s="217"/>
      <c r="G69" s="64"/>
      <c r="H69" s="64"/>
      <c r="I69" s="64"/>
    </row>
    <row r="70" spans="1:11" ht="6.95" customHeight="1" x14ac:dyDescent="0.2"/>
    <row r="71" spans="1:11" ht="17.100000000000001" customHeight="1" x14ac:dyDescent="0.2">
      <c r="A71" s="218"/>
      <c r="B71" s="218"/>
      <c r="C71" s="218"/>
      <c r="D71" s="218"/>
      <c r="E71" s="218"/>
      <c r="F71" s="218"/>
      <c r="G71" s="218"/>
      <c r="H71" s="218"/>
      <c r="I71" s="218"/>
    </row>
    <row r="72" spans="1:11" ht="6.95" customHeight="1" x14ac:dyDescent="0.2">
      <c r="K72" s="19"/>
    </row>
    <row r="73" spans="1:11" ht="26.1" customHeight="1" x14ac:dyDescent="0.2">
      <c r="A73" s="221"/>
      <c r="B73" s="222"/>
      <c r="C73" s="221"/>
      <c r="D73" s="222"/>
      <c r="E73" s="154"/>
      <c r="F73" s="154"/>
      <c r="G73" s="221"/>
      <c r="H73" s="222"/>
      <c r="I73" s="153"/>
    </row>
    <row r="74" spans="1:11" ht="6.95" customHeight="1" x14ac:dyDescent="0.2">
      <c r="B74" s="63"/>
      <c r="C74" s="43"/>
      <c r="D74" s="43"/>
      <c r="E74" s="44"/>
      <c r="F74" s="44"/>
      <c r="G74" s="43"/>
      <c r="H74" s="43"/>
      <c r="I74" s="10"/>
    </row>
    <row r="75" spans="1:11" ht="26.1" customHeight="1" x14ac:dyDescent="0.2">
      <c r="A75" s="221"/>
      <c r="B75" s="222"/>
      <c r="C75" s="221"/>
      <c r="D75" s="222"/>
      <c r="E75" s="154"/>
      <c r="F75" s="154"/>
      <c r="G75" s="221"/>
      <c r="H75" s="222"/>
      <c r="I75" s="153"/>
    </row>
    <row r="76" spans="1:11" ht="6.95" customHeight="1" x14ac:dyDescent="0.2">
      <c r="B76" s="19"/>
      <c r="C76" s="24"/>
      <c r="D76" s="11"/>
      <c r="E76" s="19"/>
      <c r="F76" s="11"/>
      <c r="G76" s="11"/>
      <c r="H76" s="11"/>
      <c r="I76" s="11"/>
    </row>
    <row r="77" spans="1:11" ht="26.1" customHeight="1" x14ac:dyDescent="0.2">
      <c r="A77" s="219" t="s">
        <v>223</v>
      </c>
      <c r="B77" s="220"/>
      <c r="C77" s="53"/>
      <c r="D77" s="11"/>
      <c r="E77" s="39"/>
      <c r="F77" s="55" t="s">
        <v>106</v>
      </c>
      <c r="G77" s="25"/>
      <c r="I77" s="33"/>
    </row>
    <row r="78" spans="1:11" ht="6.95" customHeight="1" x14ac:dyDescent="0.2">
      <c r="A78" s="29"/>
      <c r="B78" s="29"/>
      <c r="C78" s="37"/>
      <c r="D78" s="11"/>
      <c r="E78" s="29"/>
      <c r="F78" s="11"/>
      <c r="G78" s="11"/>
      <c r="H78" s="11"/>
      <c r="I78" s="11"/>
    </row>
    <row r="79" spans="1:11" ht="26.1" customHeight="1" x14ac:dyDescent="0.2">
      <c r="A79" s="219" t="s">
        <v>167</v>
      </c>
      <c r="B79" s="220"/>
      <c r="C79" s="51"/>
      <c r="D79" s="12"/>
      <c r="E79" s="16" t="s">
        <v>279</v>
      </c>
      <c r="F79" s="51" t="b">
        <f>IF(C79="Yes","N/A", IF(C79="N/A","N/A",IF(C79="Random","N/A")))</f>
        <v>0</v>
      </c>
      <c r="G79" s="215" t="b">
        <f>IF(C79="No","mm from outside right hand seal")</f>
        <v>0</v>
      </c>
      <c r="H79" s="215"/>
      <c r="I79" s="216"/>
    </row>
    <row r="80" spans="1:11" ht="6.95" customHeight="1" x14ac:dyDescent="0.2">
      <c r="A80" s="28"/>
      <c r="B80" s="28"/>
      <c r="C80" s="34"/>
      <c r="D80" s="12"/>
      <c r="E80" s="28"/>
      <c r="F80" s="33"/>
      <c r="G80" s="33"/>
      <c r="H80" s="33"/>
      <c r="I80" s="33"/>
    </row>
    <row r="81" spans="1:9" ht="26.1" customHeight="1" x14ac:dyDescent="0.2">
      <c r="A81" s="219" t="s">
        <v>170</v>
      </c>
      <c r="B81" s="220"/>
      <c r="C81" s="51"/>
      <c r="D81" s="12"/>
      <c r="E81" s="16" t="s">
        <v>280</v>
      </c>
      <c r="F81" s="65" t="b">
        <f>IF(C81="Yes","N/A", IF(C81="N/A","N/A",IF(C81="Random","See comments")))</f>
        <v>0</v>
      </c>
      <c r="G81" s="215" t="b">
        <f>IF(C81="No","mm to outside seal")</f>
        <v>0</v>
      </c>
      <c r="H81" s="215"/>
      <c r="I81" s="216"/>
    </row>
    <row r="82" spans="1:9" ht="6" customHeight="1" x14ac:dyDescent="0.2">
      <c r="B82" s="23"/>
      <c r="C82" s="33"/>
      <c r="D82" s="34"/>
      <c r="E82" s="34"/>
      <c r="F82" s="34"/>
      <c r="G82" s="34"/>
      <c r="H82" s="15"/>
      <c r="I82" s="15"/>
    </row>
    <row r="83" spans="1:9" ht="21" customHeight="1" x14ac:dyDescent="0.2">
      <c r="A83" s="204" t="s">
        <v>87</v>
      </c>
      <c r="B83" s="204"/>
      <c r="C83" s="204"/>
      <c r="D83" s="204"/>
      <c r="E83" s="204"/>
      <c r="F83" s="204"/>
      <c r="G83" s="204"/>
      <c r="H83" s="204"/>
      <c r="I83" s="5"/>
    </row>
    <row r="84" spans="1:9" ht="6.95" customHeight="1" x14ac:dyDescent="0.2"/>
    <row r="85" spans="1:9" x14ac:dyDescent="0.2">
      <c r="A85" s="160"/>
      <c r="B85" s="160"/>
      <c r="C85" s="160"/>
      <c r="D85" s="160"/>
      <c r="E85" s="160"/>
      <c r="F85" s="160"/>
      <c r="G85" s="160"/>
      <c r="H85" s="160"/>
      <c r="I85" s="160"/>
    </row>
    <row r="86" spans="1:9" x14ac:dyDescent="0.2">
      <c r="A86" s="160"/>
      <c r="B86" s="160"/>
      <c r="C86" s="160"/>
      <c r="D86" s="160"/>
      <c r="E86" s="160"/>
      <c r="F86" s="160"/>
      <c r="G86" s="160"/>
      <c r="H86" s="160"/>
      <c r="I86" s="160"/>
    </row>
    <row r="87" spans="1:9" x14ac:dyDescent="0.2">
      <c r="A87" s="160"/>
      <c r="B87" s="160"/>
      <c r="C87" s="160"/>
      <c r="D87" s="160"/>
      <c r="E87" s="160"/>
      <c r="F87" s="160"/>
      <c r="G87" s="160"/>
      <c r="H87" s="160"/>
      <c r="I87" s="160"/>
    </row>
    <row r="88" spans="1:9" x14ac:dyDescent="0.2">
      <c r="A88" s="160"/>
      <c r="B88" s="160"/>
      <c r="C88" s="160"/>
      <c r="D88" s="160"/>
      <c r="E88" s="160"/>
      <c r="F88" s="160"/>
      <c r="G88" s="160"/>
      <c r="H88" s="160"/>
      <c r="I88" s="160"/>
    </row>
    <row r="89" spans="1:9" x14ac:dyDescent="0.2">
      <c r="A89" s="160"/>
      <c r="B89" s="160"/>
      <c r="C89" s="160"/>
      <c r="D89" s="160"/>
      <c r="E89" s="160"/>
      <c r="F89" s="160"/>
      <c r="G89" s="160"/>
      <c r="H89" s="160"/>
      <c r="I89" s="160"/>
    </row>
    <row r="90" spans="1:9" x14ac:dyDescent="0.2">
      <c r="A90" s="160"/>
      <c r="B90" s="160"/>
      <c r="C90" s="160"/>
      <c r="D90" s="160"/>
      <c r="E90" s="160"/>
      <c r="F90" s="160"/>
      <c r="G90" s="160"/>
      <c r="H90" s="160"/>
      <c r="I90" s="160"/>
    </row>
    <row r="91" spans="1:9" x14ac:dyDescent="0.2">
      <c r="A91" s="160"/>
      <c r="B91" s="160"/>
      <c r="C91" s="160"/>
      <c r="D91" s="160"/>
      <c r="E91" s="160"/>
      <c r="F91" s="160"/>
      <c r="G91" s="160"/>
      <c r="H91" s="160"/>
      <c r="I91" s="160"/>
    </row>
    <row r="92" spans="1:9" x14ac:dyDescent="0.2">
      <c r="A92" s="160"/>
      <c r="B92" s="160"/>
      <c r="C92" s="160"/>
      <c r="D92" s="160"/>
      <c r="E92" s="160"/>
      <c r="F92" s="160"/>
      <c r="G92" s="160"/>
      <c r="H92" s="160"/>
      <c r="I92" s="160"/>
    </row>
    <row r="93" spans="1:9" x14ac:dyDescent="0.2">
      <c r="A93" s="160"/>
      <c r="B93" s="160"/>
      <c r="C93" s="160"/>
      <c r="D93" s="160"/>
      <c r="E93" s="160"/>
      <c r="F93" s="160"/>
      <c r="G93" s="160"/>
      <c r="H93" s="160"/>
      <c r="I93" s="160"/>
    </row>
    <row r="94" spans="1:9" x14ac:dyDescent="0.2">
      <c r="A94" s="160"/>
      <c r="B94" s="160"/>
      <c r="C94" s="160"/>
      <c r="D94" s="160"/>
      <c r="E94" s="160"/>
      <c r="F94" s="160"/>
      <c r="G94" s="160"/>
      <c r="H94" s="160"/>
      <c r="I94" s="160"/>
    </row>
    <row r="95" spans="1:9" x14ac:dyDescent="0.2">
      <c r="A95" s="160"/>
      <c r="B95" s="160"/>
      <c r="C95" s="160"/>
      <c r="D95" s="160"/>
      <c r="E95" s="160"/>
      <c r="F95" s="160"/>
      <c r="G95" s="160"/>
      <c r="H95" s="160"/>
      <c r="I95" s="160"/>
    </row>
    <row r="96" spans="1:9" x14ac:dyDescent="0.2">
      <c r="A96" s="160"/>
      <c r="B96" s="160"/>
      <c r="C96" s="160"/>
      <c r="D96" s="160"/>
      <c r="E96" s="160"/>
      <c r="F96" s="160"/>
      <c r="G96" s="160"/>
      <c r="H96" s="160"/>
      <c r="I96" s="160"/>
    </row>
    <row r="97" spans="1:9" x14ac:dyDescent="0.2">
      <c r="A97" s="160"/>
      <c r="B97" s="160"/>
      <c r="C97" s="160"/>
      <c r="D97" s="160"/>
      <c r="E97" s="160"/>
      <c r="F97" s="160"/>
      <c r="G97" s="160"/>
      <c r="H97" s="160"/>
      <c r="I97" s="160"/>
    </row>
    <row r="98" spans="1:9" x14ac:dyDescent="0.2">
      <c r="A98" s="160"/>
      <c r="B98" s="160"/>
      <c r="C98" s="160"/>
      <c r="D98" s="160"/>
      <c r="E98" s="160"/>
      <c r="F98" s="160"/>
      <c r="G98" s="160"/>
      <c r="H98" s="160"/>
      <c r="I98" s="160"/>
    </row>
    <row r="99" spans="1:9" x14ac:dyDescent="0.2">
      <c r="A99" s="160"/>
      <c r="B99" s="160"/>
      <c r="C99" s="160"/>
      <c r="D99" s="160"/>
      <c r="E99" s="160"/>
      <c r="F99" s="160"/>
      <c r="G99" s="160"/>
      <c r="H99" s="160"/>
      <c r="I99" s="160"/>
    </row>
    <row r="100" spans="1:9" x14ac:dyDescent="0.2">
      <c r="A100" s="160"/>
      <c r="B100" s="160"/>
      <c r="C100" s="160"/>
      <c r="D100" s="160"/>
      <c r="E100" s="160"/>
      <c r="F100" s="160"/>
      <c r="G100" s="160"/>
      <c r="H100" s="160"/>
      <c r="I100" s="160"/>
    </row>
    <row r="101" spans="1:9" x14ac:dyDescent="0.2">
      <c r="A101" s="160"/>
      <c r="B101" s="160"/>
      <c r="C101" s="160"/>
      <c r="D101" s="160"/>
      <c r="E101" s="160"/>
      <c r="F101" s="160"/>
      <c r="G101" s="160"/>
      <c r="H101" s="160"/>
      <c r="I101" s="160"/>
    </row>
    <row r="102" spans="1:9" x14ac:dyDescent="0.2">
      <c r="A102" s="160"/>
      <c r="B102" s="160"/>
      <c r="C102" s="160"/>
      <c r="D102" s="160"/>
      <c r="E102" s="160"/>
      <c r="F102" s="160"/>
      <c r="G102" s="160"/>
      <c r="H102" s="160"/>
      <c r="I102" s="160"/>
    </row>
    <row r="103" spans="1:9" x14ac:dyDescent="0.2">
      <c r="A103" s="160"/>
      <c r="B103" s="160"/>
      <c r="C103" s="160"/>
      <c r="D103" s="160"/>
      <c r="E103" s="160"/>
      <c r="F103" s="160"/>
      <c r="G103" s="160"/>
      <c r="H103" s="160"/>
      <c r="I103" s="160"/>
    </row>
    <row r="104" spans="1:9" x14ac:dyDescent="0.2">
      <c r="A104" s="160"/>
      <c r="B104" s="160"/>
      <c r="C104" s="160"/>
      <c r="D104" s="160"/>
      <c r="E104" s="160"/>
      <c r="F104" s="160"/>
      <c r="G104" s="160"/>
      <c r="H104" s="160"/>
      <c r="I104" s="160"/>
    </row>
    <row r="105" spans="1:9" x14ac:dyDescent="0.2">
      <c r="A105" s="160"/>
      <c r="B105" s="160"/>
      <c r="C105" s="160"/>
      <c r="D105" s="160"/>
      <c r="E105" s="160"/>
      <c r="F105" s="160"/>
      <c r="G105" s="160"/>
      <c r="H105" s="160"/>
      <c r="I105" s="160"/>
    </row>
    <row r="106" spans="1:9" x14ac:dyDescent="0.2">
      <c r="A106" s="160"/>
      <c r="B106" s="160"/>
      <c r="C106" s="160"/>
      <c r="D106" s="160"/>
      <c r="E106" s="160"/>
      <c r="F106" s="160"/>
      <c r="G106" s="160"/>
      <c r="H106" s="160"/>
      <c r="I106" s="160"/>
    </row>
    <row r="107" spans="1:9" x14ac:dyDescent="0.2">
      <c r="A107" s="160"/>
      <c r="B107" s="160"/>
      <c r="C107" s="160"/>
      <c r="D107" s="160"/>
      <c r="E107" s="160"/>
      <c r="F107" s="160"/>
      <c r="G107" s="160"/>
      <c r="H107" s="160"/>
      <c r="I107" s="160"/>
    </row>
    <row r="108" spans="1:9" x14ac:dyDescent="0.2">
      <c r="A108" s="160"/>
      <c r="B108" s="160"/>
      <c r="C108" s="160"/>
      <c r="D108" s="160"/>
      <c r="E108" s="160"/>
      <c r="F108" s="160"/>
      <c r="G108" s="160"/>
      <c r="H108" s="160"/>
      <c r="I108" s="160"/>
    </row>
    <row r="109" spans="1:9" x14ac:dyDescent="0.2">
      <c r="A109" s="160"/>
      <c r="B109" s="160"/>
      <c r="C109" s="160"/>
      <c r="D109" s="160"/>
      <c r="E109" s="160"/>
      <c r="F109" s="160"/>
      <c r="G109" s="160"/>
      <c r="H109" s="160"/>
      <c r="I109" s="160"/>
    </row>
    <row r="110" spans="1:9" x14ac:dyDescent="0.2">
      <c r="A110" s="160"/>
      <c r="B110" s="160"/>
      <c r="C110" s="160"/>
      <c r="D110" s="160"/>
      <c r="E110" s="160"/>
      <c r="F110" s="160"/>
      <c r="G110" s="160"/>
      <c r="H110" s="160"/>
      <c r="I110" s="160"/>
    </row>
    <row r="111" spans="1:9" x14ac:dyDescent="0.2">
      <c r="A111" s="160"/>
      <c r="B111" s="160"/>
      <c r="C111" s="160"/>
      <c r="D111" s="160"/>
      <c r="E111" s="160"/>
      <c r="F111" s="160"/>
      <c r="G111" s="160"/>
      <c r="H111" s="160"/>
      <c r="I111" s="160"/>
    </row>
    <row r="112" spans="1:9" x14ac:dyDescent="0.2">
      <c r="A112" s="160"/>
      <c r="B112" s="160"/>
      <c r="C112" s="160"/>
      <c r="D112" s="160"/>
      <c r="E112" s="160"/>
      <c r="F112" s="160"/>
      <c r="G112" s="160"/>
      <c r="H112" s="160"/>
      <c r="I112" s="160"/>
    </row>
    <row r="113" spans="1:9" x14ac:dyDescent="0.2">
      <c r="A113" s="160"/>
      <c r="B113" s="160"/>
      <c r="C113" s="160"/>
      <c r="D113" s="160"/>
      <c r="E113" s="160"/>
      <c r="F113" s="160"/>
      <c r="G113" s="160"/>
      <c r="H113" s="160"/>
      <c r="I113" s="160"/>
    </row>
    <row r="114" spans="1:9" x14ac:dyDescent="0.2">
      <c r="A114" s="160"/>
      <c r="B114" s="160"/>
      <c r="C114" s="160"/>
      <c r="D114" s="160"/>
      <c r="E114" s="160"/>
      <c r="F114" s="160"/>
      <c r="G114" s="160"/>
      <c r="H114" s="160"/>
      <c r="I114" s="160"/>
    </row>
    <row r="115" spans="1:9" x14ac:dyDescent="0.2">
      <c r="A115" s="160"/>
      <c r="B115" s="160"/>
      <c r="C115" s="160"/>
      <c r="D115" s="160"/>
      <c r="E115" s="160"/>
      <c r="F115" s="160"/>
      <c r="G115" s="160"/>
      <c r="H115" s="160"/>
      <c r="I115" s="160"/>
    </row>
    <row r="116" spans="1:9" x14ac:dyDescent="0.2">
      <c r="A116" s="160"/>
      <c r="B116" s="160"/>
      <c r="C116" s="160"/>
      <c r="D116" s="160"/>
      <c r="E116" s="160"/>
      <c r="F116" s="160"/>
      <c r="G116" s="160"/>
      <c r="H116" s="160"/>
      <c r="I116" s="160"/>
    </row>
    <row r="117" spans="1:9" x14ac:dyDescent="0.2">
      <c r="A117" s="160"/>
      <c r="B117" s="160"/>
      <c r="C117" s="160"/>
      <c r="D117" s="160"/>
      <c r="E117" s="160"/>
      <c r="F117" s="160"/>
      <c r="G117" s="160"/>
      <c r="H117" s="160"/>
      <c r="I117" s="160"/>
    </row>
    <row r="118" spans="1:9" x14ac:dyDescent="0.2">
      <c r="A118" s="160"/>
      <c r="B118" s="160"/>
      <c r="C118" s="160"/>
      <c r="D118" s="160"/>
      <c r="E118" s="160"/>
      <c r="F118" s="160"/>
      <c r="G118" s="160"/>
      <c r="H118" s="160"/>
      <c r="I118" s="160"/>
    </row>
    <row r="119" spans="1:9" x14ac:dyDescent="0.2">
      <c r="A119" s="160"/>
      <c r="B119" s="160"/>
      <c r="C119" s="160"/>
      <c r="D119" s="160"/>
      <c r="E119" s="160"/>
      <c r="F119" s="160"/>
      <c r="G119" s="160"/>
      <c r="H119" s="160"/>
      <c r="I119" s="160"/>
    </row>
    <row r="120" spans="1:9" x14ac:dyDescent="0.2">
      <c r="A120" s="160"/>
      <c r="B120" s="160"/>
      <c r="C120" s="160"/>
      <c r="D120" s="160"/>
      <c r="E120" s="160"/>
      <c r="F120" s="160"/>
      <c r="G120" s="160"/>
      <c r="H120" s="160"/>
      <c r="I120" s="160"/>
    </row>
    <row r="121" spans="1:9" x14ac:dyDescent="0.2">
      <c r="A121" s="160"/>
      <c r="B121" s="160"/>
      <c r="C121" s="160"/>
      <c r="D121" s="160"/>
      <c r="E121" s="160"/>
      <c r="F121" s="160"/>
      <c r="G121" s="160"/>
      <c r="H121" s="160"/>
      <c r="I121" s="160"/>
    </row>
    <row r="122" spans="1:9" x14ac:dyDescent="0.2">
      <c r="A122" s="160"/>
      <c r="B122" s="160"/>
      <c r="C122" s="160"/>
      <c r="D122" s="160"/>
      <c r="E122" s="160"/>
      <c r="F122" s="160"/>
      <c r="G122" s="160"/>
      <c r="H122" s="160"/>
      <c r="I122" s="160"/>
    </row>
    <row r="123" spans="1:9" x14ac:dyDescent="0.2">
      <c r="A123" s="160"/>
      <c r="B123" s="160"/>
      <c r="C123" s="160"/>
      <c r="D123" s="160"/>
      <c r="E123" s="160"/>
      <c r="F123" s="160"/>
      <c r="G123" s="160"/>
      <c r="H123" s="160"/>
      <c r="I123" s="160"/>
    </row>
    <row r="124" spans="1:9" x14ac:dyDescent="0.2">
      <c r="A124" s="160"/>
      <c r="B124" s="160"/>
      <c r="C124" s="160"/>
      <c r="D124" s="160"/>
      <c r="E124" s="160"/>
      <c r="F124" s="160"/>
      <c r="G124" s="160"/>
      <c r="H124" s="160"/>
      <c r="I124" s="160"/>
    </row>
    <row r="125" spans="1:9" x14ac:dyDescent="0.2">
      <c r="A125" s="160"/>
      <c r="B125" s="160"/>
      <c r="C125" s="160"/>
      <c r="D125" s="160"/>
      <c r="E125" s="160"/>
      <c r="F125" s="160"/>
      <c r="G125" s="160"/>
      <c r="H125" s="160"/>
      <c r="I125" s="160"/>
    </row>
    <row r="126" spans="1:9" x14ac:dyDescent="0.2">
      <c r="A126" s="160"/>
      <c r="B126" s="160"/>
      <c r="C126" s="160"/>
      <c r="D126" s="160"/>
      <c r="E126" s="160"/>
      <c r="F126" s="160"/>
      <c r="G126" s="160"/>
      <c r="H126" s="160"/>
      <c r="I126" s="160"/>
    </row>
    <row r="127" spans="1:9" x14ac:dyDescent="0.2">
      <c r="A127" s="160"/>
      <c r="B127" s="160"/>
      <c r="C127" s="160"/>
      <c r="D127" s="160"/>
      <c r="E127" s="160"/>
      <c r="F127" s="160"/>
      <c r="G127" s="160"/>
      <c r="H127" s="160"/>
      <c r="I127" s="160"/>
    </row>
    <row r="128" spans="1:9" x14ac:dyDescent="0.2">
      <c r="A128" s="160"/>
      <c r="B128" s="160"/>
      <c r="C128" s="160"/>
      <c r="D128" s="160"/>
      <c r="E128" s="160"/>
      <c r="F128" s="160"/>
      <c r="G128" s="160"/>
      <c r="H128" s="160"/>
      <c r="I128" s="160"/>
    </row>
    <row r="129" spans="1:9" x14ac:dyDescent="0.2">
      <c r="A129" s="160"/>
      <c r="B129" s="160"/>
      <c r="C129" s="160"/>
      <c r="D129" s="160"/>
      <c r="E129" s="160"/>
      <c r="F129" s="160"/>
      <c r="G129" s="160"/>
      <c r="H129" s="160"/>
      <c r="I129" s="160"/>
    </row>
    <row r="130" spans="1:9" x14ac:dyDescent="0.2">
      <c r="A130" s="160"/>
      <c r="B130" s="160"/>
      <c r="C130" s="160"/>
      <c r="D130" s="160"/>
      <c r="E130" s="160"/>
      <c r="F130" s="160"/>
      <c r="G130" s="160"/>
      <c r="H130" s="160"/>
      <c r="I130" s="160"/>
    </row>
    <row r="131" spans="1:9" x14ac:dyDescent="0.2">
      <c r="A131" s="160"/>
      <c r="B131" s="160"/>
      <c r="C131" s="160"/>
      <c r="D131" s="160"/>
      <c r="E131" s="160"/>
      <c r="F131" s="160"/>
      <c r="G131" s="160"/>
      <c r="H131" s="160"/>
      <c r="I131" s="160"/>
    </row>
    <row r="132" spans="1:9" x14ac:dyDescent="0.2">
      <c r="A132" s="160"/>
      <c r="B132" s="160"/>
      <c r="C132" s="160"/>
      <c r="D132" s="160"/>
      <c r="E132" s="160"/>
      <c r="F132" s="160"/>
      <c r="G132" s="160"/>
      <c r="H132" s="160"/>
      <c r="I132" s="160"/>
    </row>
    <row r="133" spans="1:9" x14ac:dyDescent="0.2">
      <c r="A133" s="160"/>
      <c r="B133" s="160"/>
      <c r="C133" s="160"/>
      <c r="D133" s="160"/>
      <c r="E133" s="160"/>
      <c r="F133" s="160"/>
      <c r="G133" s="160"/>
      <c r="H133" s="160"/>
      <c r="I133" s="160"/>
    </row>
    <row r="134" spans="1:9" x14ac:dyDescent="0.2">
      <c r="A134" s="160"/>
      <c r="B134" s="160"/>
      <c r="C134" s="160"/>
      <c r="D134" s="160"/>
      <c r="E134" s="160"/>
      <c r="F134" s="160"/>
      <c r="G134" s="160"/>
      <c r="H134" s="160"/>
      <c r="I134" s="160"/>
    </row>
    <row r="135" spans="1:9" x14ac:dyDescent="0.2">
      <c r="A135" s="160"/>
      <c r="B135" s="160"/>
      <c r="C135" s="160"/>
      <c r="D135" s="160"/>
      <c r="E135" s="160"/>
      <c r="F135" s="160"/>
      <c r="G135" s="160"/>
      <c r="H135" s="160"/>
      <c r="I135" s="160"/>
    </row>
    <row r="136" spans="1:9" x14ac:dyDescent="0.2">
      <c r="A136" s="160"/>
      <c r="B136" s="160"/>
      <c r="C136" s="160"/>
      <c r="D136" s="160"/>
      <c r="E136" s="160"/>
      <c r="F136" s="160"/>
      <c r="G136" s="160"/>
      <c r="H136" s="160"/>
      <c r="I136" s="160"/>
    </row>
    <row r="137" spans="1:9" x14ac:dyDescent="0.2">
      <c r="B137" s="50"/>
      <c r="C137" s="50"/>
      <c r="D137" s="50"/>
      <c r="E137" s="50"/>
      <c r="F137" s="50"/>
      <c r="G137" s="50"/>
      <c r="H137" s="50"/>
      <c r="I137" s="50"/>
    </row>
    <row r="138" spans="1:9" x14ac:dyDescent="0.2">
      <c r="B138" s="50"/>
      <c r="C138" s="50"/>
      <c r="D138" s="50"/>
      <c r="E138" s="50"/>
      <c r="F138" s="50"/>
      <c r="G138" s="50"/>
      <c r="H138" s="50"/>
      <c r="I138" s="50"/>
    </row>
    <row r="139" spans="1:9" x14ac:dyDescent="0.2">
      <c r="B139" s="50"/>
      <c r="C139" s="50"/>
      <c r="D139" s="50"/>
      <c r="E139" s="50"/>
      <c r="F139" s="50"/>
      <c r="G139" s="50"/>
      <c r="H139" s="50"/>
      <c r="I139" s="50"/>
    </row>
  </sheetData>
  <sheetProtection sheet="1" objects="1" scenarios="1" insertHyperlinks="0"/>
  <mergeCells count="71">
    <mergeCell ref="A1:I1"/>
    <mergeCell ref="A15:C15"/>
    <mergeCell ref="G61:H61"/>
    <mergeCell ref="A55:B55"/>
    <mergeCell ref="C9:F9"/>
    <mergeCell ref="A59:B59"/>
    <mergeCell ref="F49:I49"/>
    <mergeCell ref="A53:B53"/>
    <mergeCell ref="A61:B61"/>
    <mergeCell ref="G59:H59"/>
    <mergeCell ref="A50:I50"/>
    <mergeCell ref="F31:I31"/>
    <mergeCell ref="F41:I41"/>
    <mergeCell ref="A39:B39"/>
    <mergeCell ref="A45:C45"/>
    <mergeCell ref="E53:I53"/>
    <mergeCell ref="A83:H83"/>
    <mergeCell ref="A81:B81"/>
    <mergeCell ref="G81:I81"/>
    <mergeCell ref="G79:I79"/>
    <mergeCell ref="C61:D61"/>
    <mergeCell ref="A69:B69"/>
    <mergeCell ref="C73:D73"/>
    <mergeCell ref="A73:B73"/>
    <mergeCell ref="A75:B75"/>
    <mergeCell ref="A77:B77"/>
    <mergeCell ref="G75:H75"/>
    <mergeCell ref="C75:D75"/>
    <mergeCell ref="A79:B79"/>
    <mergeCell ref="G73:H73"/>
    <mergeCell ref="G67:I67"/>
    <mergeCell ref="A67:B67"/>
    <mergeCell ref="G65:I65"/>
    <mergeCell ref="C69:F69"/>
    <mergeCell ref="A71:I71"/>
    <mergeCell ref="A65:B65"/>
    <mergeCell ref="A63:B63"/>
    <mergeCell ref="F39:I39"/>
    <mergeCell ref="F45:I45"/>
    <mergeCell ref="A51:E51"/>
    <mergeCell ref="A41:B41"/>
    <mergeCell ref="F47:I47"/>
    <mergeCell ref="A49:B49"/>
    <mergeCell ref="C13:F13"/>
    <mergeCell ref="A13:B13"/>
    <mergeCell ref="A19:B19"/>
    <mergeCell ref="C59:D59"/>
    <mergeCell ref="F29:H29"/>
    <mergeCell ref="A42:I42"/>
    <mergeCell ref="C57:F57"/>
    <mergeCell ref="A37:B37"/>
    <mergeCell ref="A43:E43"/>
    <mergeCell ref="A35:B35"/>
    <mergeCell ref="C25:F25"/>
    <mergeCell ref="F27:H27"/>
    <mergeCell ref="A25:B25"/>
    <mergeCell ref="A33:B33"/>
    <mergeCell ref="A31:B31"/>
    <mergeCell ref="A27:B27"/>
    <mergeCell ref="C11:F11"/>
    <mergeCell ref="C5:F5"/>
    <mergeCell ref="A7:B7"/>
    <mergeCell ref="C3:F3"/>
    <mergeCell ref="C7:F7"/>
    <mergeCell ref="A9:B9"/>
    <mergeCell ref="A29:B29"/>
    <mergeCell ref="A21:B21"/>
    <mergeCell ref="A5:B5"/>
    <mergeCell ref="A3:B3"/>
    <mergeCell ref="A23:B23"/>
    <mergeCell ref="A17:B17"/>
  </mergeCells>
  <phoneticPr fontId="4" type="noConversion"/>
  <conditionalFormatting sqref="I63 I77">
    <cfRule type="cellIs" dxfId="42" priority="42" stopIfTrue="1" operator="equal">
      <formula>"yes"</formula>
    </cfRule>
  </conditionalFormatting>
  <conditionalFormatting sqref="E23">
    <cfRule type="cellIs" dxfId="41" priority="45" stopIfTrue="1" operator="equal">
      <formula>FALSE</formula>
    </cfRule>
    <cfRule type="cellIs" dxfId="40" priority="46" stopIfTrue="1" operator="notEqual">
      <formula>FALSE</formula>
    </cfRule>
  </conditionalFormatting>
  <conditionalFormatting sqref="I21 F29 C35 F35 F33 I25 F27">
    <cfRule type="cellIs" dxfId="39" priority="49" stopIfTrue="1" operator="equal">
      <formula>FALSE</formula>
    </cfRule>
  </conditionalFormatting>
  <conditionalFormatting sqref="F23 C23 F81 F79 F65 F67">
    <cfRule type="cellIs" dxfId="38" priority="50" stopIfTrue="1" operator="equal">
      <formula>FALSE</formula>
    </cfRule>
  </conditionalFormatting>
  <conditionalFormatting sqref="G65:I65 G79:I79 G67:I67 G81:I81">
    <cfRule type="cellIs" dxfId="37" priority="51" stopIfTrue="1" operator="equal">
      <formula>FALSE</formula>
    </cfRule>
  </conditionalFormatting>
  <conditionalFormatting sqref="C21">
    <cfRule type="expression" dxfId="36" priority="53" stopIfTrue="1">
      <formula>IF(#REF!="None","N/A")</formula>
    </cfRule>
    <cfRule type="cellIs" dxfId="35" priority="54" stopIfTrue="1" operator="equal">
      <formula>FALSE</formula>
    </cfRule>
  </conditionalFormatting>
  <conditionalFormatting sqref="C69:I69 C57:F57">
    <cfRule type="cellIs" dxfId="34" priority="56" stopIfTrue="1" operator="equal">
      <formula>"* * * N O T   A P P L I C A B L E * * *"</formula>
    </cfRule>
  </conditionalFormatting>
  <conditionalFormatting sqref="I35">
    <cfRule type="cellIs" dxfId="33" priority="59" stopIfTrue="1" operator="equal">
      <formula>FALSE</formula>
    </cfRule>
  </conditionalFormatting>
  <conditionalFormatting sqref="A23">
    <cfRule type="cellIs" dxfId="32" priority="40" stopIfTrue="1" operator="equal">
      <formula>FALSE</formula>
    </cfRule>
    <cfRule type="cellIs" dxfId="31" priority="41" stopIfTrue="1" operator="notEqual">
      <formula>FALSE</formula>
    </cfRule>
  </conditionalFormatting>
  <conditionalFormatting sqref="B11">
    <cfRule type="cellIs" dxfId="30" priority="35" operator="notEqual">
      <formula>0</formula>
    </cfRule>
    <cfRule type="cellIs" dxfId="29" priority="36" operator="equal">
      <formula>0</formula>
    </cfRule>
  </conditionalFormatting>
  <conditionalFormatting sqref="C57:F57 C69:F69">
    <cfRule type="cellIs" dxfId="28" priority="55" stopIfTrue="1" operator="equal">
      <formula>FALSE</formula>
    </cfRule>
  </conditionalFormatting>
  <conditionalFormatting sqref="F31:I31">
    <cfRule type="containsText" dxfId="27" priority="10" operator="containsText" text="Enter position and distance">
      <formula>NOT(ISERROR(SEARCH("Enter position and distance",F31)))</formula>
    </cfRule>
    <cfRule type="notContainsText" dxfId="26" priority="19" operator="notContains" text="FALSE">
      <formula>ISERROR(SEARCH("FALSE",F31))</formula>
    </cfRule>
  </conditionalFormatting>
  <conditionalFormatting sqref="I27">
    <cfRule type="containsText" dxfId="25" priority="13" operator="containsText" text="Enter distance">
      <formula>NOT(ISERROR(SEARCH("Enter distance",I27)))</formula>
    </cfRule>
    <cfRule type="containsText" dxfId="24" priority="14" operator="containsText" text="FALSE">
      <formula>NOT(ISERROR(SEARCH("FALSE",I27)))</formula>
    </cfRule>
  </conditionalFormatting>
  <conditionalFormatting sqref="I29">
    <cfRule type="containsText" dxfId="23" priority="11" operator="containsText" text="Enter distance">
      <formula>NOT(ISERROR(SEARCH("Enter distance",I29)))</formula>
    </cfRule>
    <cfRule type="containsText" dxfId="22" priority="12" operator="containsText" text="FALSE">
      <formula>NOT(ISERROR(SEARCH("FALSE",I29)))</formula>
    </cfRule>
  </conditionalFormatting>
  <conditionalFormatting sqref="F45:I45">
    <cfRule type="containsText" dxfId="21" priority="7" operator="containsText" text="FALSE">
      <formula>NOT(ISERROR(SEARCH("FALSE",F45)))</formula>
    </cfRule>
    <cfRule type="containsText" dxfId="20" priority="81" stopIfTrue="1" operator="containsText" text="Indicate">
      <formula>NOT(ISERROR(SEARCH("Indicate",F45)))</formula>
    </cfRule>
  </conditionalFormatting>
  <conditionalFormatting sqref="F41:I41">
    <cfRule type="containsText" dxfId="19" priority="5" operator="containsText" text="Enter position and distance">
      <formula>NOT(ISERROR(SEARCH("Enter position and distance",F41)))</formula>
    </cfRule>
    <cfRule type="notContainsText" dxfId="18" priority="6" operator="notContains" text="FALSE">
      <formula>ISERROR(SEARCH("FALSE",F41))</formula>
    </cfRule>
  </conditionalFormatting>
  <conditionalFormatting sqref="F39:I39">
    <cfRule type="containsText" dxfId="17" priority="3" operator="containsText" text="Enter position and distance">
      <formula>NOT(ISERROR(SEARCH("Enter position and distance",F39)))</formula>
    </cfRule>
    <cfRule type="notContainsText" dxfId="16" priority="4" operator="notContains" text="FALSE">
      <formula>ISERROR(SEARCH("FALSE",F39))</formula>
    </cfRule>
  </conditionalFormatting>
  <conditionalFormatting sqref="I33">
    <cfRule type="cellIs" dxfId="15" priority="2" stopIfTrue="1" operator="equal">
      <formula>FALSE</formula>
    </cfRule>
  </conditionalFormatting>
  <conditionalFormatting sqref="A50:I50">
    <cfRule type="containsText" dxfId="14" priority="1" operator="containsText" text="FALSE">
      <formula>NOT(ISERROR(SEARCH("FALSE",A50)))</formula>
    </cfRule>
  </conditionalFormatting>
  <dataValidations disablePrompts="1" xWindow="229" yWindow="791" count="55">
    <dataValidation type="textLength" allowBlank="1" showInputMessage="1" showErrorMessage="1" sqref="I12">
      <formula1>1</formula1>
      <formula2>25</formula2>
    </dataValidation>
    <dataValidation type="textLength" showInputMessage="1" showErrorMessage="1" sqref="I7">
      <formula1>1</formula1>
      <formula2>15</formula2>
    </dataValidation>
    <dataValidation type="whole" showInputMessage="1" showErrorMessage="1" sqref="I9">
      <formula1>1</formula1>
      <formula2>50</formula2>
    </dataValidation>
    <dataValidation type="list" allowBlank="1" showInputMessage="1" showErrorMessage="1" prompt="Select Yes or No" sqref="C33">
      <formula1>"Yes, No"</formula1>
    </dataValidation>
    <dataValidation type="list" allowBlank="1" showInputMessage="1" showErrorMessage="1" prompt="Choose Print Type" sqref="C54">
      <formula1>"MCP, Line, Process"</formula1>
    </dataValidation>
    <dataValidation allowBlank="1" showInputMessage="1" showErrorMessage="1" prompt="If &quot;No&quot; selected, indicate print position" sqref="F66:G66 F80:I80"/>
    <dataValidation type="list" showInputMessage="1" showErrorMessage="1" prompt="Select colour match option" sqref="C55">
      <formula1>"Sample, PMS, Other (see comments)"</formula1>
    </dataValidation>
    <dataValidation type="textLength" showInputMessage="1" showErrorMessage="1" sqref="C7:F7 C9:F9 C12:F13">
      <formula1>1</formula1>
      <formula2>70</formula2>
    </dataValidation>
    <dataValidation type="list" allowBlank="1" showInputMessage="1" showErrorMessage="1" prompt="Select applicable option" sqref="C40 C38">
      <formula1>"N/A, Rounded Corner, Corner Cut"</formula1>
    </dataValidation>
    <dataValidation type="list" allowBlank="1" showInputMessage="1" showErrorMessage="1" prompt="Select tear type" sqref="C29">
      <formula1>"Notch, Nick, N/A"</formula1>
    </dataValidation>
    <dataValidation showInputMessage="1" showErrorMessage="1" sqref="C36"/>
    <dataValidation type="list" allowBlank="1" showInputMessage="1" showErrorMessage="1" promptTitle="Enter # of colours" sqref="F55">
      <formula1>"1, 2, 3, 4, 5, 6, 7, 8, 9, 10, See Comments"</formula1>
    </dataValidation>
    <dataValidation type="list" allowBlank="1" showInputMessage="1" showErrorMessage="1" prompt="Enter print direction #" sqref="C63 C77">
      <formula1>"1, 2, 3, 4, 5, 6, 7, 8, Solid Colour, N/A"</formula1>
    </dataValidation>
    <dataValidation type="list" showInputMessage="1" showErrorMessage="1" prompt="Select inner or outer dimension ref" sqref="C19">
      <formula1>"OD in., OD mm, ID in., ID mm"</formula1>
    </dataValidation>
    <dataValidation type="decimal" showInputMessage="1" showErrorMessage="1" prompt="Key in length (number only)." sqref="I19">
      <formula1>0</formula1>
      <formula2>1400</formula2>
    </dataValidation>
    <dataValidation type="list" showInputMessage="1" showErrorMessage="1" prompt="Choose print type" sqref="C53">
      <formula1>"MCP, Line, Process"</formula1>
    </dataValidation>
    <dataValidation allowBlank="1" showInputMessage="1" showErrorMessage="1" prompt="Select required side seal" sqref="A20:C20 E18:F18 E20:F20 D18:D20 B18:C18"/>
    <dataValidation type="textLength" showInputMessage="1" showErrorMessage="1" sqref="I11">
      <formula1>1</formula1>
      <formula2>25</formula2>
    </dataValidation>
    <dataValidation type="textLength" allowBlank="1" showInputMessage="1" showErrorMessage="1" prompt="If RWC, indicate Movex Item #" sqref="F45">
      <formula1>1</formula1>
      <formula2>40</formula2>
    </dataValidation>
    <dataValidation type="list" allowBlank="1" showInputMessage="1" showErrorMessage="1" prompt="Select applicable option" sqref="C25">
      <formula1>"N/A, Single (single layer) on Front, Single (single layer) on Back, Double (2 layer sealed) on Front, Double (2 layer sealed) on Back, Reinforced"</formula1>
    </dataValidation>
    <dataValidation type="list" allowBlank="1" showInputMessage="1" showErrorMessage="1" prompt="Select side seal size" sqref="I23">
      <formula1>"5 mm, 8 mm (Standard), 10 mm"</formula1>
    </dataValidation>
    <dataValidation type="list" allowBlank="1" showInputMessage="1" showErrorMessage="1" prompt="Select applicable option._x000a__x000a_*HIGH TEMP zipper must be reviewed by technical." sqref="C21">
      <formula1>"N/A, Standard,Offset,Double,Velcro (Experimental),High Temp (Tech Review Req'd),Slider (Subcontracted),TD Zipper,Other (See Comments)"</formula1>
    </dataValidation>
    <dataValidation type="list" allowBlank="1" showInputMessage="1" showErrorMessage="1" prompt="Select applicable option" sqref="I21">
      <formula1>"N/A, 3/4"" (19 mm), 1"" (25 mm), Std 1.25"" (32 mm), 1.5"" (38 mm), 1.75"" (44 mm), 2"" (51 mm),2.5"" (64 mm), 2.75"" (70 mm), 4"" (102 mm), Other (see comments)"</formula1>
    </dataValidation>
    <dataValidation type="list" allowBlank="1" showInputMessage="1" showErrorMessage="1" prompt="Select applicable option" sqref="I25">
      <formula1>"N/A, 3 mm, 6 mm, 36 mm, 38 mm, 50 mm, Other (See Comments)"</formula1>
    </dataValidation>
    <dataValidation type="list" allowBlank="1" showInputMessage="1" showErrorMessage="1" prompt="If applicable, select size" sqref="C35">
      <formula1>"N/A, 5/8"" (16 mm), 1/2"" (13mm)"</formula1>
    </dataValidation>
    <dataValidation type="list" allowBlank="1" showInputMessage="1" showErrorMessage="1" prompt="If applicable, select front or back" sqref="F35">
      <formula1>"N/A, Front, Back"</formula1>
    </dataValidation>
    <dataValidation type="whole" allowBlank="1" showInputMessage="1" showErrorMessage="1" prompt="If applicable, key in number" sqref="I35">
      <formula1>1</formula1>
      <formula2>5000</formula2>
    </dataValidation>
    <dataValidation type="list" allowBlank="1" showInputMessage="1" showErrorMessage="1" prompt="Select applicable option" sqref="C31">
      <formula1>"N/A, Perf Line, Laser Score - Front Only, Laser Score - Back Only, Laser Score - Both Front and Back "</formula1>
    </dataValidation>
    <dataValidation type="list" allowBlank="1" showInputMessage="1" showErrorMessage="1" prompt="Select yes or no" sqref="I40 C41 F40 I38 F38">
      <formula1>"Yes, No"</formula1>
    </dataValidation>
    <dataValidation allowBlank="1" showErrorMessage="1" sqref="H66:I66"/>
    <dataValidation type="list" allowBlank="1" showInputMessage="1" showErrorMessage="1" prompt="Select appropriate option" sqref="C81 C67 C65 C79">
      <formula1>"Yes, No, Random, N/A"</formula1>
    </dataValidation>
    <dataValidation type="list" allowBlank="1" showInputMessage="1" showErrorMessage="1" prompt="Select applicable option" sqref="F21">
      <formula1>"Top Fill, Bottom Fill, N/A"</formula1>
    </dataValidation>
    <dataValidation type="list" allowBlank="1" showInputMessage="1" showErrorMessage="1" prompt="Select size if applicable" sqref="C23">
      <formula1>"N/A, 8 mm, 10 mm, 16 mm (Standard), 20 mm (min. size for Delta), 25 mm, 32 mm, 50 mm,,Other (See Comments)"</formula1>
    </dataValidation>
    <dataValidation type="list" allowBlank="1" showInputMessage="1" showErrorMessage="1" prompt="Select size if applicable" sqref="F23">
      <formula1>"N/A, 8 mm, 10 mm, 16 mm, 20 mm, 25 mm, 32 mm, 50 mm,,Other (See Comments)"</formula1>
    </dataValidation>
    <dataValidation type="list" allowBlank="1" showInputMessage="1" showErrorMessage="1" prompt="Select appropriate option from list" sqref="F49:I49">
      <formula1>"Assessed art file, Assessed art file with changes (see comments), Sample, Sample with changes (see comments), Previous art with changes (see comments), Other (see comments)"</formula1>
    </dataValidation>
    <dataValidation type="list" allowBlank="1" showInputMessage="1" showErrorMessage="1" prompt="Surface or Reverse?" sqref="F47:I47">
      <formula1>"Sandwich (inside), Sandwich with Matte OL, Surface with OL, Surface without OL, Surface at Pouch,Sandwich (inside) - 2 pass,Sandwich with Matte OL - 2 pass,Sandwich with Surface AND Reverse Plates,Print readable from sealable side (surface plates)"</formula1>
    </dataValidation>
    <dataValidation type="textLength" allowBlank="1" showInputMessage="1" showErrorMessage="1" sqref="C5:F5 C11:F11">
      <formula1>1</formula1>
      <formula2>70</formula2>
    </dataValidation>
    <dataValidation type="textLength" allowBlank="1" showInputMessage="1" showErrorMessage="1" sqref="I3">
      <formula1>1</formula1>
      <formula2>15</formula2>
    </dataValidation>
    <dataValidation allowBlank="1" showInputMessage="1" showErrorMessage="1" prompt="Begin typing additional instructions. Hit &quot;window key + alt&quot; then &quot;enter&quot; to add a new line of text." sqref="B137:I139"/>
    <dataValidation allowBlank="1" showInputMessage="1" showErrorMessage="1" prompt="CLICK with mouse to begin typing." sqref="A85:I136"/>
    <dataValidation type="list" allowBlank="1" showInputMessage="1" showErrorMessage="1" prompt="If applicable, select size" sqref="F33">
      <formula1>"N/A, 3 x 4 x 3, 4 x 2.5 x 4, 4 x 4 x 4, 4 x 5 x 4, 6 x 4 x 6, 7 x 5 x 7, 3.5 x 10 x 3.5, 2 x 8 x 2, 6 x 2.5 x 6, 6 x 4.5 x 6"</formula1>
    </dataValidation>
    <dataValidation type="list" allowBlank="1" showInputMessage="1" showErrorMessage="1" prompt="Select applicable description and then enter distance in next field in mm if required" sqref="F27:H27">
      <formula1>"N/A, Centered in header seal, mm from top of hole punch to open end of pouch, mm from outside seal"</formula1>
    </dataValidation>
    <dataValidation type="textLength" allowBlank="1" showInputMessage="1" showErrorMessage="1" prompt="Enter distance in mm if applicable" sqref="I27 I29">
      <formula1>0</formula1>
      <formula2>20</formula2>
    </dataValidation>
    <dataValidation type="list" allowBlank="1" showInputMessage="1" showErrorMessage="1" prompt="Select applicable description and then enter distance in next field in mm if required" sqref="F29:H29">
      <formula1>"Midway between top of zipper crush and bottom of header seal, mm from open end of pouch, mm from sealed end of pouch"</formula1>
    </dataValidation>
    <dataValidation showInputMessage="1" showErrorMessage="1" prompt="If applicable, describe position." sqref="F31:I31 F41:I41 F39:I39"/>
    <dataValidation type="decimal" showInputMessage="1" showErrorMessage="1" prompt="Key in width (number only)." sqref="F19">
      <formula1>0</formula1>
      <formula2>1000</formula2>
    </dataValidation>
    <dataValidation type="textLength" allowBlank="1" showInputMessage="1" showErrorMessage="1" sqref="A73:H73 A75:H75">
      <formula1>0</formula1>
      <formula2>27</formula2>
    </dataValidation>
    <dataValidation type="list" allowBlank="1" showInputMessage="1" showErrorMessage="1" prompt="Select hole or handle punch size and type" sqref="C27">
      <formula1>"N/A,Round 1/8"" (3.2mm),Standard Round 1/4"" (6.4mm), Round 5/16"" (7.9mm),Round 3/8"" (9.5mm),Round 7/16"" (11.1mm),Round 1/2"" (12.7mm),Round 5/8"" (15.9mm),Delta (Sombrero),Racetrack Handle (Requires Quote),Cat's Eyes"</formula1>
    </dataValidation>
    <dataValidation type="list" allowBlank="1" showInputMessage="1" showErrorMessage="1" prompt="Select applicable option" sqref="C39">
      <formula1>"None, 1, 2, 3, 4, 5"</formula1>
    </dataValidation>
    <dataValidation type="textLength" allowBlank="1" showInputMessage="1" showErrorMessage="1" prompt="Enter salesman's 4-digit number only" sqref="I5">
      <formula1>1</formula1>
      <formula2>15</formula2>
    </dataValidation>
    <dataValidation type="list" allowBlank="1" showInputMessage="1" showErrorMessage="1" prompt="Select applicable option" sqref="C37">
      <formula1>"N/A, Rounded Corners (Btm), Rounded Corners (Top), Rounded Corners (Top &amp; Btm),Corner Cut"</formula1>
    </dataValidation>
    <dataValidation type="textLength" showInputMessage="1" showErrorMessage="1" sqref="I13">
      <formula1>1</formula1>
      <formula2>20</formula2>
    </dataValidation>
    <dataValidation type="list" allowBlank="1" showInputMessage="1" showErrorMessage="1" sqref="C49">
      <formula1>"Yes, No"</formula1>
    </dataValidation>
    <dataValidation allowBlank="1" showInputMessage="1" showErrorMessage="1" prompt="If applicable, enter distance from top of wicket hole to top of lip in mm." sqref="I33"/>
    <dataValidation type="textLength" allowBlank="1" showInputMessage="1" showErrorMessage="1" sqref="I59 I61 G61:H61 G59:H59 F59 F61 E59 E61 C59:D59 C61:D61 A59:B59 A61:B61 A73:B73 C73:D73 E73 F73 G73:H73 I73 I75 G75:H75 F75 E75 C75:D75 A75:B75">
      <formula1>0</formula1>
      <formula2>40</formula2>
    </dataValidation>
  </dataValidations>
  <hyperlinks>
    <hyperlink ref="F63" location="'Print Direction Chart'!A1" display="Print Direction Chart"/>
    <hyperlink ref="F77" location="'Print Direction Chart'!A1" display="Print Direction Chart"/>
  </hyperlinks>
  <printOptions horizontalCentered="1"/>
  <pageMargins left="0.38" right="0.38" top="0.5" bottom="0.5" header="0.13" footer="0.13"/>
  <pageSetup orientation="portrait" blackAndWhite="1" horizontalDpi="4294967292" verticalDpi="4294967292" r:id="rId1"/>
  <headerFooter alignWithMargins="0">
    <oddFooter>&amp;CIssue Date: 1-Sep-98 Revision: 4 Revision Date: 4-Apr-16</oddFooter>
  </headerFooter>
  <rowBreaks count="2" manualBreakCount="2">
    <brk id="42" min="1" max="256" man="1"/>
    <brk id="82" min="1" max="25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1" r:id="rId4" name="Option Button 373">
              <controlPr defaultSize="0" autoFill="0" autoLine="0" autoPict="0" macro="[0]!Colours_Same_Click">
                <anchor moveWithCells="1">
                  <from>
                    <xdr:col>0</xdr:col>
                    <xdr:colOff>57150</xdr:colOff>
                    <xdr:row>69</xdr:row>
                    <xdr:rowOff>66675</xdr:rowOff>
                  </from>
                  <to>
                    <xdr:col>0</xdr:col>
                    <xdr:colOff>400050</xdr:colOff>
                    <xdr:row>70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2" r:id="rId5" name="Option Button 374">
              <controlPr defaultSize="0" autoFill="0" autoLine="0" autoPict="0" macro="[0]!Colours_Not_Same_Click">
                <anchor moveWithCells="1">
                  <from>
                    <xdr:col>5</xdr:col>
                    <xdr:colOff>0</xdr:colOff>
                    <xdr:row>69</xdr:row>
                    <xdr:rowOff>66675</xdr:rowOff>
                  </from>
                  <to>
                    <xdr:col>5</xdr:col>
                    <xdr:colOff>342900</xdr:colOff>
                    <xdr:row>70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1" r:id="rId6" name="Group Box 383">
              <controlPr defaultSize="0" print="0" autoFill="0" autoPict="0">
                <anchor moveWithCells="1">
                  <from>
                    <xdr:col>0</xdr:col>
                    <xdr:colOff>9525</xdr:colOff>
                    <xdr:row>44</xdr:row>
                    <xdr:rowOff>9525</xdr:rowOff>
                  </from>
                  <to>
                    <xdr:col>3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4" r:id="rId7" name="Group Box 386">
              <controlPr defaultSize="0" print="0" autoFill="0" autoPict="0">
                <anchor moveWithCells="1">
                  <from>
                    <xdr:col>0</xdr:col>
                    <xdr:colOff>9525</xdr:colOff>
                    <xdr:row>69</xdr:row>
                    <xdr:rowOff>38100</xdr:rowOff>
                  </from>
                  <to>
                    <xdr:col>8</xdr:col>
                    <xdr:colOff>971550</xdr:colOff>
                    <xdr:row>71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5" r:id="rId8" name="Option Button 387">
              <controlPr defaultSize="0" autoFill="0" autoLine="0" autoPict="0" macro="[0]!new_Click">
                <anchor moveWithCells="1">
                  <from>
                    <xdr:col>0</xdr:col>
                    <xdr:colOff>57150</xdr:colOff>
                    <xdr:row>44</xdr:row>
                    <xdr:rowOff>114300</xdr:rowOff>
                  </from>
                  <to>
                    <xdr:col>1</xdr:col>
                    <xdr:colOff>171450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6" r:id="rId9" name="Option Button 388">
              <controlPr defaultSize="0" autoFill="0" autoLine="0" autoPict="0" macro="[0]!RWC_Click">
                <anchor moveWithCells="1">
                  <from>
                    <xdr:col>0</xdr:col>
                    <xdr:colOff>57150</xdr:colOff>
                    <xdr:row>46</xdr:row>
                    <xdr:rowOff>38100</xdr:rowOff>
                  </from>
                  <to>
                    <xdr:col>2</xdr:col>
                    <xdr:colOff>838200</xdr:colOff>
                    <xdr:row>46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" r:id="rId10" name="Group Box 418">
              <controlPr defaultSize="0" print="0" autoFill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8</xdr:col>
                    <xdr:colOff>914400</xdr:colOff>
                    <xdr:row>16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2" r:id="rId11" name="Option Button 444">
              <controlPr defaultSize="0" autoFill="0" autoLine="0" autoPict="0" macro="[0]!three_ss_no_zip">
                <anchor moveWithCells="1">
                  <from>
                    <xdr:col>2</xdr:col>
                    <xdr:colOff>66675</xdr:colOff>
                    <xdr:row>16</xdr:row>
                    <xdr:rowOff>76200</xdr:rowOff>
                  </from>
                  <to>
                    <xdr:col>2</xdr:col>
                    <xdr:colOff>409575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3" r:id="rId12" name="Option Button 445">
              <controlPr defaultSize="0" autoFill="0" autoLine="0" autoPict="0" macro="[0]!three_ss_open_zip">
                <anchor moveWithCells="1">
                  <from>
                    <xdr:col>4</xdr:col>
                    <xdr:colOff>57150</xdr:colOff>
                    <xdr:row>16</xdr:row>
                    <xdr:rowOff>85725</xdr:rowOff>
                  </from>
                  <to>
                    <xdr:col>4</xdr:col>
                    <xdr:colOff>400050</xdr:colOff>
                    <xdr:row>16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0" r:id="rId13" name="Option Button 452">
              <controlPr defaultSize="0" autoFill="0" autoLine="0" autoPict="0" macro="[0]!three_ss_closed_zip">
                <anchor moveWithCells="1">
                  <from>
                    <xdr:col>5</xdr:col>
                    <xdr:colOff>76200</xdr:colOff>
                    <xdr:row>16</xdr:row>
                    <xdr:rowOff>76200</xdr:rowOff>
                  </from>
                  <to>
                    <xdr:col>5</xdr:col>
                    <xdr:colOff>419100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6" r:id="rId14" name="Option Button 598">
              <controlPr defaultSize="0" autoFill="0" autoLine="0" autoPict="0" macro="[0]!one_side_front_Click">
                <anchor moveWithCells="1">
                  <from>
                    <xdr:col>5</xdr:col>
                    <xdr:colOff>47625</xdr:colOff>
                    <xdr:row>52</xdr:row>
                    <xdr:rowOff>38100</xdr:rowOff>
                  </from>
                  <to>
                    <xdr:col>7</xdr:col>
                    <xdr:colOff>0</xdr:colOff>
                    <xdr:row>52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7" r:id="rId15" name="Option Button 599">
              <controlPr defaultSize="0" autoFill="0" autoLine="0" autoPict="0" macro="[0]!one_side_back_Click">
                <anchor moveWithCells="1">
                  <from>
                    <xdr:col>7</xdr:col>
                    <xdr:colOff>219075</xdr:colOff>
                    <xdr:row>52</xdr:row>
                    <xdr:rowOff>38100</xdr:rowOff>
                  </from>
                  <to>
                    <xdr:col>8</xdr:col>
                    <xdr:colOff>371475</xdr:colOff>
                    <xdr:row>52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8" r:id="rId16" name="Option Button 600">
              <controlPr defaultSize="0" autoFill="0" autoLine="0" autoPict="0" macro="[0]!two_sides_Click">
                <anchor moveWithCells="1">
                  <from>
                    <xdr:col>4</xdr:col>
                    <xdr:colOff>47625</xdr:colOff>
                    <xdr:row>52</xdr:row>
                    <xdr:rowOff>38100</xdr:rowOff>
                  </from>
                  <to>
                    <xdr:col>4</xdr:col>
                    <xdr:colOff>733425</xdr:colOff>
                    <xdr:row>52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9" r:id="rId17" name="Group Box 601">
              <controlPr defaultSize="0" autoFill="0" autoPict="0">
                <anchor moveWithCells="1">
                  <from>
                    <xdr:col>4</xdr:col>
                    <xdr:colOff>0</xdr:colOff>
                    <xdr:row>52</xdr:row>
                    <xdr:rowOff>0</xdr:rowOff>
                  </from>
                  <to>
                    <xdr:col>8</xdr:col>
                    <xdr:colOff>971550</xdr:colOff>
                    <xdr:row>53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AY134"/>
  <sheetViews>
    <sheetView showGridLines="0" zoomScale="140" zoomScaleNormal="140" workbookViewId="0">
      <selection activeCell="AG3" sqref="AG3:AL3"/>
    </sheetView>
  </sheetViews>
  <sheetFormatPr defaultColWidth="10.85546875" defaultRowHeight="12.75" x14ac:dyDescent="0.2"/>
  <cols>
    <col min="1" max="17" width="2.28515625" style="58" customWidth="1"/>
    <col min="18" max="19" width="3" style="58" customWidth="1"/>
    <col min="20" max="21" width="2.85546875" style="58" customWidth="1"/>
    <col min="22" max="38" width="2.28515625" style="58" customWidth="1"/>
    <col min="39" max="16384" width="10.85546875" style="58"/>
  </cols>
  <sheetData>
    <row r="1" spans="1:38" ht="15.95" customHeight="1" x14ac:dyDescent="0.2">
      <c r="A1" s="260" t="s">
        <v>291</v>
      </c>
      <c r="B1" s="260"/>
      <c r="C1" s="260"/>
      <c r="D1" s="260"/>
      <c r="E1" s="260"/>
      <c r="F1" s="260"/>
      <c r="G1" s="260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260"/>
      <c r="S1" s="260"/>
      <c r="T1" s="260"/>
      <c r="U1" s="260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</row>
    <row r="2" spans="1:38" ht="3.95" customHeight="1" x14ac:dyDescent="0.2"/>
    <row r="3" spans="1:38" ht="15" customHeight="1" x14ac:dyDescent="0.2">
      <c r="A3" s="76" t="s">
        <v>239</v>
      </c>
      <c r="B3" s="77"/>
      <c r="C3" s="77"/>
      <c r="D3" s="77"/>
      <c r="E3" s="77"/>
      <c r="F3" s="77"/>
      <c r="G3" s="242" t="b">
        <f>IF(Data!J5=1,"New Item",IF(Data!J5=2,"RWC"))</f>
        <v>0</v>
      </c>
      <c r="H3" s="242"/>
      <c r="I3" s="242"/>
      <c r="J3" s="242"/>
      <c r="K3" s="242"/>
      <c r="L3" s="243"/>
      <c r="N3" s="76" t="s">
        <v>33</v>
      </c>
      <c r="O3" s="77"/>
      <c r="P3" s="77"/>
      <c r="Q3" s="77"/>
      <c r="R3" s="77"/>
      <c r="S3" s="77"/>
      <c r="T3" s="296">
        <f>'3 Side Seal Zipper Pouch'!I7</f>
        <v>0</v>
      </c>
      <c r="U3" s="242"/>
      <c r="V3" s="242"/>
      <c r="W3" s="242"/>
      <c r="X3" s="242"/>
      <c r="Y3" s="243"/>
      <c r="AA3" s="82" t="s">
        <v>68</v>
      </c>
      <c r="AB3" s="77"/>
      <c r="AC3" s="77"/>
      <c r="AD3" s="77"/>
      <c r="AE3" s="77"/>
      <c r="AF3" s="77"/>
      <c r="AG3" s="297"/>
      <c r="AH3" s="297"/>
      <c r="AI3" s="297"/>
      <c r="AJ3" s="297"/>
      <c r="AK3" s="297"/>
      <c r="AL3" s="298"/>
    </row>
    <row r="4" spans="1:38" ht="3.95" customHeight="1" x14ac:dyDescent="0.2"/>
    <row r="5" spans="1:38" ht="15" customHeight="1" x14ac:dyDescent="0.2">
      <c r="A5" s="76" t="s">
        <v>69</v>
      </c>
      <c r="B5" s="77"/>
      <c r="C5" s="77"/>
      <c r="D5" s="77"/>
      <c r="E5" s="77"/>
      <c r="F5" s="77"/>
      <c r="G5" s="299" t="b">
        <f>IF(G3="New Item","All new plates")</f>
        <v>0</v>
      </c>
      <c r="H5" s="299"/>
      <c r="I5" s="299"/>
      <c r="J5" s="299"/>
      <c r="K5" s="299"/>
      <c r="L5" s="300"/>
      <c r="N5" s="76" t="s">
        <v>61</v>
      </c>
      <c r="O5" s="77"/>
      <c r="P5" s="77"/>
      <c r="Q5" s="77"/>
      <c r="R5" s="77"/>
      <c r="S5" s="77"/>
      <c r="T5" s="299" t="b">
        <f>IF(G3="New Item","N/A")</f>
        <v>0</v>
      </c>
      <c r="U5" s="299"/>
      <c r="V5" s="299"/>
      <c r="W5" s="299"/>
      <c r="X5" s="299"/>
      <c r="Y5" s="300"/>
      <c r="AA5" s="76" t="s">
        <v>62</v>
      </c>
      <c r="AB5" s="77"/>
      <c r="AC5" s="77"/>
      <c r="AD5" s="77"/>
      <c r="AE5" s="77"/>
      <c r="AF5" s="77"/>
      <c r="AG5" s="301"/>
      <c r="AH5" s="301"/>
      <c r="AI5" s="301"/>
      <c r="AJ5" s="301"/>
      <c r="AK5" s="301"/>
      <c r="AL5" s="302"/>
    </row>
    <row r="6" spans="1:38" ht="3.95" customHeight="1" x14ac:dyDescent="0.2"/>
    <row r="7" spans="1:38" ht="15" customHeight="1" x14ac:dyDescent="0.2">
      <c r="A7" s="76" t="s">
        <v>2</v>
      </c>
      <c r="B7" s="77"/>
      <c r="C7" s="77"/>
      <c r="D7" s="77"/>
      <c r="E7" s="77"/>
      <c r="F7" s="77"/>
      <c r="G7" s="249"/>
      <c r="H7" s="249"/>
      <c r="I7" s="249"/>
      <c r="J7" s="249"/>
      <c r="K7" s="249"/>
      <c r="L7" s="250"/>
      <c r="N7" s="76" t="s">
        <v>63</v>
      </c>
      <c r="O7" s="77"/>
      <c r="P7" s="77"/>
      <c r="Q7" s="77"/>
      <c r="R7" s="77"/>
      <c r="S7" s="77"/>
      <c r="T7" s="251"/>
      <c r="U7" s="251"/>
      <c r="V7" s="251"/>
      <c r="W7" s="251"/>
      <c r="X7" s="251"/>
      <c r="Y7" s="252"/>
      <c r="AA7" s="76" t="s">
        <v>27</v>
      </c>
      <c r="AB7" s="77"/>
      <c r="AC7" s="77"/>
      <c r="AD7" s="77"/>
      <c r="AE7" s="77"/>
      <c r="AF7" s="77"/>
      <c r="AG7" s="253"/>
      <c r="AH7" s="253"/>
      <c r="AI7" s="253"/>
      <c r="AJ7" s="253"/>
      <c r="AK7" s="253"/>
      <c r="AL7" s="254"/>
    </row>
    <row r="8" spans="1:38" ht="3.95" customHeight="1" x14ac:dyDescent="0.2"/>
    <row r="9" spans="1:38" ht="15" customHeight="1" x14ac:dyDescent="0.2">
      <c r="A9" s="76" t="s">
        <v>152</v>
      </c>
      <c r="B9" s="77"/>
      <c r="C9" s="77"/>
      <c r="D9" s="77"/>
      <c r="E9" s="77"/>
      <c r="F9" s="77"/>
      <c r="G9" s="281">
        <f>'3 Side Seal Zipper Pouch'!C7</f>
        <v>0</v>
      </c>
      <c r="H9" s="281"/>
      <c r="I9" s="281"/>
      <c r="J9" s="281"/>
      <c r="K9" s="281"/>
      <c r="L9" s="281"/>
      <c r="M9" s="281"/>
      <c r="N9" s="281"/>
      <c r="O9" s="281"/>
      <c r="P9" s="281"/>
      <c r="Q9" s="281"/>
      <c r="R9" s="281"/>
      <c r="S9" s="281"/>
      <c r="T9" s="281"/>
      <c r="U9" s="281"/>
      <c r="V9" s="281"/>
      <c r="W9" s="281"/>
      <c r="X9" s="281"/>
      <c r="Y9" s="282"/>
      <c r="AA9" s="76" t="s">
        <v>5</v>
      </c>
      <c r="AB9" s="77"/>
      <c r="AC9" s="77"/>
      <c r="AD9" s="77"/>
      <c r="AE9" s="77"/>
      <c r="AF9" s="77"/>
      <c r="AG9" s="295">
        <f>'3 Side Seal Zipper Pouch'!C5</f>
        <v>0</v>
      </c>
      <c r="AH9" s="242"/>
      <c r="AI9" s="242"/>
      <c r="AJ9" s="242"/>
      <c r="AK9" s="242"/>
      <c r="AL9" s="243"/>
    </row>
    <row r="10" spans="1:38" ht="3.95" customHeight="1" x14ac:dyDescent="0.2"/>
    <row r="11" spans="1:38" ht="15" customHeight="1" x14ac:dyDescent="0.2">
      <c r="A11" s="76" t="s">
        <v>252</v>
      </c>
      <c r="B11" s="77"/>
      <c r="C11" s="77"/>
      <c r="D11" s="77"/>
      <c r="E11" s="77"/>
      <c r="F11" s="77"/>
      <c r="G11" s="245"/>
      <c r="H11" s="245"/>
      <c r="I11" s="245"/>
      <c r="J11" s="242">
        <f>'3 Side Seal Zipper Pouch'!C11</f>
        <v>0</v>
      </c>
      <c r="K11" s="242"/>
      <c r="L11" s="242"/>
      <c r="M11" s="242"/>
      <c r="N11" s="242"/>
      <c r="O11" s="242"/>
      <c r="P11" s="242"/>
      <c r="Q11" s="242"/>
      <c r="R11" s="242"/>
      <c r="S11" s="242"/>
      <c r="T11" s="242"/>
      <c r="U11" s="242"/>
      <c r="V11" s="242"/>
      <c r="W11" s="242"/>
      <c r="X11" s="242"/>
      <c r="Y11" s="243"/>
      <c r="AA11" s="76" t="s">
        <v>202</v>
      </c>
      <c r="AB11" s="77"/>
      <c r="AC11" s="77"/>
      <c r="AD11" s="77"/>
      <c r="AE11" s="77"/>
      <c r="AF11" s="77"/>
      <c r="AG11" s="295">
        <f>'3 Side Seal Zipper Pouch'!I11</f>
        <v>0</v>
      </c>
      <c r="AH11" s="242"/>
      <c r="AI11" s="242"/>
      <c r="AJ11" s="242"/>
      <c r="AK11" s="242"/>
      <c r="AL11" s="243"/>
    </row>
    <row r="12" spans="1:38" ht="3.95" customHeight="1" x14ac:dyDescent="0.2"/>
    <row r="13" spans="1:38" ht="15" customHeight="1" x14ac:dyDescent="0.2">
      <c r="A13" s="76" t="s">
        <v>48</v>
      </c>
      <c r="B13" s="77"/>
      <c r="C13" s="77"/>
      <c r="D13" s="77"/>
      <c r="E13" s="77"/>
      <c r="F13" s="77"/>
      <c r="G13" s="242" t="str">
        <f>'3 Side Seal Zipper Pouch'!C13</f>
        <v xml:space="preserve">       </v>
      </c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3"/>
      <c r="AA13" s="76" t="s">
        <v>72</v>
      </c>
      <c r="AB13" s="77"/>
      <c r="AC13" s="77"/>
      <c r="AD13" s="77"/>
      <c r="AE13" s="77"/>
      <c r="AF13" s="77"/>
      <c r="AG13" s="245">
        <f>'3 Side Seal Zipper Pouch'!I9</f>
        <v>0</v>
      </c>
      <c r="AH13" s="245"/>
      <c r="AI13" s="245"/>
      <c r="AJ13" s="245"/>
      <c r="AK13" s="245"/>
      <c r="AL13" s="246"/>
    </row>
    <row r="14" spans="1:38" ht="3.95" customHeight="1" x14ac:dyDescent="0.2"/>
    <row r="15" spans="1:38" ht="15" customHeight="1" x14ac:dyDescent="0.2">
      <c r="A15" s="76" t="s">
        <v>194</v>
      </c>
      <c r="B15" s="77"/>
      <c r="C15" s="77"/>
      <c r="D15" s="77"/>
      <c r="E15" s="77"/>
      <c r="F15" s="77"/>
      <c r="G15" s="130" t="s">
        <v>195</v>
      </c>
      <c r="H15" s="83"/>
      <c r="I15" s="83"/>
      <c r="J15" s="275" t="e">
        <f>VLOOKUP(M15,'GL Codes'!A1:C200,3,FALSE)</f>
        <v>#N/A</v>
      </c>
      <c r="K15" s="275"/>
      <c r="L15" s="275"/>
      <c r="M15" s="284">
        <f>'3 Side Seal Zipper Pouch'!I5</f>
        <v>0</v>
      </c>
      <c r="N15" s="284"/>
      <c r="O15" s="285"/>
      <c r="P15"/>
      <c r="Q15" s="261" t="s">
        <v>192</v>
      </c>
      <c r="R15" s="286"/>
      <c r="S15" s="286"/>
      <c r="T15" s="286"/>
      <c r="U15" s="286"/>
      <c r="V15" s="295">
        <f>'3 Side Seal Zipper Pouch'!I13</f>
        <v>0</v>
      </c>
      <c r="W15" s="295"/>
      <c r="X15" s="295"/>
      <c r="Y15" s="311"/>
      <c r="Z15" s="93"/>
      <c r="AA15" s="61"/>
      <c r="AB15" s="61"/>
      <c r="AC15" s="61"/>
      <c r="AD15" s="61"/>
      <c r="AE15" s="61"/>
      <c r="AF15" s="79"/>
      <c r="AG15" s="76" t="s">
        <v>196</v>
      </c>
      <c r="AH15" s="77"/>
      <c r="AI15" s="77"/>
      <c r="AJ15" s="245"/>
      <c r="AK15" s="245"/>
      <c r="AL15" s="246"/>
    </row>
    <row r="16" spans="1:38" ht="3.95" customHeight="1" thickBot="1" x14ac:dyDescent="0.25"/>
    <row r="17" spans="1:38" ht="15.95" customHeight="1" thickBot="1" x14ac:dyDescent="0.25">
      <c r="A17" s="124" t="s">
        <v>284</v>
      </c>
      <c r="B17" s="125"/>
      <c r="C17" s="125"/>
      <c r="D17" s="125"/>
      <c r="E17" s="125"/>
      <c r="F17" s="125"/>
      <c r="G17" s="125"/>
      <c r="H17" s="132"/>
      <c r="I17" s="307"/>
      <c r="J17" s="307"/>
      <c r="K17" s="307"/>
      <c r="L17" s="307"/>
      <c r="M17" s="307"/>
      <c r="N17" s="307"/>
      <c r="O17" s="307"/>
      <c r="P17" s="307"/>
      <c r="Q17" s="307"/>
      <c r="R17" s="307"/>
      <c r="S17" s="307"/>
      <c r="T17" s="307"/>
      <c r="U17" s="307"/>
      <c r="V17" s="307"/>
      <c r="W17" s="307"/>
      <c r="X17" s="307"/>
      <c r="Y17" s="307"/>
      <c r="Z17" s="307"/>
      <c r="AA17" s="307"/>
      <c r="AB17" s="307"/>
      <c r="AC17" s="307"/>
      <c r="AD17" s="307"/>
      <c r="AE17" s="307"/>
      <c r="AF17" s="307"/>
      <c r="AG17" s="307"/>
      <c r="AH17" s="307"/>
      <c r="AI17" s="307"/>
      <c r="AJ17" s="307"/>
      <c r="AK17" s="307"/>
      <c r="AL17" s="308"/>
    </row>
    <row r="18" spans="1:38" ht="3.95" customHeight="1" x14ac:dyDescent="0.2"/>
    <row r="19" spans="1:38" ht="15.95" customHeight="1" x14ac:dyDescent="0.2">
      <c r="A19" s="260" t="s">
        <v>314</v>
      </c>
      <c r="B19" s="260"/>
      <c r="C19" s="260"/>
      <c r="D19" s="260"/>
      <c r="E19" s="260"/>
      <c r="F19" s="260"/>
      <c r="G19" s="260"/>
      <c r="H19" s="260"/>
      <c r="I19" s="260"/>
      <c r="J19" s="260"/>
      <c r="K19" s="260"/>
      <c r="L19" s="260"/>
      <c r="M19" s="260"/>
      <c r="N19" s="260"/>
      <c r="O19" s="260"/>
      <c r="P19" s="260"/>
      <c r="Q19" s="260"/>
      <c r="R19" s="260"/>
      <c r="S19" s="260"/>
      <c r="T19" s="260"/>
      <c r="U19" s="260"/>
      <c r="V19" s="260"/>
      <c r="W19" s="260"/>
      <c r="X19" s="260"/>
      <c r="Y19" s="126"/>
      <c r="Z19" s="85"/>
      <c r="AA19" s="75"/>
      <c r="AB19" s="75"/>
      <c r="AC19" s="75"/>
      <c r="AD19" s="75"/>
      <c r="AE19" s="75"/>
      <c r="AF19" s="75"/>
      <c r="AG19" s="75"/>
      <c r="AH19" s="75"/>
      <c r="AI19" s="75"/>
      <c r="AJ19" s="75"/>
      <c r="AK19" s="75"/>
      <c r="AL19" s="75"/>
    </row>
    <row r="20" spans="1:38" ht="3.95" customHeight="1" x14ac:dyDescent="0.2"/>
    <row r="21" spans="1:38" ht="15" customHeight="1" x14ac:dyDescent="0.2">
      <c r="A21" s="76" t="s">
        <v>111</v>
      </c>
      <c r="B21" s="77"/>
      <c r="C21" s="77"/>
      <c r="D21" s="77"/>
      <c r="E21" s="77"/>
      <c r="F21" s="77"/>
      <c r="G21" s="309" t="b">
        <f>IF('3 Side Seal Zipper Pouch'!C19="OD mm",'3 Side Seal Zipper Pouch'!F19,IF('3 Side Seal Zipper Pouch'!C19="OD in.",Data!C12,IF('3 Side Seal Zipper Pouch'!C19="ID in.",Data!C22,IF('3 Side Seal Zipper Pouch'!C19="ID mm","Calculate Manually"))))</f>
        <v>0</v>
      </c>
      <c r="H21" s="309"/>
      <c r="I21" s="309"/>
      <c r="J21" s="309"/>
      <c r="K21" s="309"/>
      <c r="L21" s="310"/>
      <c r="N21" s="76" t="s">
        <v>205</v>
      </c>
      <c r="O21" s="77"/>
      <c r="P21" s="77"/>
      <c r="Q21" s="77"/>
      <c r="R21" s="77"/>
      <c r="S21" s="77"/>
      <c r="T21" s="299" t="b">
        <f>IF('3 Side Seal Zipper Pouch'!C19="OD mm",'3 Side Seal Zipper Pouch'!I19,IF('3 Side Seal Zipper Pouch'!C19="OD in.",Data!F12,IF('3 Side Seal Zipper Pouch'!C19="ID in.",Data!F22,IF('3 Side Seal Zipper Pouch'!C19="ID mm","Calculate Manually"))))</f>
        <v>0</v>
      </c>
      <c r="U21" s="299"/>
      <c r="V21" s="299"/>
      <c r="W21" s="299"/>
      <c r="X21" s="299"/>
      <c r="Y21" s="300"/>
      <c r="AA21" s="76" t="s">
        <v>11</v>
      </c>
      <c r="AB21" s="77"/>
      <c r="AC21" s="77"/>
      <c r="AD21" s="77"/>
      <c r="AE21" s="77"/>
      <c r="AF21" s="77"/>
      <c r="AG21" s="299"/>
      <c r="AH21" s="299"/>
      <c r="AI21" s="299"/>
      <c r="AJ21" s="299"/>
      <c r="AK21" s="299"/>
      <c r="AL21" s="300"/>
    </row>
    <row r="22" spans="1:38" ht="3.95" customHeight="1" x14ac:dyDescent="0.2"/>
    <row r="23" spans="1:38" ht="15" customHeight="1" x14ac:dyDescent="0.2">
      <c r="A23" s="76" t="s">
        <v>120</v>
      </c>
      <c r="B23" s="77"/>
      <c r="C23" s="77"/>
      <c r="D23" s="77"/>
      <c r="E23" s="77"/>
      <c r="F23" s="77"/>
      <c r="G23" s="273" t="b">
        <f>IF('3 Side Seal Zipper Pouch'!C19="OD in.",'3 Side Seal Zipper Pouch'!F19,IF('3 Side Seal Zipper Pouch'!C19="OD mm",'3 Side Seal Zipper Pouch'!F19/25.4,IF('3 Side Seal Zipper Pouch'!C19="ID in.",G21/25.4,IF('3 Side Seal Zipper Pouch'!C19="ID mm",G21/25.4))))</f>
        <v>0</v>
      </c>
      <c r="H23" s="273"/>
      <c r="I23" s="273"/>
      <c r="J23" s="273"/>
      <c r="K23" s="273"/>
      <c r="L23" s="274"/>
      <c r="N23" s="76" t="s">
        <v>203</v>
      </c>
      <c r="O23" s="77"/>
      <c r="P23" s="77"/>
      <c r="Q23" s="77"/>
      <c r="R23" s="77"/>
      <c r="S23" s="77"/>
      <c r="T23" s="273" t="b">
        <f>IF('3 Side Seal Zipper Pouch'!C19="OD in.",'3 Side Seal Zipper Pouch'!I19,IF('3 Side Seal Zipper Pouch'!C19="OD mm",'3 Side Seal Zipper Pouch'!I19/25.4,IF('3 Side Seal Zipper Pouch'!C19="ID in.",T21/25.4,IF('3 Side Seal Zipper Pouch'!C19="ID mm",T21/25.4))))</f>
        <v>0</v>
      </c>
      <c r="U23" s="273"/>
      <c r="V23" s="273"/>
      <c r="W23" s="273"/>
      <c r="X23" s="273"/>
      <c r="Y23" s="274"/>
      <c r="AA23" s="76" t="s">
        <v>250</v>
      </c>
      <c r="AB23" s="77"/>
      <c r="AC23" s="77"/>
      <c r="AD23" s="77"/>
      <c r="AE23" s="77"/>
      <c r="AF23" s="77"/>
      <c r="AG23" s="303" t="e">
        <f>(((9.8806/AG21)*100)-100)-(((9.8806/AG21)*100)-100)-(((9.8806/AG21)*100)-100)</f>
        <v>#DIV/0!</v>
      </c>
      <c r="AH23" s="303"/>
      <c r="AI23" s="303"/>
      <c r="AJ23" s="303"/>
      <c r="AK23" s="303"/>
      <c r="AL23" s="304"/>
    </row>
    <row r="24" spans="1:38" ht="3.95" customHeight="1" x14ac:dyDescent="0.2"/>
    <row r="25" spans="1:38" ht="15" customHeight="1" x14ac:dyDescent="0.2">
      <c r="A25" s="76" t="s">
        <v>133</v>
      </c>
      <c r="B25" s="77"/>
      <c r="C25" s="77"/>
      <c r="D25" s="77"/>
      <c r="E25" s="77"/>
      <c r="F25" s="77"/>
      <c r="G25" s="242">
        <f>'3 Side Seal Zipper Pouch'!C21</f>
        <v>0</v>
      </c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3"/>
      <c r="T25" s="79"/>
      <c r="U25" s="76" t="s">
        <v>40</v>
      </c>
      <c r="V25" s="77"/>
      <c r="W25" s="77"/>
      <c r="X25" s="77"/>
      <c r="Y25" s="77"/>
      <c r="Z25" s="77"/>
      <c r="AA25" s="242">
        <f>'3 Side Seal Zipper Pouch'!I21</f>
        <v>0</v>
      </c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  <c r="AL25" s="243"/>
    </row>
    <row r="26" spans="1:38" ht="3.95" customHeight="1" x14ac:dyDescent="0.2"/>
    <row r="27" spans="1:38" ht="20.100000000000001" customHeight="1" x14ac:dyDescent="0.2">
      <c r="A27" s="312" t="s">
        <v>267</v>
      </c>
      <c r="B27" s="286"/>
      <c r="C27" s="286"/>
      <c r="D27" s="286"/>
      <c r="E27" s="286"/>
      <c r="F27" s="286"/>
      <c r="G27" s="314" t="b">
        <f>IF('3 Side Seal Zipper Pouch'!C23="N/A",'3 Side Seal Zipper Pouch'!F23,IF('3 Side Seal Zipper Pouch'!F23="N/A",'3 Side Seal Zipper Pouch'!C23))</f>
        <v>0</v>
      </c>
      <c r="H27" s="314"/>
      <c r="I27" s="314"/>
      <c r="J27" s="314"/>
      <c r="K27" s="314"/>
      <c r="L27" s="314"/>
      <c r="M27" s="314"/>
      <c r="N27" s="315"/>
      <c r="P27" s="76" t="s">
        <v>110</v>
      </c>
      <c r="Q27" s="77"/>
      <c r="R27" s="77"/>
      <c r="S27" s="77"/>
      <c r="T27" s="77"/>
      <c r="U27" s="242">
        <f>'3 Side Seal Zipper Pouch'!I23</f>
        <v>0</v>
      </c>
      <c r="V27" s="242"/>
      <c r="W27" s="242"/>
      <c r="X27" s="242"/>
      <c r="Y27" s="242"/>
      <c r="Z27" s="242"/>
      <c r="AA27" s="243"/>
      <c r="AB27"/>
      <c r="AC27"/>
      <c r="AD27"/>
      <c r="AE27"/>
      <c r="AF27"/>
      <c r="AG27"/>
      <c r="AH27"/>
      <c r="AI27"/>
      <c r="AJ27"/>
      <c r="AK27"/>
      <c r="AL27"/>
    </row>
    <row r="28" spans="1:38" ht="3.95" customHeight="1" x14ac:dyDescent="0.2"/>
    <row r="29" spans="1:38" ht="15" customHeight="1" x14ac:dyDescent="0.2">
      <c r="A29" s="76" t="s">
        <v>64</v>
      </c>
      <c r="B29" s="77"/>
      <c r="C29" s="77"/>
      <c r="D29" s="77"/>
      <c r="E29" s="77"/>
      <c r="F29" s="77"/>
      <c r="G29" s="242">
        <f>'3 Side Seal Zipper Pouch'!C25</f>
        <v>0</v>
      </c>
      <c r="H29" s="263"/>
      <c r="I29" s="263"/>
      <c r="J29" s="263"/>
      <c r="K29" s="263"/>
      <c r="L29" s="263"/>
      <c r="M29" s="263"/>
      <c r="N29" s="263"/>
      <c r="O29" s="263"/>
      <c r="P29" s="263"/>
      <c r="Q29" s="263"/>
      <c r="R29" s="263"/>
      <c r="S29" s="264"/>
      <c r="T29" s="79"/>
      <c r="U29" s="76" t="s">
        <v>116</v>
      </c>
      <c r="V29" s="77"/>
      <c r="W29" s="77"/>
      <c r="X29" s="77"/>
      <c r="Y29" s="77"/>
      <c r="Z29" s="77"/>
      <c r="AA29" s="242" t="b">
        <f>'3 Side Seal Zipper Pouch'!I25</f>
        <v>0</v>
      </c>
      <c r="AB29" s="263"/>
      <c r="AC29" s="263"/>
      <c r="AD29" s="263"/>
      <c r="AE29" s="263"/>
      <c r="AF29" s="263"/>
      <c r="AG29" s="263"/>
      <c r="AH29" s="263"/>
      <c r="AI29" s="263"/>
      <c r="AJ29" s="263"/>
      <c r="AK29" s="263"/>
      <c r="AL29" s="264"/>
    </row>
    <row r="30" spans="1:38" ht="3.95" customHeight="1" x14ac:dyDescent="0.2"/>
    <row r="31" spans="1:38" ht="20.100000000000001" customHeight="1" x14ac:dyDescent="0.2">
      <c r="A31" s="76" t="s">
        <v>296</v>
      </c>
      <c r="B31" s="77"/>
      <c r="C31" s="77"/>
      <c r="D31" s="77"/>
      <c r="E31" s="77"/>
      <c r="F31" s="77"/>
      <c r="G31" s="316">
        <f>'3 Side Seal Zipper Pouch'!C27</f>
        <v>0</v>
      </c>
      <c r="H31" s="317"/>
      <c r="I31" s="317"/>
      <c r="J31" s="317"/>
      <c r="K31" s="317"/>
      <c r="L31" s="318"/>
      <c r="N31" s="76" t="s">
        <v>39</v>
      </c>
      <c r="O31" s="77"/>
      <c r="P31" s="77"/>
      <c r="Q31" s="305" t="b">
        <f>'3 Side Seal Zipper Pouch'!I27</f>
        <v>0</v>
      </c>
      <c r="R31" s="305"/>
      <c r="S31" s="306"/>
      <c r="T31" s="255" t="b">
        <f>'3 Side Seal Zipper Pouch'!F27</f>
        <v>0</v>
      </c>
      <c r="U31" s="242"/>
      <c r="V31" s="242"/>
      <c r="W31" s="242"/>
      <c r="X31" s="242"/>
      <c r="Y31" s="242"/>
      <c r="Z31" s="242"/>
      <c r="AA31" s="242"/>
      <c r="AB31" s="242"/>
      <c r="AC31" s="242"/>
      <c r="AD31" s="242"/>
      <c r="AE31" s="242"/>
      <c r="AF31" s="242"/>
      <c r="AG31" s="242"/>
      <c r="AH31" s="242"/>
      <c r="AI31" s="242"/>
      <c r="AJ31" s="242"/>
      <c r="AK31" s="242"/>
      <c r="AL31" s="243"/>
    </row>
    <row r="32" spans="1:38" ht="3.95" customHeight="1" x14ac:dyDescent="0.2"/>
    <row r="33" spans="1:51" ht="20.100000000000001" customHeight="1" x14ac:dyDescent="0.2">
      <c r="A33" s="76" t="s">
        <v>44</v>
      </c>
      <c r="B33" s="77"/>
      <c r="C33" s="77"/>
      <c r="D33" s="77"/>
      <c r="E33" s="77"/>
      <c r="F33" s="77"/>
      <c r="G33" s="242">
        <f>'3 Side Seal Zipper Pouch'!C29</f>
        <v>0</v>
      </c>
      <c r="H33" s="263"/>
      <c r="I33" s="263"/>
      <c r="J33" s="263"/>
      <c r="K33" s="263"/>
      <c r="L33" s="264"/>
      <c r="N33" s="76" t="s">
        <v>39</v>
      </c>
      <c r="O33" s="77"/>
      <c r="P33" s="77"/>
      <c r="Q33" s="305" t="b">
        <f>'3 Side Seal Zipper Pouch'!I29</f>
        <v>0</v>
      </c>
      <c r="R33" s="305"/>
      <c r="S33" s="306"/>
      <c r="T33" s="255" t="b">
        <f>'3 Side Seal Zipper Pouch'!F29</f>
        <v>0</v>
      </c>
      <c r="U33" s="242"/>
      <c r="V33" s="242"/>
      <c r="W33" s="242"/>
      <c r="X33" s="242"/>
      <c r="Y33" s="242"/>
      <c r="Z33" s="242"/>
      <c r="AA33" s="242"/>
      <c r="AB33" s="242"/>
      <c r="AC33" s="242"/>
      <c r="AD33" s="242"/>
      <c r="AE33" s="242"/>
      <c r="AF33" s="242"/>
      <c r="AG33" s="242"/>
      <c r="AH33" s="242"/>
      <c r="AI33" s="242"/>
      <c r="AJ33" s="242"/>
      <c r="AK33" s="242"/>
      <c r="AL33" s="243"/>
    </row>
    <row r="34" spans="1:51" ht="3.95" customHeight="1" x14ac:dyDescent="0.2">
      <c r="A34" s="86"/>
      <c r="B34" s="86"/>
      <c r="C34" s="86"/>
      <c r="D34" s="86"/>
      <c r="E34" s="86"/>
      <c r="F34" s="86"/>
    </row>
    <row r="35" spans="1:51" ht="20.100000000000001" customHeight="1" x14ac:dyDescent="0.2">
      <c r="A35" s="76" t="s">
        <v>302</v>
      </c>
      <c r="B35" s="77"/>
      <c r="C35" s="77"/>
      <c r="D35" s="77"/>
      <c r="E35" s="77"/>
      <c r="F35" s="77"/>
      <c r="G35" s="316">
        <f>'3 Side Seal Zipper Pouch'!C31</f>
        <v>0</v>
      </c>
      <c r="H35" s="317"/>
      <c r="I35" s="317"/>
      <c r="J35" s="317"/>
      <c r="K35" s="317"/>
      <c r="L35" s="318"/>
      <c r="N35" s="76" t="s">
        <v>39</v>
      </c>
      <c r="O35" s="77"/>
      <c r="P35" s="77"/>
      <c r="Q35" s="242" t="b">
        <f>'3 Side Seal Zipper Pouch'!F31</f>
        <v>0</v>
      </c>
      <c r="R35" s="242"/>
      <c r="S35" s="242"/>
      <c r="T35" s="242"/>
      <c r="U35" s="242"/>
      <c r="V35" s="242"/>
      <c r="W35" s="242"/>
      <c r="X35" s="242"/>
      <c r="Y35" s="242"/>
      <c r="Z35" s="242"/>
      <c r="AA35" s="242"/>
      <c r="AB35" s="242"/>
      <c r="AC35" s="242"/>
      <c r="AD35" s="242"/>
      <c r="AE35" s="242"/>
      <c r="AF35" s="242"/>
      <c r="AG35" s="242"/>
      <c r="AH35" s="242"/>
      <c r="AI35" s="242"/>
      <c r="AJ35" s="242"/>
      <c r="AK35" s="242"/>
      <c r="AL35" s="243"/>
    </row>
    <row r="36" spans="1:51" ht="3.95" customHeight="1" x14ac:dyDescent="0.2">
      <c r="A36" s="86"/>
      <c r="B36" s="86"/>
      <c r="C36" s="86"/>
      <c r="D36" s="86"/>
      <c r="E36" s="86"/>
      <c r="F36" s="86"/>
    </row>
    <row r="37" spans="1:51" ht="15" customHeight="1" x14ac:dyDescent="0.2">
      <c r="A37" s="76" t="s">
        <v>136</v>
      </c>
      <c r="B37" s="77"/>
      <c r="C37" s="77"/>
      <c r="D37" s="77"/>
      <c r="E37" s="77"/>
      <c r="F37" s="77"/>
      <c r="G37" s="242">
        <f>'3 Side Seal Zipper Pouch'!C33</f>
        <v>0</v>
      </c>
      <c r="H37" s="242"/>
      <c r="I37" s="243"/>
      <c r="J37" s="142" t="s">
        <v>137</v>
      </c>
      <c r="K37" s="140"/>
      <c r="L37" s="140"/>
      <c r="M37" s="140"/>
      <c r="N37" s="242" t="b">
        <f>'3 Side Seal Zipper Pouch'!F33</f>
        <v>0</v>
      </c>
      <c r="O37" s="242"/>
      <c r="P37" s="242"/>
      <c r="Q37" s="242"/>
      <c r="R37" s="242"/>
      <c r="S37" s="242"/>
      <c r="T37" s="243"/>
      <c r="U37" s="142" t="s">
        <v>241</v>
      </c>
      <c r="V37" s="78"/>
      <c r="W37" s="78"/>
      <c r="X37" s="242" t="b">
        <f>'3 Side Seal Zipper Pouch'!C35</f>
        <v>0</v>
      </c>
      <c r="Y37" s="242"/>
      <c r="Z37" s="242"/>
      <c r="AA37" s="242"/>
      <c r="AB37" s="242"/>
      <c r="AC37" s="243"/>
      <c r="AD37" s="87" t="s">
        <v>303</v>
      </c>
      <c r="AE37" s="88"/>
      <c r="AF37" s="88"/>
      <c r="AG37" s="88"/>
      <c r="AH37" s="242" t="b">
        <f>'3 Side Seal Zipper Pouch'!I35</f>
        <v>0</v>
      </c>
      <c r="AI37" s="242"/>
      <c r="AJ37" s="242"/>
      <c r="AK37" s="242"/>
      <c r="AL37" s="243"/>
    </row>
    <row r="38" spans="1:51" ht="3.95" customHeight="1" x14ac:dyDescent="0.2"/>
    <row r="39" spans="1:51" ht="15" customHeight="1" x14ac:dyDescent="0.2">
      <c r="A39" s="76" t="s">
        <v>17</v>
      </c>
      <c r="B39" s="77"/>
      <c r="C39" s="77"/>
      <c r="D39" s="77"/>
      <c r="E39" s="77"/>
      <c r="F39" s="77"/>
      <c r="G39" s="242" t="b">
        <f>'3 Side Seal Zipper Pouch'!F35</f>
        <v>0</v>
      </c>
      <c r="H39" s="242"/>
      <c r="I39" s="242"/>
      <c r="J39" s="242"/>
      <c r="K39" s="242"/>
      <c r="L39" s="243"/>
      <c r="M39" s="142" t="s">
        <v>307</v>
      </c>
      <c r="N39" s="77"/>
      <c r="O39" s="77"/>
      <c r="P39" s="77"/>
      <c r="Q39" s="77"/>
      <c r="R39" s="77"/>
      <c r="S39" s="242" t="b">
        <f>'3 Side Seal Zipper Pouch'!I33</f>
        <v>0</v>
      </c>
      <c r="T39" s="242"/>
      <c r="U39" s="242"/>
      <c r="V39" s="141" t="s">
        <v>92</v>
      </c>
      <c r="W39" s="143"/>
      <c r="X39" s="143"/>
      <c r="Y39" s="278">
        <f>'3 Side Seal Zipper Pouch'!C37</f>
        <v>0</v>
      </c>
      <c r="Z39" s="278"/>
      <c r="AA39" s="278"/>
      <c r="AB39" s="278"/>
      <c r="AC39" s="278"/>
      <c r="AD39" s="278"/>
      <c r="AE39" s="278"/>
      <c r="AF39" s="278"/>
      <c r="AG39" s="278"/>
      <c r="AH39" s="278"/>
      <c r="AI39" s="278"/>
      <c r="AJ39" s="278"/>
      <c r="AK39" s="278"/>
      <c r="AL39" s="278"/>
    </row>
    <row r="40" spans="1:51" ht="3.95" customHeight="1" x14ac:dyDescent="0.2"/>
    <row r="41" spans="1:51" ht="15" customHeight="1" x14ac:dyDescent="0.2">
      <c r="A41" s="76" t="s">
        <v>282</v>
      </c>
      <c r="B41" s="77"/>
      <c r="C41" s="77"/>
      <c r="D41" s="242">
        <f>'3 Side Seal Zipper Pouch'!C39</f>
        <v>0</v>
      </c>
      <c r="E41" s="243"/>
      <c r="F41" s="76" t="s">
        <v>281</v>
      </c>
      <c r="G41" s="77"/>
      <c r="H41" s="77"/>
      <c r="I41" s="77"/>
      <c r="J41" s="77"/>
      <c r="K41" s="269" t="b">
        <f>'3 Side Seal Zipper Pouch'!F39</f>
        <v>0</v>
      </c>
      <c r="L41" s="269"/>
      <c r="M41" s="269"/>
      <c r="N41" s="269"/>
      <c r="O41" s="269"/>
      <c r="P41" s="269"/>
      <c r="Q41" s="269"/>
      <c r="R41" s="269"/>
      <c r="S41" s="269"/>
      <c r="T41" s="269"/>
      <c r="U41" s="269"/>
      <c r="V41" s="270"/>
      <c r="W41" s="312" t="s">
        <v>299</v>
      </c>
      <c r="X41" s="313"/>
      <c r="Y41" s="313"/>
      <c r="Z41" s="313"/>
      <c r="AA41" s="313"/>
      <c r="AB41" s="269" t="b">
        <f>'3 Side Seal Zipper Pouch'!F41</f>
        <v>0</v>
      </c>
      <c r="AC41" s="269"/>
      <c r="AD41" s="269"/>
      <c r="AE41" s="269"/>
      <c r="AF41" s="269"/>
      <c r="AG41" s="269"/>
      <c r="AH41" s="269"/>
      <c r="AI41" s="269"/>
      <c r="AJ41" s="269"/>
      <c r="AK41" s="269"/>
      <c r="AL41" s="270"/>
    </row>
    <row r="42" spans="1:51" ht="3.95" customHeight="1" x14ac:dyDescent="0.2"/>
    <row r="43" spans="1:51" ht="15.95" customHeight="1" x14ac:dyDescent="0.2">
      <c r="A43" s="260" t="s">
        <v>290</v>
      </c>
      <c r="B43" s="260"/>
      <c r="C43" s="260"/>
      <c r="D43" s="260"/>
      <c r="E43" s="260"/>
      <c r="F43" s="260"/>
      <c r="G43" s="260"/>
      <c r="H43" s="260"/>
      <c r="I43" s="260"/>
      <c r="J43" s="260"/>
      <c r="K43" s="260"/>
      <c r="L43" s="260"/>
      <c r="M43" s="260"/>
      <c r="N43" s="260"/>
      <c r="O43" s="260"/>
      <c r="P43" s="260"/>
      <c r="Q43" s="260"/>
      <c r="R43" s="260"/>
      <c r="S43" s="260"/>
      <c r="T43" s="75"/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  <c r="AH43" s="75"/>
      <c r="AI43" s="75"/>
      <c r="AJ43" s="75"/>
      <c r="AK43" s="75"/>
      <c r="AL43" s="75"/>
    </row>
    <row r="44" spans="1:51" ht="3.95" customHeight="1" x14ac:dyDescent="0.2"/>
    <row r="45" spans="1:51" ht="15" customHeight="1" x14ac:dyDescent="0.2">
      <c r="A45" s="76" t="s">
        <v>57</v>
      </c>
      <c r="B45" s="77"/>
      <c r="C45" s="77"/>
      <c r="D45" s="77"/>
      <c r="E45" s="242">
        <f>'3 Side Seal Zipper Pouch'!F49</f>
        <v>0</v>
      </c>
      <c r="F45" s="242"/>
      <c r="G45" s="242"/>
      <c r="H45" s="242"/>
      <c r="I45" s="242"/>
      <c r="J45" s="242"/>
      <c r="K45" s="242"/>
      <c r="L45" s="242"/>
      <c r="M45" s="242"/>
      <c r="N45" s="242"/>
      <c r="O45" s="242"/>
      <c r="P45" s="242"/>
      <c r="Q45" s="242"/>
      <c r="R45" s="242"/>
      <c r="S45" s="243"/>
      <c r="T45" s="79"/>
      <c r="U45" s="76" t="s">
        <v>199</v>
      </c>
      <c r="V45" s="77"/>
      <c r="W45" s="269">
        <f>'3 Side Seal Zipper Pouch'!F47</f>
        <v>0</v>
      </c>
      <c r="X45" s="269"/>
      <c r="Y45" s="269"/>
      <c r="Z45" s="269"/>
      <c r="AA45" s="269"/>
      <c r="AB45" s="269"/>
      <c r="AC45" s="269"/>
      <c r="AD45" s="269"/>
      <c r="AE45" s="269"/>
      <c r="AF45" s="269"/>
      <c r="AG45" s="269"/>
      <c r="AH45" s="269"/>
      <c r="AI45" s="269"/>
      <c r="AJ45" s="269"/>
      <c r="AK45" s="269"/>
      <c r="AL45" s="270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ht="3.95" customHeight="1" x14ac:dyDescent="0.2"/>
    <row r="47" spans="1:51" ht="15" customHeight="1" x14ac:dyDescent="0.2">
      <c r="A47" s="76" t="s">
        <v>297</v>
      </c>
      <c r="B47" s="77"/>
      <c r="C47" s="77"/>
      <c r="D47" s="77"/>
      <c r="E47" s="242">
        <f>'3 Side Seal Zipper Pouch'!F55</f>
        <v>0</v>
      </c>
      <c r="F47" s="242"/>
      <c r="G47" s="242"/>
      <c r="H47" s="242"/>
      <c r="I47" s="242"/>
      <c r="J47" s="243"/>
      <c r="L47" s="267" t="s">
        <v>289</v>
      </c>
      <c r="M47" s="268"/>
      <c r="N47" s="268"/>
      <c r="O47" s="268"/>
      <c r="P47" s="245" t="s">
        <v>123</v>
      </c>
      <c r="Q47" s="245"/>
      <c r="R47" s="245"/>
      <c r="S47" s="245"/>
      <c r="T47" s="241" t="str">
        <f>IF(P47="Other:","Enter material here", IF(P47="N/A","N/A", IF(P47="Metalized","N/A", IF(AI45="White","N/A", IF(P47="Clear","N/A", IF(P47="White","N/A"))))))</f>
        <v>N/A</v>
      </c>
      <c r="U47" s="241"/>
      <c r="V47" s="241"/>
      <c r="W47" s="241"/>
      <c r="X47" s="241"/>
      <c r="Y47" s="241"/>
      <c r="Z47" s="241"/>
      <c r="AA47" s="241"/>
      <c r="AB47" s="241"/>
      <c r="AC47"/>
      <c r="AD47" s="87" t="s">
        <v>304</v>
      </c>
      <c r="AE47" s="88"/>
      <c r="AF47" s="88"/>
      <c r="AG47" s="88"/>
      <c r="AH47" s="88"/>
      <c r="AI47" s="242">
        <f>'3 Side Seal Zipper Pouch'!C49</f>
        <v>0</v>
      </c>
      <c r="AJ47" s="242"/>
      <c r="AK47" s="242"/>
      <c r="AL47" s="243"/>
      <c r="AM47"/>
      <c r="AN47"/>
      <c r="AO47"/>
      <c r="AP47"/>
      <c r="AQ47"/>
      <c r="AR47"/>
      <c r="AS47"/>
      <c r="AT47"/>
      <c r="AU47"/>
    </row>
    <row r="48" spans="1:51" ht="3.95" customHeight="1" x14ac:dyDescent="0.2"/>
    <row r="49" spans="1:40" ht="15.95" customHeight="1" x14ac:dyDescent="0.2">
      <c r="A49" s="84" t="s">
        <v>184</v>
      </c>
      <c r="B49" s="75"/>
      <c r="C49" s="75"/>
      <c r="D49" s="75"/>
      <c r="E49" s="75"/>
      <c r="F49" s="75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80"/>
      <c r="S49" s="121"/>
      <c r="T49" s="80"/>
      <c r="V49" s="84" t="s">
        <v>83</v>
      </c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  <c r="AH49" s="75"/>
      <c r="AI49" s="75"/>
      <c r="AJ49" s="75"/>
      <c r="AK49" s="75"/>
      <c r="AL49" s="75"/>
    </row>
    <row r="50" spans="1:40" ht="3.95" customHeight="1" x14ac:dyDescent="0.2"/>
    <row r="51" spans="1:40" ht="15.95" customHeight="1" x14ac:dyDescent="0.2">
      <c r="A51" s="76" t="s">
        <v>242</v>
      </c>
      <c r="B51" s="77"/>
      <c r="C51" s="77"/>
      <c r="D51" s="77"/>
      <c r="E51" s="245" t="b">
        <f>IF(Data!L5=2,"N/A",IF(Data!L5=3," "))</f>
        <v>0</v>
      </c>
      <c r="F51" s="265"/>
      <c r="G51" s="265"/>
      <c r="H51" s="266"/>
      <c r="I51" s="79"/>
      <c r="J51" s="76" t="s">
        <v>243</v>
      </c>
      <c r="K51" s="77"/>
      <c r="L51" s="77"/>
      <c r="M51" s="77"/>
      <c r="N51" s="245" t="b">
        <f>IF(Data!L5=2,"N/A",IF(Data!L5=3," "))</f>
        <v>0</v>
      </c>
      <c r="O51" s="265"/>
      <c r="P51" s="265"/>
      <c r="Q51" s="266"/>
      <c r="R51" s="79"/>
      <c r="V51" s="76" t="s">
        <v>242</v>
      </c>
      <c r="W51" s="77"/>
      <c r="X51" s="77"/>
      <c r="Y51" s="77"/>
      <c r="Z51" s="245" t="b">
        <f>IF(Data!L5=1,"N/A",IF(Data!L5=3," "))</f>
        <v>0</v>
      </c>
      <c r="AA51" s="245"/>
      <c r="AB51" s="245"/>
      <c r="AC51" s="246"/>
      <c r="AE51" s="76" t="s">
        <v>243</v>
      </c>
      <c r="AF51" s="77"/>
      <c r="AG51" s="77"/>
      <c r="AH51" s="77"/>
      <c r="AI51" s="245" t="b">
        <f>IF(Data!L5=1,"N/A",IF(Data!L5=3," "))</f>
        <v>0</v>
      </c>
      <c r="AJ51" s="245"/>
      <c r="AK51" s="245"/>
      <c r="AL51" s="246"/>
    </row>
    <row r="52" spans="1:40" ht="3.95" customHeight="1" x14ac:dyDescent="0.2">
      <c r="A52" s="79"/>
      <c r="B52" s="79"/>
      <c r="C52" s="79"/>
      <c r="D52" s="79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</row>
    <row r="53" spans="1:40" ht="15.95" customHeight="1" x14ac:dyDescent="0.2">
      <c r="A53" s="261" t="s">
        <v>298</v>
      </c>
      <c r="B53" s="262"/>
      <c r="C53" s="262"/>
      <c r="D53" s="262"/>
      <c r="E53" s="262"/>
      <c r="F53" s="242">
        <f>'3 Side Seal Zipper Pouch'!C63</f>
        <v>0</v>
      </c>
      <c r="G53" s="244"/>
      <c r="H53" s="244"/>
      <c r="I53" s="244"/>
      <c r="J53" s="244"/>
      <c r="K53" s="93"/>
      <c r="L53" s="61"/>
      <c r="M53" s="61"/>
      <c r="N53"/>
      <c r="O53"/>
      <c r="P53"/>
      <c r="Q53"/>
      <c r="R53" s="79"/>
      <c r="S53" s="79"/>
      <c r="T53" s="79"/>
      <c r="U53" s="79"/>
      <c r="V53" s="276" t="s">
        <v>248</v>
      </c>
      <c r="W53" s="277"/>
      <c r="X53" s="277"/>
      <c r="Y53" s="277"/>
      <c r="Z53" s="277"/>
      <c r="AA53" s="242">
        <f>'3 Side Seal Zipper Pouch'!C77</f>
        <v>0</v>
      </c>
      <c r="AB53" s="263"/>
      <c r="AC53" s="263"/>
      <c r="AD53" s="263"/>
      <c r="AE53" s="264"/>
      <c r="AF53"/>
      <c r="AG53"/>
      <c r="AH53"/>
      <c r="AI53"/>
      <c r="AJ53"/>
      <c r="AK53"/>
      <c r="AL53"/>
      <c r="AN53" s="80"/>
    </row>
    <row r="54" spans="1:40" ht="3.95" customHeight="1" x14ac:dyDescent="0.2">
      <c r="A54" s="79"/>
      <c r="B54" s="79"/>
      <c r="C54" s="79"/>
      <c r="D54" s="79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  <c r="AD54" s="79"/>
      <c r="AE54" s="79"/>
      <c r="AF54" s="79"/>
      <c r="AG54" s="79"/>
      <c r="AH54" s="79"/>
      <c r="AI54" s="79"/>
      <c r="AJ54" s="79"/>
      <c r="AK54" s="79"/>
      <c r="AL54" s="79"/>
    </row>
    <row r="55" spans="1:40" ht="27" customHeight="1" x14ac:dyDescent="0.2">
      <c r="A55" s="258" t="s">
        <v>300</v>
      </c>
      <c r="B55" s="259"/>
      <c r="C55" s="259"/>
      <c r="D55" s="259"/>
      <c r="E55" s="242">
        <f>'3 Side Seal Zipper Pouch'!C65</f>
        <v>0</v>
      </c>
      <c r="F55" s="263"/>
      <c r="G55" s="263"/>
      <c r="H55" s="264"/>
      <c r="I55" s="79"/>
      <c r="J55" s="258" t="s">
        <v>301</v>
      </c>
      <c r="K55" s="259"/>
      <c r="L55" s="259"/>
      <c r="M55" s="259"/>
      <c r="N55" s="242">
        <f>'3 Side Seal Zipper Pouch'!C67</f>
        <v>0</v>
      </c>
      <c r="O55" s="263"/>
      <c r="P55" s="263"/>
      <c r="Q55" s="264"/>
      <c r="R55" s="79"/>
      <c r="S55" s="79"/>
      <c r="T55" s="79"/>
      <c r="U55" s="79"/>
      <c r="V55" s="258" t="s">
        <v>300</v>
      </c>
      <c r="W55" s="259"/>
      <c r="X55" s="259"/>
      <c r="Y55" s="259"/>
      <c r="Z55" s="242">
        <f>'3 Side Seal Zipper Pouch'!C79</f>
        <v>0</v>
      </c>
      <c r="AA55" s="242"/>
      <c r="AB55" s="242"/>
      <c r="AC55" s="243"/>
      <c r="AD55" s="79"/>
      <c r="AE55" s="258" t="s">
        <v>301</v>
      </c>
      <c r="AF55" s="259"/>
      <c r="AG55" s="259"/>
      <c r="AH55" s="259"/>
      <c r="AI55" s="242">
        <f>'3 Side Seal Zipper Pouch'!C81</f>
        <v>0</v>
      </c>
      <c r="AJ55" s="242"/>
      <c r="AK55" s="242"/>
      <c r="AL55" s="243"/>
      <c r="AN55" s="120"/>
    </row>
    <row r="56" spans="1:40" ht="3.95" customHeight="1" x14ac:dyDescent="0.2">
      <c r="A56" s="79"/>
      <c r="B56" s="79"/>
      <c r="C56" s="79"/>
      <c r="D56" s="79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  <c r="AD56" s="79"/>
      <c r="AE56" s="79"/>
      <c r="AF56" s="79"/>
      <c r="AG56" s="79"/>
      <c r="AH56" s="79"/>
      <c r="AI56" s="79"/>
      <c r="AJ56" s="79"/>
      <c r="AK56" s="79"/>
      <c r="AL56" s="79"/>
    </row>
    <row r="57" spans="1:40" ht="15.95" customHeight="1" x14ac:dyDescent="0.2">
      <c r="A57" s="76" t="s">
        <v>245</v>
      </c>
      <c r="B57" s="77"/>
      <c r="C57" s="77"/>
      <c r="D57" s="77"/>
      <c r="E57" s="242" t="b">
        <f>'3 Side Seal Zipper Pouch'!F65</f>
        <v>0</v>
      </c>
      <c r="F57" s="242"/>
      <c r="G57" s="242"/>
      <c r="H57" s="243"/>
      <c r="I57" s="256" t="b">
        <f>'3 Side Seal Zipper Pouch'!G65</f>
        <v>0</v>
      </c>
      <c r="J57" s="257"/>
      <c r="K57" s="257"/>
      <c r="L57" s="257"/>
      <c r="M57" s="257"/>
      <c r="N57" s="257"/>
      <c r="O57" s="257"/>
      <c r="P57" s="257"/>
      <c r="Q57" s="257"/>
      <c r="R57" s="79"/>
      <c r="S57" s="79"/>
      <c r="T57" s="79"/>
      <c r="U57" s="79"/>
      <c r="V57" s="76" t="s">
        <v>245</v>
      </c>
      <c r="W57" s="77"/>
      <c r="X57" s="77"/>
      <c r="Y57" s="77"/>
      <c r="Z57" s="255" t="b">
        <f>'3 Side Seal Zipper Pouch'!F79</f>
        <v>0</v>
      </c>
      <c r="AA57" s="242"/>
      <c r="AB57" s="242"/>
      <c r="AC57" s="243"/>
      <c r="AD57" s="256" t="b">
        <f>'3 Side Seal Zipper Pouch'!G79</f>
        <v>0</v>
      </c>
      <c r="AE57" s="241"/>
      <c r="AF57" s="241"/>
      <c r="AG57" s="241"/>
      <c r="AH57" s="241"/>
      <c r="AI57" s="241"/>
      <c r="AJ57" s="241"/>
      <c r="AK57" s="241"/>
      <c r="AL57" s="241"/>
    </row>
    <row r="58" spans="1:40" ht="3.95" customHeight="1" x14ac:dyDescent="0.2">
      <c r="A58" s="79"/>
      <c r="B58" s="79"/>
      <c r="C58" s="79"/>
      <c r="D58" s="79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</row>
    <row r="59" spans="1:40" ht="20.100000000000001" customHeight="1" x14ac:dyDescent="0.2">
      <c r="A59" s="76" t="s">
        <v>244</v>
      </c>
      <c r="B59" s="77"/>
      <c r="C59" s="77"/>
      <c r="D59" s="77"/>
      <c r="E59" s="247" t="b">
        <f>'3 Side Seal Zipper Pouch'!F67</f>
        <v>0</v>
      </c>
      <c r="F59" s="247"/>
      <c r="G59" s="247"/>
      <c r="H59" s="248"/>
      <c r="I59" s="256" t="b">
        <f>'3 Side Seal Zipper Pouch'!G67</f>
        <v>0</v>
      </c>
      <c r="J59" s="257"/>
      <c r="K59" s="257"/>
      <c r="L59" s="257"/>
      <c r="M59" s="257"/>
      <c r="N59" s="257"/>
      <c r="O59" s="257"/>
      <c r="P59" s="257"/>
      <c r="Q59" s="257"/>
      <c r="R59" s="79"/>
      <c r="S59" s="79"/>
      <c r="T59" s="79"/>
      <c r="U59" s="79"/>
      <c r="V59" s="76" t="s">
        <v>244</v>
      </c>
      <c r="W59" s="77"/>
      <c r="X59" s="77"/>
      <c r="Y59" s="77"/>
      <c r="Z59" s="290" t="b">
        <f>'3 Side Seal Zipper Pouch'!F81</f>
        <v>0</v>
      </c>
      <c r="AA59" s="247"/>
      <c r="AB59" s="247"/>
      <c r="AC59" s="248"/>
      <c r="AD59" s="256" t="b">
        <f>'3 Side Seal Zipper Pouch'!G81</f>
        <v>0</v>
      </c>
      <c r="AE59" s="241"/>
      <c r="AF59" s="241"/>
      <c r="AG59" s="241"/>
      <c r="AH59" s="241"/>
      <c r="AI59" s="241"/>
      <c r="AJ59" s="241"/>
      <c r="AK59" s="241"/>
      <c r="AL59" s="241"/>
    </row>
    <row r="60" spans="1:40" ht="3.95" customHeight="1" x14ac:dyDescent="0.2">
      <c r="A60" s="79"/>
      <c r="B60" s="79"/>
      <c r="C60" s="79"/>
      <c r="D60" s="79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  <c r="AA60" s="79"/>
      <c r="AB60" s="79"/>
      <c r="AC60" s="79"/>
      <c r="AD60" s="79"/>
      <c r="AE60" s="79"/>
      <c r="AN60" s="96"/>
    </row>
    <row r="61" spans="1:40" ht="15.95" customHeight="1" x14ac:dyDescent="0.2">
      <c r="A61" s="84" t="s">
        <v>118</v>
      </c>
      <c r="B61" s="81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1"/>
      <c r="R61" s="79"/>
      <c r="S61" s="79"/>
      <c r="T61" s="79"/>
      <c r="V61" s="84" t="s">
        <v>240</v>
      </c>
      <c r="W61" s="81"/>
      <c r="X61" s="81"/>
      <c r="Y61" s="81"/>
      <c r="Z61" s="81"/>
      <c r="AA61" s="81"/>
      <c r="AB61" s="81"/>
      <c r="AC61" s="81"/>
      <c r="AD61" s="81"/>
      <c r="AE61" s="81"/>
      <c r="AF61" s="81"/>
      <c r="AG61" s="81"/>
      <c r="AH61" s="81"/>
      <c r="AI61" s="81"/>
      <c r="AJ61" s="81"/>
      <c r="AK61" s="81"/>
      <c r="AL61" s="75"/>
    </row>
    <row r="62" spans="1:40" ht="3.95" customHeight="1" x14ac:dyDescent="0.2">
      <c r="A62" s="79"/>
      <c r="B62" s="79"/>
      <c r="C62" s="79"/>
      <c r="D62" s="79"/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  <c r="AD62" s="79"/>
      <c r="AE62" s="79"/>
    </row>
    <row r="63" spans="1:40" ht="15.95" customHeight="1" x14ac:dyDescent="0.2">
      <c r="A63" s="235">
        <f>'3 Side Seal Zipper Pouch'!A59</f>
        <v>0</v>
      </c>
      <c r="B63" s="293"/>
      <c r="C63" s="293"/>
      <c r="D63" s="293"/>
      <c r="E63" s="293"/>
      <c r="F63" s="293"/>
      <c r="G63" s="293"/>
      <c r="H63" s="294"/>
      <c r="I63" s="79"/>
      <c r="J63" s="235">
        <f>'3 Side Seal Zipper Pouch'!A61</f>
        <v>0</v>
      </c>
      <c r="K63" s="293"/>
      <c r="L63" s="293"/>
      <c r="M63" s="293"/>
      <c r="N63" s="293"/>
      <c r="O63" s="293"/>
      <c r="P63" s="293"/>
      <c r="Q63" s="294"/>
      <c r="R63" s="79"/>
      <c r="S63" s="79"/>
      <c r="T63" s="79"/>
      <c r="U63" s="79"/>
      <c r="V63" s="235">
        <f>'3 Side Seal Zipper Pouch'!A73</f>
        <v>0</v>
      </c>
      <c r="W63" s="236"/>
      <c r="X63" s="236"/>
      <c r="Y63" s="236"/>
      <c r="Z63" s="236"/>
      <c r="AA63" s="236"/>
      <c r="AB63" s="236"/>
      <c r="AC63" s="237"/>
      <c r="AD63" s="79"/>
      <c r="AE63" s="235">
        <f>'3 Side Seal Zipper Pouch'!A75</f>
        <v>0</v>
      </c>
      <c r="AF63" s="236"/>
      <c r="AG63" s="236"/>
      <c r="AH63" s="236"/>
      <c r="AI63" s="236"/>
      <c r="AJ63" s="236"/>
      <c r="AK63" s="236"/>
      <c r="AL63" s="237"/>
    </row>
    <row r="64" spans="1:40" ht="3.95" customHeight="1" x14ac:dyDescent="0.2">
      <c r="A64" s="79"/>
      <c r="B64" s="79"/>
      <c r="C64" s="79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</row>
    <row r="65" spans="1:38" ht="15.95" customHeight="1" x14ac:dyDescent="0.2">
      <c r="A65" s="235">
        <f>'3 Side Seal Zipper Pouch'!C59</f>
        <v>0</v>
      </c>
      <c r="B65" s="236"/>
      <c r="C65" s="236"/>
      <c r="D65" s="236"/>
      <c r="E65" s="236"/>
      <c r="F65" s="236"/>
      <c r="G65" s="236"/>
      <c r="H65" s="237"/>
      <c r="I65" s="79"/>
      <c r="J65" s="235">
        <f>'3 Side Seal Zipper Pouch'!C61</f>
        <v>0</v>
      </c>
      <c r="K65" s="236"/>
      <c r="L65" s="236"/>
      <c r="M65" s="236"/>
      <c r="N65" s="236"/>
      <c r="O65" s="236"/>
      <c r="P65" s="236"/>
      <c r="Q65" s="237"/>
      <c r="R65" s="79"/>
      <c r="S65" s="79"/>
      <c r="T65" s="79"/>
      <c r="U65" s="79"/>
      <c r="V65" s="235">
        <f>'3 Side Seal Zipper Pouch'!C73</f>
        <v>0</v>
      </c>
      <c r="W65" s="236"/>
      <c r="X65" s="236"/>
      <c r="Y65" s="236"/>
      <c r="Z65" s="236"/>
      <c r="AA65" s="236"/>
      <c r="AB65" s="236"/>
      <c r="AC65" s="237"/>
      <c r="AD65" s="79"/>
      <c r="AE65" s="235">
        <f>'3 Side Seal Zipper Pouch'!C75</f>
        <v>0</v>
      </c>
      <c r="AF65" s="236"/>
      <c r="AG65" s="236"/>
      <c r="AH65" s="236"/>
      <c r="AI65" s="236"/>
      <c r="AJ65" s="236"/>
      <c r="AK65" s="236"/>
      <c r="AL65" s="237"/>
    </row>
    <row r="66" spans="1:38" ht="3.95" customHeight="1" x14ac:dyDescent="0.2"/>
    <row r="67" spans="1:38" ht="15.95" customHeight="1" x14ac:dyDescent="0.2">
      <c r="A67" s="235">
        <f>'3 Side Seal Zipper Pouch'!E59</f>
        <v>0</v>
      </c>
      <c r="B67" s="236"/>
      <c r="C67" s="236"/>
      <c r="D67" s="236"/>
      <c r="E67" s="236"/>
      <c r="F67" s="236"/>
      <c r="G67" s="236"/>
      <c r="H67" s="237"/>
      <c r="J67" s="235">
        <f>'3 Side Seal Zipper Pouch'!E61</f>
        <v>0</v>
      </c>
      <c r="K67" s="236"/>
      <c r="L67" s="236"/>
      <c r="M67" s="236"/>
      <c r="N67" s="236"/>
      <c r="O67" s="236"/>
      <c r="P67" s="236"/>
      <c r="Q67" s="237"/>
      <c r="V67" s="235">
        <f>'3 Side Seal Zipper Pouch'!E73</f>
        <v>0</v>
      </c>
      <c r="W67" s="236"/>
      <c r="X67" s="236"/>
      <c r="Y67" s="236"/>
      <c r="Z67" s="236"/>
      <c r="AA67" s="236"/>
      <c r="AB67" s="236"/>
      <c r="AC67" s="237"/>
      <c r="AE67" s="235">
        <f>'3 Side Seal Zipper Pouch'!E75</f>
        <v>0</v>
      </c>
      <c r="AF67" s="236"/>
      <c r="AG67" s="236"/>
      <c r="AH67" s="236"/>
      <c r="AI67" s="236"/>
      <c r="AJ67" s="236"/>
      <c r="AK67" s="236"/>
      <c r="AL67" s="237"/>
    </row>
    <row r="68" spans="1:38" ht="3.95" customHeight="1" x14ac:dyDescent="0.2"/>
    <row r="69" spans="1:38" ht="15.95" customHeight="1" x14ac:dyDescent="0.2">
      <c r="A69" s="235">
        <f>'3 Side Seal Zipper Pouch'!F59</f>
        <v>0</v>
      </c>
      <c r="B69" s="236"/>
      <c r="C69" s="236"/>
      <c r="D69" s="236"/>
      <c r="E69" s="236"/>
      <c r="F69" s="236"/>
      <c r="G69" s="236"/>
      <c r="H69" s="237"/>
      <c r="J69" s="235">
        <f>'3 Side Seal Zipper Pouch'!F61</f>
        <v>0</v>
      </c>
      <c r="K69" s="236"/>
      <c r="L69" s="236"/>
      <c r="M69" s="236"/>
      <c r="N69" s="236"/>
      <c r="O69" s="236"/>
      <c r="P69" s="236"/>
      <c r="Q69" s="237"/>
      <c r="V69" s="235">
        <f>'3 Side Seal Zipper Pouch'!F73</f>
        <v>0</v>
      </c>
      <c r="W69" s="236"/>
      <c r="X69" s="236"/>
      <c r="Y69" s="236"/>
      <c r="Z69" s="236"/>
      <c r="AA69" s="236"/>
      <c r="AB69" s="236"/>
      <c r="AC69" s="237"/>
      <c r="AE69" s="235">
        <f>'3 Side Seal Zipper Pouch'!F75</f>
        <v>0</v>
      </c>
      <c r="AF69" s="236"/>
      <c r="AG69" s="236"/>
      <c r="AH69" s="236"/>
      <c r="AI69" s="236"/>
      <c r="AJ69" s="236"/>
      <c r="AK69" s="236"/>
      <c r="AL69" s="237"/>
    </row>
    <row r="70" spans="1:38" ht="3.95" customHeight="1" x14ac:dyDescent="0.2"/>
    <row r="71" spans="1:38" ht="15.95" customHeight="1" x14ac:dyDescent="0.2">
      <c r="A71" s="235">
        <f>'3 Side Seal Zipper Pouch'!G59</f>
        <v>0</v>
      </c>
      <c r="B71" s="236"/>
      <c r="C71" s="236"/>
      <c r="D71" s="236"/>
      <c r="E71" s="236"/>
      <c r="F71" s="236"/>
      <c r="G71" s="236"/>
      <c r="H71" s="237"/>
      <c r="J71" s="235">
        <f>'3 Side Seal Zipper Pouch'!G61</f>
        <v>0</v>
      </c>
      <c r="K71" s="236"/>
      <c r="L71" s="236"/>
      <c r="M71" s="236"/>
      <c r="N71" s="236"/>
      <c r="O71" s="236"/>
      <c r="P71" s="236"/>
      <c r="Q71" s="237"/>
      <c r="V71" s="235">
        <f>'3 Side Seal Zipper Pouch'!G73</f>
        <v>0</v>
      </c>
      <c r="W71" s="236"/>
      <c r="X71" s="236"/>
      <c r="Y71" s="236"/>
      <c r="Z71" s="236"/>
      <c r="AA71" s="236"/>
      <c r="AB71" s="236"/>
      <c r="AC71" s="237"/>
      <c r="AE71" s="235">
        <f>'3 Side Seal Zipper Pouch'!G75</f>
        <v>0</v>
      </c>
      <c r="AF71" s="236"/>
      <c r="AG71" s="236"/>
      <c r="AH71" s="236"/>
      <c r="AI71" s="236"/>
      <c r="AJ71" s="236"/>
      <c r="AK71" s="236"/>
      <c r="AL71" s="237"/>
    </row>
    <row r="72" spans="1:38" ht="3.95" customHeight="1" x14ac:dyDescent="0.2"/>
    <row r="73" spans="1:38" ht="15.95" customHeight="1" x14ac:dyDescent="0.2">
      <c r="A73" s="235">
        <f>'3 Side Seal Zipper Pouch'!I59</f>
        <v>0</v>
      </c>
      <c r="B73" s="236"/>
      <c r="C73" s="236"/>
      <c r="D73" s="236"/>
      <c r="E73" s="236"/>
      <c r="F73" s="236"/>
      <c r="G73" s="236"/>
      <c r="H73" s="237"/>
      <c r="J73" s="235">
        <f>'3 Side Seal Zipper Pouch'!I61</f>
        <v>0</v>
      </c>
      <c r="K73" s="236"/>
      <c r="L73" s="236"/>
      <c r="M73" s="236"/>
      <c r="N73" s="236"/>
      <c r="O73" s="236"/>
      <c r="P73" s="236"/>
      <c r="Q73" s="237"/>
      <c r="V73" s="238">
        <f>'3 Side Seal Zipper Pouch'!I73</f>
        <v>0</v>
      </c>
      <c r="W73" s="239"/>
      <c r="X73" s="239"/>
      <c r="Y73" s="239"/>
      <c r="Z73" s="239"/>
      <c r="AA73" s="239"/>
      <c r="AB73" s="239"/>
      <c r="AC73" s="240"/>
      <c r="AE73" s="238">
        <f>'3 Side Seal Zipper Pouch'!I75</f>
        <v>0</v>
      </c>
      <c r="AF73" s="239"/>
      <c r="AG73" s="239"/>
      <c r="AH73" s="239"/>
      <c r="AI73" s="239"/>
      <c r="AJ73" s="239"/>
      <c r="AK73" s="239"/>
      <c r="AL73" s="240"/>
    </row>
    <row r="74" spans="1:38" s="79" customFormat="1" ht="3.95" customHeight="1" x14ac:dyDescent="0.2">
      <c r="A74" s="151"/>
      <c r="B74" s="151"/>
      <c r="C74" s="151"/>
      <c r="D74" s="151"/>
      <c r="E74" s="151"/>
      <c r="F74" s="151"/>
      <c r="G74" s="151"/>
      <c r="H74" s="151"/>
      <c r="J74" s="151"/>
      <c r="K74" s="151"/>
      <c r="L74" s="151"/>
      <c r="M74" s="151"/>
      <c r="N74" s="151"/>
      <c r="O74" s="151"/>
      <c r="P74" s="151"/>
      <c r="Q74" s="151"/>
      <c r="AB74" s="152"/>
      <c r="AC74" s="152"/>
      <c r="AD74" s="152"/>
      <c r="AE74" s="152"/>
      <c r="AF74" s="152"/>
      <c r="AG74" s="152"/>
      <c r="AH74" s="152"/>
      <c r="AI74" s="152"/>
      <c r="AJ74" s="152"/>
      <c r="AK74" s="152"/>
      <c r="AL74" s="152"/>
    </row>
    <row r="75" spans="1:38" ht="15.95" customHeight="1" x14ac:dyDescent="0.2">
      <c r="A75" s="84" t="s">
        <v>283</v>
      </c>
      <c r="B75" s="75"/>
      <c r="C75" s="75"/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75"/>
      <c r="AJ75" s="75"/>
      <c r="AK75" s="75"/>
      <c r="AL75" s="75"/>
    </row>
    <row r="76" spans="1:38" ht="3.95" customHeight="1" x14ac:dyDescent="0.2"/>
    <row r="77" spans="1:38" ht="15.95" customHeight="1" x14ac:dyDescent="0.2">
      <c r="A77" s="76" t="s">
        <v>152</v>
      </c>
      <c r="B77" s="77"/>
      <c r="C77" s="77"/>
      <c r="D77" s="77"/>
      <c r="E77" s="77"/>
      <c r="F77" s="77"/>
      <c r="G77" s="281">
        <f>G9</f>
        <v>0</v>
      </c>
      <c r="H77" s="281"/>
      <c r="I77" s="281"/>
      <c r="J77" s="281"/>
      <c r="K77" s="281"/>
      <c r="L77" s="281"/>
      <c r="M77" s="281"/>
      <c r="N77" s="281"/>
      <c r="O77" s="281"/>
      <c r="P77" s="281"/>
      <c r="Q77" s="281"/>
      <c r="R77" s="281"/>
      <c r="S77" s="281"/>
      <c r="T77" s="281"/>
      <c r="U77" s="281"/>
      <c r="V77" s="281"/>
      <c r="W77" s="281"/>
      <c r="X77" s="281"/>
      <c r="Y77" s="282"/>
      <c r="AA77" s="82" t="s">
        <v>68</v>
      </c>
      <c r="AB77" s="77"/>
      <c r="AC77" s="77"/>
      <c r="AD77" s="77"/>
      <c r="AE77" s="77"/>
      <c r="AF77" s="77"/>
      <c r="AG77" s="279">
        <f>AG3</f>
        <v>0</v>
      </c>
      <c r="AH77" s="279"/>
      <c r="AI77" s="279"/>
      <c r="AJ77" s="279"/>
      <c r="AK77" s="279"/>
      <c r="AL77" s="280"/>
    </row>
    <row r="78" spans="1:38" ht="3.95" customHeight="1" x14ac:dyDescent="0.2"/>
    <row r="79" spans="1:38" ht="15.95" customHeight="1" x14ac:dyDescent="0.2">
      <c r="A79" s="76" t="s">
        <v>49</v>
      </c>
      <c r="B79" s="77"/>
      <c r="C79" s="77"/>
      <c r="D79" s="77"/>
      <c r="E79" s="77"/>
      <c r="F79" s="77"/>
      <c r="G79" s="283">
        <f>G11</f>
        <v>0</v>
      </c>
      <c r="H79" s="283"/>
      <c r="I79" s="242">
        <f>J11</f>
        <v>0</v>
      </c>
      <c r="J79" s="242"/>
      <c r="K79" s="242"/>
      <c r="L79" s="242"/>
      <c r="M79" s="242"/>
      <c r="N79" s="242"/>
      <c r="O79" s="242"/>
      <c r="P79" s="242"/>
      <c r="Q79" s="242"/>
      <c r="R79" s="242"/>
      <c r="S79" s="242"/>
      <c r="T79" s="242"/>
      <c r="U79" s="242"/>
      <c r="V79" s="242"/>
      <c r="W79" s="242"/>
      <c r="X79" s="242"/>
      <c r="Y79" s="243"/>
      <c r="AA79" s="76" t="s">
        <v>72</v>
      </c>
      <c r="AB79" s="77"/>
      <c r="AC79" s="77"/>
      <c r="AD79" s="77"/>
      <c r="AE79" s="77"/>
      <c r="AF79" s="77"/>
      <c r="AG79" s="245">
        <f>AG13</f>
        <v>0</v>
      </c>
      <c r="AH79" s="245"/>
      <c r="AI79" s="245"/>
      <c r="AJ79" s="245"/>
      <c r="AK79" s="245"/>
      <c r="AL79" s="246"/>
    </row>
    <row r="80" spans="1:38" ht="3.95" customHeight="1" x14ac:dyDescent="0.2"/>
    <row r="81" spans="1:38" ht="15.95" customHeight="1" x14ac:dyDescent="0.2">
      <c r="A81" s="76" t="s">
        <v>197</v>
      </c>
      <c r="B81" s="77"/>
      <c r="C81" s="77"/>
      <c r="D81" s="77"/>
      <c r="E81" s="77"/>
      <c r="F81" s="77"/>
      <c r="G81" s="291">
        <f>I17</f>
        <v>0</v>
      </c>
      <c r="H81" s="291"/>
      <c r="I81" s="291"/>
      <c r="J81" s="291"/>
      <c r="K81" s="291"/>
      <c r="L81" s="291"/>
      <c r="M81" s="291"/>
      <c r="N81" s="291"/>
      <c r="O81" s="291"/>
      <c r="P81" s="291"/>
      <c r="Q81" s="291"/>
      <c r="R81" s="291"/>
      <c r="S81" s="291"/>
      <c r="T81" s="291"/>
      <c r="U81" s="291"/>
      <c r="V81" s="291"/>
      <c r="W81" s="291"/>
      <c r="X81" s="291"/>
      <c r="Y81" s="292"/>
      <c r="AA81" s="271" t="s">
        <v>292</v>
      </c>
      <c r="AB81" s="272"/>
      <c r="AC81" s="242">
        <f>'3 Side Seal Zipper Pouch'!C5</f>
        <v>0</v>
      </c>
      <c r="AD81" s="242"/>
      <c r="AE81" s="242"/>
      <c r="AF81" s="243"/>
      <c r="AH81" s="76" t="s">
        <v>196</v>
      </c>
      <c r="AI81" s="77"/>
      <c r="AJ81" s="245">
        <f>AJ15</f>
        <v>0</v>
      </c>
      <c r="AK81" s="245"/>
      <c r="AL81" s="246"/>
    </row>
    <row r="82" spans="1:38" ht="3.95" customHeight="1" x14ac:dyDescent="0.2"/>
    <row r="83" spans="1:38" ht="15.95" customHeight="1" x14ac:dyDescent="0.2">
      <c r="A83" s="76" t="s">
        <v>2</v>
      </c>
      <c r="B83" s="77"/>
      <c r="C83" s="77"/>
      <c r="D83" s="77"/>
      <c r="E83" s="77"/>
      <c r="F83" s="77"/>
      <c r="G83" s="249">
        <f>G7</f>
        <v>0</v>
      </c>
      <c r="H83" s="249"/>
      <c r="I83" s="249"/>
      <c r="J83" s="249"/>
      <c r="K83" s="249"/>
      <c r="L83" s="250"/>
      <c r="N83" s="76" t="s">
        <v>63</v>
      </c>
      <c r="O83" s="77"/>
      <c r="P83" s="77"/>
      <c r="Q83" s="77"/>
      <c r="R83" s="77"/>
      <c r="S83" s="77"/>
      <c r="T83" s="251">
        <f>T7</f>
        <v>0</v>
      </c>
      <c r="U83" s="251"/>
      <c r="V83" s="251"/>
      <c r="W83" s="251"/>
      <c r="X83" s="251"/>
      <c r="Y83" s="252"/>
      <c r="AA83" s="76" t="s">
        <v>27</v>
      </c>
      <c r="AB83" s="77"/>
      <c r="AC83" s="77"/>
      <c r="AD83" s="77"/>
      <c r="AE83" s="77"/>
      <c r="AF83" s="77"/>
      <c r="AG83" s="253">
        <f>AG7</f>
        <v>0</v>
      </c>
      <c r="AH83" s="253"/>
      <c r="AI83" s="253"/>
      <c r="AJ83" s="253"/>
      <c r="AK83" s="253"/>
      <c r="AL83" s="254"/>
    </row>
    <row r="84" spans="1:38" ht="3.95" customHeight="1" x14ac:dyDescent="0.2"/>
    <row r="85" spans="1:38" ht="12" customHeight="1" x14ac:dyDescent="0.2">
      <c r="A85" s="234" t="s">
        <v>249</v>
      </c>
      <c r="B85" s="234"/>
      <c r="C85" s="234"/>
      <c r="D85" s="234"/>
      <c r="E85" s="234"/>
      <c r="F85" s="234"/>
      <c r="G85" s="96"/>
      <c r="H85" s="96"/>
      <c r="I85" s="96"/>
      <c r="J85" s="96"/>
      <c r="K85" s="96"/>
      <c r="L85" s="96"/>
      <c r="M85" s="96"/>
      <c r="N85" s="96"/>
      <c r="O85" s="96"/>
      <c r="P85" s="96"/>
      <c r="Q85" s="96"/>
      <c r="R85" s="96"/>
      <c r="S85" s="96"/>
      <c r="T85" s="96"/>
      <c r="U85" s="96"/>
      <c r="V85" s="96"/>
      <c r="W85" s="96"/>
      <c r="X85" s="96"/>
      <c r="Y85" s="96"/>
      <c r="Z85" s="96"/>
      <c r="AA85" s="96"/>
      <c r="AB85" s="96"/>
      <c r="AC85" s="96"/>
      <c r="AD85" s="96"/>
      <c r="AE85" s="96"/>
      <c r="AF85" s="96"/>
      <c r="AG85" s="96"/>
      <c r="AH85" s="96"/>
      <c r="AI85" s="96"/>
      <c r="AJ85" s="96"/>
      <c r="AK85" s="96"/>
      <c r="AL85" s="96"/>
    </row>
    <row r="86" spans="1:38" ht="3.95" customHeight="1" x14ac:dyDescent="0.2">
      <c r="A86" s="150"/>
      <c r="B86" s="150"/>
      <c r="C86" s="150"/>
      <c r="D86" s="150"/>
      <c r="E86" s="150"/>
      <c r="F86" s="150"/>
      <c r="G86" s="150"/>
      <c r="H86" s="150"/>
      <c r="I86" s="150"/>
      <c r="J86" s="150"/>
      <c r="K86" s="150"/>
      <c r="L86" s="150"/>
      <c r="M86" s="150"/>
      <c r="N86" s="150"/>
      <c r="O86" s="150"/>
      <c r="P86" s="150"/>
      <c r="Q86" s="150"/>
      <c r="R86" s="150"/>
      <c r="S86" s="150"/>
      <c r="T86" s="150"/>
      <c r="U86" s="150"/>
      <c r="V86" s="150"/>
      <c r="W86" s="150"/>
      <c r="X86" s="150"/>
      <c r="Y86" s="150"/>
      <c r="Z86" s="150"/>
      <c r="AA86" s="150"/>
      <c r="AB86" s="150"/>
      <c r="AC86" s="150"/>
      <c r="AD86" s="150"/>
      <c r="AE86" s="150"/>
      <c r="AF86" s="150"/>
      <c r="AG86" s="150"/>
      <c r="AH86" s="150"/>
      <c r="AI86" s="150"/>
      <c r="AJ86" s="150"/>
      <c r="AK86" s="150"/>
      <c r="AL86" s="150"/>
    </row>
    <row r="87" spans="1:38" ht="12" customHeight="1" x14ac:dyDescent="0.2">
      <c r="A87" s="90"/>
      <c r="B87" s="90"/>
      <c r="C87" s="90"/>
      <c r="D87" s="90"/>
      <c r="E87" s="90"/>
      <c r="F87" s="90"/>
      <c r="G87" s="90"/>
      <c r="H87" s="90"/>
      <c r="I87" s="90"/>
      <c r="J87" s="90"/>
      <c r="K87" s="90"/>
      <c r="L87" s="90"/>
      <c r="M87" s="90"/>
      <c r="N87" s="90"/>
      <c r="O87" s="90"/>
      <c r="P87" s="90"/>
      <c r="Q87" s="90"/>
      <c r="R87" s="90"/>
      <c r="S87" s="90"/>
      <c r="T87" s="90"/>
      <c r="U87" s="90"/>
      <c r="V87" s="90"/>
      <c r="W87" s="90"/>
      <c r="X87" s="90"/>
      <c r="Y87" s="90"/>
      <c r="Z87" s="90"/>
      <c r="AA87" s="90"/>
      <c r="AB87" s="90"/>
      <c r="AC87" s="90"/>
      <c r="AD87" s="90"/>
      <c r="AE87" s="90"/>
      <c r="AF87" s="90"/>
      <c r="AG87" s="90"/>
      <c r="AH87" s="90"/>
      <c r="AI87" s="90"/>
      <c r="AJ87" s="90"/>
      <c r="AK87" s="90"/>
      <c r="AL87" s="90"/>
    </row>
    <row r="88" spans="1:38" ht="12" customHeight="1" x14ac:dyDescent="0.2">
      <c r="A88" s="90"/>
      <c r="B88" s="90"/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0"/>
      <c r="R88" s="90"/>
      <c r="S88" s="90"/>
      <c r="T88" s="90"/>
      <c r="U88" s="90"/>
      <c r="V88" s="90"/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0"/>
      <c r="AI88" s="90"/>
      <c r="AJ88" s="90"/>
      <c r="AK88" s="90"/>
      <c r="AL88" s="90"/>
    </row>
    <row r="89" spans="1:38" ht="12" customHeight="1" x14ac:dyDescent="0.2">
      <c r="A89" s="90"/>
      <c r="B89" s="90"/>
      <c r="C89" s="90"/>
      <c r="D89" s="90"/>
      <c r="E89" s="90"/>
      <c r="F89" s="90"/>
      <c r="G89" s="90"/>
      <c r="H89" s="90"/>
      <c r="I89" s="90"/>
      <c r="J89" s="90"/>
      <c r="K89" s="90"/>
      <c r="L89" s="90"/>
      <c r="M89" s="90"/>
      <c r="N89" s="90"/>
      <c r="O89" s="90"/>
      <c r="P89" s="90"/>
      <c r="Q89" s="90"/>
      <c r="R89" s="90"/>
      <c r="S89" s="90"/>
      <c r="T89" s="90"/>
      <c r="U89" s="90"/>
      <c r="V89" s="90"/>
      <c r="W89" s="90"/>
      <c r="X89" s="90"/>
      <c r="Y89" s="90"/>
      <c r="Z89" s="90"/>
      <c r="AA89" s="90"/>
      <c r="AB89" s="90"/>
      <c r="AC89" s="90"/>
      <c r="AD89" s="90"/>
      <c r="AE89" s="90"/>
      <c r="AF89" s="90"/>
      <c r="AG89" s="90"/>
      <c r="AH89" s="90"/>
      <c r="AI89" s="90"/>
      <c r="AJ89" s="90"/>
      <c r="AK89" s="90"/>
      <c r="AL89" s="90"/>
    </row>
    <row r="90" spans="1:38" ht="12" customHeight="1" x14ac:dyDescent="0.2">
      <c r="A90" s="90"/>
      <c r="B90" s="90"/>
      <c r="C90" s="90"/>
      <c r="D90" s="90"/>
      <c r="E90" s="90"/>
      <c r="F90" s="90"/>
      <c r="G90" s="90"/>
      <c r="H90" s="90"/>
      <c r="I90" s="90"/>
      <c r="J90" s="90"/>
      <c r="K90" s="90"/>
      <c r="L90" s="90"/>
      <c r="M90" s="90"/>
      <c r="N90" s="90"/>
      <c r="O90" s="90"/>
      <c r="P90" s="90"/>
      <c r="Q90" s="90"/>
      <c r="R90" s="90"/>
      <c r="S90" s="90"/>
      <c r="T90" s="90"/>
      <c r="U90" s="90"/>
      <c r="V90" s="90"/>
      <c r="W90" s="90"/>
      <c r="X90" s="90"/>
      <c r="Y90" s="90"/>
      <c r="Z90" s="90"/>
      <c r="AA90" s="90"/>
      <c r="AB90" s="90"/>
      <c r="AC90" s="90"/>
      <c r="AD90" s="90"/>
      <c r="AE90" s="90"/>
      <c r="AF90" s="90"/>
      <c r="AG90" s="90"/>
      <c r="AH90" s="90"/>
      <c r="AI90" s="90"/>
      <c r="AJ90" s="90"/>
      <c r="AK90" s="90"/>
      <c r="AL90" s="90"/>
    </row>
    <row r="91" spans="1:38" ht="12" customHeight="1" x14ac:dyDescent="0.2">
      <c r="A91" s="90"/>
      <c r="B91" s="90"/>
      <c r="C91" s="90"/>
      <c r="D91" s="90"/>
      <c r="E91" s="90"/>
      <c r="F91" s="90"/>
      <c r="G91" s="90"/>
      <c r="H91" s="90"/>
      <c r="I91" s="90"/>
      <c r="J91" s="90"/>
      <c r="K91" s="90"/>
      <c r="L91" s="90"/>
      <c r="M91" s="90"/>
      <c r="N91" s="90"/>
      <c r="O91" s="90"/>
      <c r="P91" s="90"/>
      <c r="Q91" s="90"/>
      <c r="R91" s="90"/>
      <c r="S91" s="90"/>
      <c r="T91" s="90"/>
      <c r="U91" s="90"/>
      <c r="V91" s="90"/>
      <c r="W91" s="90"/>
      <c r="X91" s="90"/>
      <c r="Y91" s="90"/>
      <c r="Z91" s="90"/>
      <c r="AA91" s="90"/>
      <c r="AB91" s="90"/>
      <c r="AC91" s="90"/>
      <c r="AD91" s="90"/>
      <c r="AE91" s="90"/>
      <c r="AF91" s="90"/>
      <c r="AG91" s="90"/>
      <c r="AH91" s="90"/>
      <c r="AI91" s="90"/>
      <c r="AJ91" s="90"/>
      <c r="AK91" s="90"/>
      <c r="AL91" s="90"/>
    </row>
    <row r="92" spans="1:38" ht="12" customHeight="1" x14ac:dyDescent="0.2">
      <c r="A92" s="90"/>
      <c r="B92" s="90"/>
      <c r="C92" s="90"/>
      <c r="D92" s="90"/>
      <c r="E92" s="90"/>
      <c r="F92" s="90"/>
      <c r="G92" s="90"/>
      <c r="H92" s="90"/>
      <c r="I92" s="90"/>
      <c r="J92" s="90"/>
      <c r="K92" s="90"/>
      <c r="L92" s="90"/>
      <c r="M92" s="90"/>
      <c r="N92" s="90"/>
      <c r="O92" s="90"/>
      <c r="P92" s="90"/>
      <c r="Q92" s="90"/>
      <c r="R92" s="90"/>
      <c r="S92" s="90"/>
      <c r="T92" s="90"/>
      <c r="U92" s="90"/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I92" s="90"/>
      <c r="AJ92" s="90"/>
      <c r="AK92" s="90"/>
      <c r="AL92" s="90"/>
    </row>
    <row r="93" spans="1:38" ht="12" customHeight="1" x14ac:dyDescent="0.2">
      <c r="A93" s="90"/>
      <c r="B93" s="90"/>
      <c r="C93" s="90"/>
      <c r="D93" s="90"/>
      <c r="E93" s="90"/>
      <c r="F93" s="90"/>
      <c r="G93" s="90"/>
      <c r="H93" s="90"/>
      <c r="I93" s="90"/>
      <c r="J93" s="90"/>
      <c r="K93" s="90"/>
      <c r="L93" s="90"/>
      <c r="M93" s="90"/>
      <c r="N93" s="90"/>
      <c r="O93" s="90"/>
      <c r="P93" s="90"/>
      <c r="Q93" s="90"/>
      <c r="R93" s="90"/>
      <c r="S93" s="90"/>
      <c r="T93" s="90"/>
      <c r="U93" s="90"/>
      <c r="V93" s="90"/>
      <c r="W93" s="90"/>
      <c r="X93" s="90"/>
      <c r="Y93" s="90"/>
      <c r="Z93" s="90"/>
      <c r="AA93" s="90"/>
      <c r="AB93" s="90"/>
      <c r="AC93" s="90"/>
      <c r="AD93" s="90"/>
      <c r="AE93" s="90"/>
      <c r="AF93" s="90"/>
      <c r="AG93" s="90"/>
      <c r="AH93" s="90"/>
      <c r="AI93" s="90"/>
      <c r="AJ93" s="90"/>
      <c r="AK93" s="90"/>
      <c r="AL93" s="90"/>
    </row>
    <row r="94" spans="1:38" ht="12" customHeight="1" x14ac:dyDescent="0.2">
      <c r="A94" s="90"/>
      <c r="B94" s="90"/>
      <c r="C94" s="90"/>
      <c r="D94" s="90"/>
      <c r="E94" s="90"/>
      <c r="F94" s="90"/>
      <c r="G94" s="90"/>
      <c r="H94" s="90"/>
      <c r="I94" s="90"/>
      <c r="J94" s="90"/>
      <c r="K94" s="90"/>
      <c r="L94" s="90"/>
      <c r="M94" s="90"/>
      <c r="N94" s="90"/>
      <c r="O94" s="90"/>
      <c r="P94" s="90"/>
      <c r="Q94" s="90"/>
      <c r="R94" s="90"/>
      <c r="S94" s="90"/>
      <c r="T94" s="90"/>
      <c r="U94" s="90"/>
      <c r="V94" s="90"/>
      <c r="W94" s="90"/>
      <c r="X94" s="90"/>
      <c r="Y94" s="90"/>
      <c r="Z94" s="90"/>
      <c r="AA94" s="90"/>
      <c r="AB94" s="90"/>
      <c r="AC94" s="90"/>
      <c r="AD94" s="90"/>
      <c r="AE94" s="90"/>
      <c r="AF94" s="90"/>
      <c r="AG94" s="90"/>
      <c r="AH94" s="90"/>
      <c r="AI94" s="90"/>
      <c r="AJ94" s="90"/>
      <c r="AK94" s="90"/>
      <c r="AL94" s="90"/>
    </row>
    <row r="95" spans="1:38" ht="12" customHeight="1" x14ac:dyDescent="0.2">
      <c r="A95" s="90"/>
      <c r="B95" s="90"/>
      <c r="C95" s="90"/>
      <c r="D95" s="90"/>
      <c r="E95" s="90"/>
      <c r="F95" s="90"/>
      <c r="G95" s="90"/>
      <c r="H95" s="90"/>
      <c r="I95" s="90"/>
      <c r="J95" s="90"/>
      <c r="K95" s="90"/>
      <c r="L95" s="90"/>
      <c r="M95" s="90"/>
      <c r="N95" s="90"/>
      <c r="O95" s="90"/>
      <c r="P95" s="90"/>
      <c r="Q95" s="90"/>
      <c r="R95" s="90"/>
      <c r="S95" s="90"/>
      <c r="T95" s="90"/>
      <c r="U95" s="90"/>
      <c r="V95" s="90"/>
      <c r="W95" s="90"/>
      <c r="X95" s="90"/>
      <c r="Y95" s="90"/>
      <c r="Z95" s="90"/>
      <c r="AA95" s="90"/>
      <c r="AB95" s="90"/>
      <c r="AC95" s="90"/>
      <c r="AD95" s="90"/>
      <c r="AE95" s="90"/>
      <c r="AF95" s="90"/>
      <c r="AG95" s="90"/>
      <c r="AH95" s="90"/>
      <c r="AI95" s="90"/>
      <c r="AJ95" s="90"/>
      <c r="AK95" s="90"/>
      <c r="AL95" s="90"/>
    </row>
    <row r="96" spans="1:38" ht="12" customHeight="1" x14ac:dyDescent="0.2">
      <c r="A96" s="90"/>
      <c r="B96" s="90"/>
      <c r="C96" s="90"/>
      <c r="D96" s="90"/>
      <c r="E96" s="90"/>
      <c r="F96" s="90"/>
      <c r="G96" s="90"/>
      <c r="H96" s="90"/>
      <c r="I96" s="90"/>
      <c r="J96" s="90"/>
      <c r="K96" s="90"/>
      <c r="L96" s="90"/>
      <c r="M96" s="90"/>
      <c r="N96" s="90"/>
      <c r="O96" s="90"/>
      <c r="P96" s="90"/>
      <c r="Q96" s="90"/>
      <c r="R96" s="90"/>
      <c r="S96" s="90"/>
      <c r="T96" s="90"/>
      <c r="U96" s="90"/>
      <c r="V96" s="90"/>
      <c r="W96" s="90"/>
      <c r="X96" s="90"/>
      <c r="Y96" s="90"/>
      <c r="Z96" s="90"/>
      <c r="AA96" s="90"/>
      <c r="AB96" s="90"/>
      <c r="AC96" s="90"/>
      <c r="AD96" s="90"/>
      <c r="AE96" s="90"/>
      <c r="AF96" s="90"/>
      <c r="AG96" s="90"/>
      <c r="AH96" s="90"/>
      <c r="AI96" s="90"/>
      <c r="AJ96" s="90"/>
      <c r="AK96" s="90"/>
      <c r="AL96" s="90"/>
    </row>
    <row r="97" spans="1:38" ht="12" customHeight="1" x14ac:dyDescent="0.2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</row>
    <row r="98" spans="1:38" ht="12" customHeight="1" x14ac:dyDescent="0.2">
      <c r="A98" s="90"/>
      <c r="B98" s="90"/>
      <c r="C98" s="90"/>
      <c r="D98" s="90"/>
      <c r="E98" s="90"/>
      <c r="F98" s="90"/>
      <c r="G98" s="90"/>
      <c r="H98" s="90"/>
      <c r="I98" s="90"/>
      <c r="J98" s="90"/>
      <c r="K98" s="90"/>
      <c r="L98" s="90"/>
      <c r="M98" s="90"/>
      <c r="N98" s="90"/>
      <c r="O98" s="90"/>
      <c r="P98" s="90"/>
      <c r="Q98" s="90"/>
      <c r="R98" s="90"/>
      <c r="S98" s="90"/>
      <c r="T98" s="90"/>
      <c r="U98" s="90"/>
      <c r="V98" s="90"/>
      <c r="W98" s="90"/>
      <c r="X98" s="90"/>
      <c r="Y98" s="90"/>
      <c r="Z98" s="90"/>
      <c r="AA98" s="90"/>
      <c r="AB98" s="90"/>
      <c r="AC98" s="90"/>
      <c r="AD98" s="90"/>
      <c r="AE98" s="90"/>
      <c r="AF98" s="90"/>
      <c r="AG98" s="90"/>
      <c r="AH98" s="90"/>
      <c r="AI98" s="90"/>
      <c r="AJ98" s="90"/>
      <c r="AK98" s="90"/>
      <c r="AL98" s="90"/>
    </row>
    <row r="99" spans="1:38" ht="12" customHeight="1" x14ac:dyDescent="0.2">
      <c r="A99" s="90"/>
      <c r="B99" s="90"/>
      <c r="C99" s="90"/>
      <c r="D99" s="90"/>
      <c r="E99" s="90"/>
      <c r="F99" s="90"/>
      <c r="G99" s="90"/>
      <c r="H99" s="90"/>
      <c r="I99" s="90"/>
      <c r="J99" s="90"/>
      <c r="K99" s="90"/>
      <c r="L99" s="90"/>
      <c r="M99" s="90"/>
      <c r="N99" s="90"/>
      <c r="O99" s="90"/>
      <c r="P99" s="90"/>
      <c r="Q99" s="90"/>
      <c r="R99" s="90"/>
      <c r="S99" s="90"/>
      <c r="T99" s="90"/>
      <c r="U99" s="90"/>
      <c r="V99" s="90"/>
      <c r="W99" s="90"/>
      <c r="X99" s="90"/>
      <c r="Y99" s="90"/>
      <c r="Z99" s="90"/>
      <c r="AA99" s="90"/>
      <c r="AB99" s="90"/>
      <c r="AC99" s="90"/>
      <c r="AD99" s="90"/>
      <c r="AE99" s="90"/>
      <c r="AF99" s="90"/>
      <c r="AG99" s="90"/>
      <c r="AH99" s="90"/>
      <c r="AI99" s="90"/>
      <c r="AJ99" s="90"/>
      <c r="AK99" s="90"/>
      <c r="AL99" s="90"/>
    </row>
    <row r="100" spans="1:38" ht="12" customHeight="1" x14ac:dyDescent="0.2">
      <c r="A100" s="90"/>
      <c r="B100" s="90"/>
      <c r="C100" s="90"/>
      <c r="D100" s="90"/>
      <c r="E100" s="90"/>
      <c r="F100" s="90"/>
      <c r="G100" s="90"/>
      <c r="H100" s="90"/>
      <c r="I100" s="90"/>
      <c r="J100" s="90"/>
      <c r="K100" s="90"/>
      <c r="L100" s="90"/>
      <c r="M100" s="90"/>
      <c r="N100" s="90"/>
      <c r="O100" s="90"/>
      <c r="P100" s="90"/>
      <c r="Q100" s="90"/>
      <c r="R100" s="90"/>
      <c r="S100" s="90"/>
      <c r="T100" s="90"/>
      <c r="U100" s="90"/>
      <c r="V100" s="90"/>
      <c r="W100" s="90"/>
      <c r="X100" s="90"/>
      <c r="Y100" s="90"/>
      <c r="Z100" s="90"/>
      <c r="AA100" s="90"/>
      <c r="AB100" s="90"/>
      <c r="AC100" s="90"/>
      <c r="AD100" s="90"/>
      <c r="AE100" s="90"/>
      <c r="AF100" s="90"/>
      <c r="AG100" s="90"/>
      <c r="AH100" s="90"/>
      <c r="AI100" s="90"/>
      <c r="AJ100" s="90"/>
      <c r="AK100" s="90"/>
      <c r="AL100" s="90"/>
    </row>
    <row r="101" spans="1:38" ht="12" customHeight="1" x14ac:dyDescent="0.2">
      <c r="A101" s="90"/>
      <c r="B101" s="90"/>
      <c r="C101" s="90"/>
      <c r="D101" s="90"/>
      <c r="E101" s="90"/>
      <c r="F101" s="90"/>
      <c r="G101" s="90"/>
      <c r="H101" s="90"/>
      <c r="I101" s="90"/>
      <c r="J101" s="90"/>
      <c r="K101" s="90"/>
      <c r="L101" s="90"/>
      <c r="M101" s="90"/>
      <c r="N101" s="90"/>
      <c r="O101" s="90"/>
      <c r="P101" s="90"/>
      <c r="Q101" s="90"/>
      <c r="R101" s="90"/>
      <c r="S101" s="90"/>
      <c r="T101" s="90"/>
      <c r="U101" s="90"/>
      <c r="V101" s="90"/>
      <c r="W101" s="90"/>
      <c r="X101" s="90"/>
      <c r="Y101" s="90"/>
      <c r="Z101" s="90"/>
      <c r="AA101" s="90"/>
      <c r="AB101" s="90"/>
      <c r="AC101" s="90"/>
      <c r="AD101" s="90"/>
      <c r="AE101" s="90"/>
      <c r="AF101" s="90"/>
      <c r="AG101" s="90"/>
      <c r="AH101" s="90"/>
      <c r="AI101" s="90"/>
      <c r="AJ101" s="90"/>
      <c r="AK101" s="90"/>
      <c r="AL101" s="90"/>
    </row>
    <row r="102" spans="1:38" ht="12" customHeight="1" x14ac:dyDescent="0.2">
      <c r="A102" s="90"/>
      <c r="B102" s="90"/>
      <c r="C102" s="90"/>
      <c r="D102" s="90"/>
      <c r="E102" s="90"/>
      <c r="F102" s="90"/>
      <c r="G102" s="90"/>
      <c r="H102" s="90"/>
      <c r="I102" s="90"/>
      <c r="J102" s="90"/>
      <c r="K102" s="90"/>
      <c r="L102" s="90"/>
      <c r="M102" s="90"/>
      <c r="N102" s="90"/>
      <c r="O102" s="90"/>
      <c r="P102" s="90"/>
      <c r="Q102" s="90"/>
      <c r="R102" s="90"/>
      <c r="S102" s="90"/>
      <c r="T102" s="90"/>
      <c r="U102" s="90"/>
      <c r="V102" s="90"/>
      <c r="W102" s="90"/>
      <c r="X102" s="90"/>
      <c r="Y102" s="90"/>
      <c r="Z102" s="90"/>
      <c r="AA102" s="90"/>
      <c r="AB102" s="90"/>
      <c r="AC102" s="90"/>
      <c r="AD102" s="90"/>
      <c r="AE102" s="90"/>
      <c r="AF102" s="90"/>
      <c r="AG102" s="90"/>
      <c r="AH102" s="90"/>
      <c r="AI102" s="90"/>
      <c r="AJ102" s="90"/>
      <c r="AK102" s="90"/>
      <c r="AL102" s="90"/>
    </row>
    <row r="103" spans="1:38" ht="12" customHeight="1" x14ac:dyDescent="0.2">
      <c r="A103" s="90"/>
      <c r="B103" s="90"/>
      <c r="C103" s="90"/>
      <c r="D103" s="90"/>
      <c r="E103" s="90"/>
      <c r="F103" s="90"/>
      <c r="G103" s="90"/>
      <c r="H103" s="90"/>
      <c r="I103" s="90"/>
      <c r="J103" s="90"/>
      <c r="K103" s="90"/>
      <c r="L103" s="90"/>
      <c r="M103" s="90"/>
      <c r="N103" s="90"/>
      <c r="O103" s="90"/>
      <c r="P103" s="90"/>
      <c r="Q103" s="90"/>
      <c r="R103" s="90"/>
      <c r="S103" s="90"/>
      <c r="T103" s="90"/>
      <c r="U103" s="90"/>
      <c r="V103" s="90"/>
      <c r="W103" s="90"/>
      <c r="X103" s="90"/>
      <c r="Y103" s="90"/>
      <c r="Z103" s="90"/>
      <c r="AA103" s="90"/>
      <c r="AB103" s="90"/>
      <c r="AC103" s="90"/>
      <c r="AD103" s="90"/>
      <c r="AE103" s="90"/>
      <c r="AF103" s="90"/>
      <c r="AG103" s="90"/>
      <c r="AH103" s="90"/>
      <c r="AI103" s="90"/>
      <c r="AJ103" s="90"/>
      <c r="AK103" s="90"/>
      <c r="AL103" s="90"/>
    </row>
    <row r="104" spans="1:38" ht="12" customHeight="1" x14ac:dyDescent="0.2">
      <c r="A104" s="90"/>
      <c r="B104" s="90"/>
      <c r="C104" s="90"/>
      <c r="D104" s="90"/>
      <c r="E104" s="90"/>
      <c r="F104" s="90"/>
      <c r="G104" s="90"/>
      <c r="H104" s="90"/>
      <c r="I104" s="90"/>
      <c r="J104" s="90"/>
      <c r="K104" s="90"/>
      <c r="L104" s="90"/>
      <c r="M104" s="90"/>
      <c r="N104" s="90"/>
      <c r="O104" s="90"/>
      <c r="P104" s="90"/>
      <c r="Q104" s="90"/>
      <c r="R104" s="90"/>
      <c r="S104" s="90"/>
      <c r="T104" s="90"/>
      <c r="U104" s="90"/>
      <c r="V104" s="90"/>
      <c r="W104" s="90"/>
      <c r="X104" s="90"/>
      <c r="Y104" s="90"/>
      <c r="Z104" s="90"/>
      <c r="AA104" s="90"/>
      <c r="AB104" s="90"/>
      <c r="AC104" s="90"/>
      <c r="AD104" s="90"/>
      <c r="AE104" s="90"/>
      <c r="AF104" s="90"/>
      <c r="AG104" s="90"/>
      <c r="AH104" s="90"/>
      <c r="AI104" s="90"/>
      <c r="AJ104" s="90"/>
      <c r="AK104" s="90"/>
      <c r="AL104" s="90"/>
    </row>
    <row r="105" spans="1:38" ht="12" customHeight="1" x14ac:dyDescent="0.2">
      <c r="A105" s="90"/>
      <c r="B105" s="90"/>
      <c r="C105" s="90"/>
      <c r="D105" s="90"/>
      <c r="E105" s="90"/>
      <c r="F105" s="90"/>
      <c r="G105" s="90"/>
      <c r="H105" s="90"/>
      <c r="I105" s="90"/>
      <c r="J105" s="90"/>
      <c r="K105" s="90"/>
      <c r="L105" s="90"/>
      <c r="M105" s="90"/>
      <c r="N105" s="90"/>
      <c r="O105" s="90"/>
      <c r="P105" s="90"/>
      <c r="Q105" s="90"/>
      <c r="R105" s="90"/>
      <c r="S105" s="90"/>
      <c r="T105" s="90"/>
      <c r="U105" s="90"/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I105" s="90"/>
      <c r="AJ105" s="90"/>
      <c r="AK105" s="90"/>
      <c r="AL105" s="90"/>
    </row>
    <row r="106" spans="1:38" ht="12" customHeight="1" x14ac:dyDescent="0.2">
      <c r="A106" s="90"/>
      <c r="B106" s="90"/>
      <c r="C106" s="90"/>
      <c r="D106" s="90"/>
      <c r="E106" s="90"/>
      <c r="F106" s="90"/>
      <c r="G106" s="90"/>
      <c r="H106" s="90"/>
      <c r="I106" s="90"/>
      <c r="J106" s="90"/>
      <c r="K106" s="90"/>
      <c r="L106" s="90"/>
      <c r="M106" s="90"/>
      <c r="N106" s="90"/>
      <c r="O106" s="90"/>
      <c r="P106" s="90"/>
      <c r="Q106" s="90"/>
      <c r="R106" s="90"/>
      <c r="S106" s="90"/>
      <c r="T106" s="90"/>
      <c r="U106" s="90"/>
      <c r="V106" s="90"/>
      <c r="W106" s="90"/>
      <c r="X106" s="90"/>
      <c r="Y106" s="90"/>
      <c r="Z106" s="90"/>
      <c r="AA106" s="90"/>
      <c r="AB106" s="90"/>
      <c r="AC106" s="90"/>
      <c r="AD106" s="90"/>
      <c r="AE106" s="90"/>
      <c r="AF106" s="90"/>
      <c r="AG106" s="90"/>
      <c r="AH106" s="90"/>
      <c r="AI106" s="90"/>
      <c r="AJ106" s="90"/>
      <c r="AK106" s="90"/>
      <c r="AL106" s="90"/>
    </row>
    <row r="107" spans="1:38" ht="12" customHeight="1" x14ac:dyDescent="0.2">
      <c r="A107" s="90"/>
      <c r="B107" s="90"/>
      <c r="C107" s="90"/>
      <c r="D107" s="90"/>
      <c r="E107" s="90"/>
      <c r="F107" s="90"/>
      <c r="G107" s="90"/>
      <c r="H107" s="90"/>
      <c r="I107" s="90"/>
      <c r="J107" s="90"/>
      <c r="K107" s="90"/>
      <c r="L107" s="90"/>
      <c r="M107" s="90"/>
      <c r="N107" s="90"/>
      <c r="O107" s="90"/>
      <c r="P107" s="90"/>
      <c r="Q107" s="90"/>
      <c r="R107" s="90"/>
      <c r="S107" s="90"/>
      <c r="T107" s="90"/>
      <c r="U107" s="90"/>
      <c r="V107" s="90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  <c r="AI107" s="90"/>
      <c r="AJ107" s="90"/>
      <c r="AK107" s="90"/>
      <c r="AL107" s="90"/>
    </row>
    <row r="108" spans="1:38" ht="12" customHeight="1" x14ac:dyDescent="0.2">
      <c r="A108" s="90"/>
      <c r="B108" s="90"/>
      <c r="C108" s="90"/>
      <c r="D108" s="90"/>
      <c r="E108" s="90"/>
      <c r="F108" s="90"/>
      <c r="G108" s="90"/>
      <c r="H108" s="90"/>
      <c r="I108" s="90"/>
      <c r="J108" s="90"/>
      <c r="K108" s="90"/>
      <c r="L108" s="90"/>
      <c r="M108" s="90"/>
      <c r="N108" s="90"/>
      <c r="O108" s="90"/>
      <c r="P108" s="90"/>
      <c r="Q108" s="90"/>
      <c r="R108" s="90"/>
      <c r="S108" s="90"/>
      <c r="T108" s="90"/>
      <c r="U108" s="90"/>
      <c r="V108" s="90"/>
      <c r="W108" s="90"/>
      <c r="X108" s="90"/>
      <c r="Y108" s="90"/>
      <c r="Z108" s="90"/>
      <c r="AA108" s="90"/>
      <c r="AB108" s="90"/>
      <c r="AC108" s="90"/>
      <c r="AD108" s="90"/>
      <c r="AE108" s="90"/>
      <c r="AF108" s="90"/>
      <c r="AG108" s="90"/>
      <c r="AH108" s="90"/>
      <c r="AI108" s="90"/>
      <c r="AJ108" s="90"/>
      <c r="AK108" s="90"/>
      <c r="AL108" s="90"/>
    </row>
    <row r="109" spans="1:38" ht="12" customHeight="1" x14ac:dyDescent="0.2">
      <c r="A109" s="90"/>
      <c r="B109" s="90"/>
      <c r="C109" s="90"/>
      <c r="D109" s="90"/>
      <c r="E109" s="90"/>
      <c r="F109" s="90"/>
      <c r="G109" s="90"/>
      <c r="H109" s="90"/>
      <c r="I109" s="90"/>
      <c r="J109" s="90"/>
      <c r="K109" s="90"/>
      <c r="L109" s="90"/>
      <c r="M109" s="90"/>
      <c r="N109" s="90"/>
      <c r="O109" s="90"/>
      <c r="P109" s="90"/>
      <c r="Q109" s="90"/>
      <c r="R109" s="90"/>
      <c r="S109" s="90"/>
      <c r="T109" s="90"/>
      <c r="U109" s="90"/>
      <c r="V109" s="90"/>
      <c r="W109" s="90"/>
      <c r="X109" s="90"/>
      <c r="Y109" s="90"/>
      <c r="Z109" s="90"/>
      <c r="AA109" s="90"/>
      <c r="AB109" s="90"/>
      <c r="AC109" s="90"/>
      <c r="AD109" s="90"/>
      <c r="AE109" s="90"/>
      <c r="AF109" s="90"/>
      <c r="AG109" s="90"/>
      <c r="AH109" s="90"/>
      <c r="AI109" s="90"/>
      <c r="AJ109" s="90"/>
      <c r="AK109" s="90"/>
      <c r="AL109" s="90"/>
    </row>
    <row r="110" spans="1:38" ht="12" customHeight="1" x14ac:dyDescent="0.2">
      <c r="A110" s="90"/>
      <c r="B110" s="90"/>
      <c r="C110" s="90"/>
      <c r="D110" s="90"/>
      <c r="E110" s="90"/>
      <c r="F110" s="90"/>
      <c r="G110" s="90"/>
      <c r="H110" s="90"/>
      <c r="I110" s="90"/>
      <c r="J110" s="90"/>
      <c r="K110" s="90"/>
      <c r="L110" s="90"/>
      <c r="M110" s="90"/>
      <c r="N110" s="90"/>
      <c r="O110" s="90"/>
      <c r="P110" s="90"/>
      <c r="Q110" s="90"/>
      <c r="R110" s="90"/>
      <c r="S110" s="90"/>
      <c r="T110" s="90"/>
      <c r="U110" s="90"/>
      <c r="V110" s="90"/>
      <c r="W110" s="90"/>
      <c r="X110" s="90"/>
      <c r="Y110" s="90"/>
      <c r="Z110" s="90"/>
      <c r="AA110" s="90"/>
      <c r="AB110" s="90"/>
      <c r="AC110" s="90"/>
      <c r="AD110" s="90"/>
      <c r="AE110" s="90"/>
      <c r="AF110" s="90"/>
      <c r="AG110" s="90"/>
      <c r="AH110" s="90"/>
      <c r="AI110" s="90"/>
      <c r="AJ110" s="90"/>
      <c r="AK110" s="90"/>
      <c r="AL110" s="90"/>
    </row>
    <row r="111" spans="1:38" ht="12" customHeight="1" x14ac:dyDescent="0.2">
      <c r="A111" s="90"/>
      <c r="B111" s="90"/>
      <c r="C111" s="90"/>
      <c r="D111" s="90"/>
      <c r="E111" s="90"/>
      <c r="F111" s="90"/>
      <c r="G111" s="90"/>
      <c r="H111" s="90"/>
      <c r="I111" s="90"/>
      <c r="J111" s="90"/>
      <c r="K111" s="90"/>
      <c r="L111" s="90"/>
      <c r="M111" s="90"/>
      <c r="N111" s="90"/>
      <c r="O111" s="90"/>
      <c r="P111" s="90"/>
      <c r="Q111" s="90"/>
      <c r="R111" s="90"/>
      <c r="S111" s="90"/>
      <c r="T111" s="90"/>
      <c r="U111" s="90"/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  <c r="AI111" s="90"/>
      <c r="AJ111" s="90"/>
      <c r="AK111" s="90"/>
      <c r="AL111" s="90"/>
    </row>
    <row r="112" spans="1:38" ht="12" customHeight="1" x14ac:dyDescent="0.2">
      <c r="A112" s="90"/>
      <c r="B112" s="90"/>
      <c r="C112" s="90"/>
      <c r="D112" s="90"/>
      <c r="E112" s="90"/>
      <c r="F112" s="90"/>
      <c r="G112" s="90"/>
      <c r="H112" s="90"/>
      <c r="I112" s="90"/>
      <c r="J112" s="90"/>
      <c r="K112" s="90"/>
      <c r="L112" s="90"/>
      <c r="M112" s="90"/>
      <c r="N112" s="90"/>
      <c r="O112" s="90"/>
      <c r="P112" s="90"/>
      <c r="Q112" s="90"/>
      <c r="R112" s="90"/>
      <c r="S112" s="90"/>
      <c r="T112" s="90"/>
      <c r="U112" s="90"/>
      <c r="V112" s="90"/>
      <c r="W112" s="90"/>
      <c r="X112" s="90"/>
      <c r="Y112" s="90"/>
      <c r="Z112" s="90"/>
      <c r="AA112" s="90"/>
      <c r="AB112" s="90"/>
      <c r="AC112" s="90"/>
      <c r="AD112" s="90"/>
      <c r="AE112" s="90"/>
      <c r="AF112" s="90"/>
      <c r="AG112" s="90"/>
      <c r="AH112" s="90"/>
      <c r="AI112" s="90"/>
      <c r="AJ112" s="90"/>
      <c r="AK112" s="90"/>
      <c r="AL112" s="90"/>
    </row>
    <row r="113" spans="1:38" ht="12" customHeight="1" x14ac:dyDescent="0.2">
      <c r="A113" s="90"/>
      <c r="B113" s="90"/>
      <c r="C113" s="90"/>
      <c r="D113" s="90"/>
      <c r="E113" s="90"/>
      <c r="F113" s="90"/>
      <c r="G113" s="90"/>
      <c r="H113" s="90"/>
      <c r="I113" s="90"/>
      <c r="J113" s="90"/>
      <c r="K113" s="90"/>
      <c r="L113" s="90"/>
      <c r="M113" s="90"/>
      <c r="N113" s="90"/>
      <c r="O113" s="90"/>
      <c r="P113" s="90"/>
      <c r="Q113" s="90"/>
      <c r="R113" s="90"/>
      <c r="S113" s="90"/>
      <c r="T113" s="90"/>
      <c r="U113" s="90"/>
      <c r="V113" s="90"/>
      <c r="W113" s="90"/>
      <c r="X113" s="90"/>
      <c r="Y113" s="90"/>
      <c r="Z113" s="90"/>
      <c r="AA113" s="90"/>
      <c r="AB113" s="90"/>
      <c r="AC113" s="90"/>
      <c r="AD113" s="90"/>
      <c r="AE113" s="90"/>
      <c r="AF113" s="90"/>
      <c r="AG113" s="90"/>
      <c r="AH113" s="90"/>
      <c r="AI113" s="90"/>
      <c r="AJ113" s="90"/>
      <c r="AK113" s="90"/>
      <c r="AL113" s="90"/>
    </row>
    <row r="114" spans="1:38" ht="12" customHeight="1" x14ac:dyDescent="0.2">
      <c r="A114" s="90"/>
      <c r="B114" s="90"/>
      <c r="C114" s="90"/>
      <c r="D114" s="90"/>
      <c r="E114" s="90"/>
      <c r="F114" s="90"/>
      <c r="G114" s="90"/>
      <c r="H114" s="90"/>
      <c r="I114" s="90"/>
      <c r="J114" s="90"/>
      <c r="K114" s="90"/>
      <c r="L114" s="90"/>
      <c r="M114" s="90"/>
      <c r="N114" s="90"/>
      <c r="O114" s="90"/>
      <c r="P114" s="90"/>
      <c r="Q114" s="90"/>
      <c r="R114" s="90"/>
      <c r="S114" s="90"/>
      <c r="T114" s="90"/>
      <c r="U114" s="90"/>
      <c r="V114" s="90"/>
      <c r="W114" s="90"/>
      <c r="X114" s="90"/>
      <c r="Y114" s="90"/>
      <c r="Z114" s="90"/>
      <c r="AA114" s="90"/>
      <c r="AB114" s="90"/>
      <c r="AC114" s="90"/>
      <c r="AD114" s="90"/>
      <c r="AE114" s="90"/>
      <c r="AF114" s="90"/>
      <c r="AG114" s="90"/>
      <c r="AH114" s="90"/>
      <c r="AI114" s="90"/>
      <c r="AJ114" s="90"/>
      <c r="AK114" s="90"/>
      <c r="AL114" s="90"/>
    </row>
    <row r="115" spans="1:38" ht="12" customHeight="1" x14ac:dyDescent="0.2">
      <c r="A115" s="90"/>
      <c r="B115" s="90"/>
      <c r="C115" s="90"/>
      <c r="D115" s="90"/>
      <c r="E115" s="90"/>
      <c r="F115" s="90"/>
      <c r="G115" s="90"/>
      <c r="H115" s="90"/>
      <c r="I115" s="90"/>
      <c r="J115" s="90"/>
      <c r="K115" s="90"/>
      <c r="L115" s="90"/>
      <c r="M115" s="90"/>
      <c r="N115" s="90"/>
      <c r="O115" s="90"/>
      <c r="P115" s="90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90"/>
      <c r="AJ115" s="90"/>
      <c r="AK115" s="90"/>
      <c r="AL115" s="90"/>
    </row>
    <row r="116" spans="1:38" ht="12" customHeight="1" x14ac:dyDescent="0.2">
      <c r="A116" s="90"/>
      <c r="B116" s="90"/>
      <c r="C116" s="90"/>
      <c r="D116" s="90"/>
      <c r="E116" s="90"/>
      <c r="F116" s="90"/>
      <c r="G116" s="90"/>
      <c r="H116" s="90"/>
      <c r="I116" s="90"/>
      <c r="J116" s="90"/>
      <c r="K116" s="90"/>
      <c r="L116" s="90"/>
      <c r="M116" s="90"/>
      <c r="N116" s="90"/>
      <c r="O116" s="90"/>
      <c r="P116" s="90"/>
      <c r="Q116" s="90"/>
      <c r="R116" s="90"/>
      <c r="S116" s="90"/>
      <c r="T116" s="90"/>
      <c r="U116" s="90"/>
      <c r="V116" s="90"/>
      <c r="W116" s="90"/>
      <c r="X116" s="90"/>
      <c r="Y116" s="90"/>
      <c r="Z116" s="90"/>
      <c r="AA116" s="90"/>
      <c r="AB116" s="90"/>
      <c r="AC116" s="90"/>
      <c r="AD116" s="90"/>
      <c r="AE116" s="90"/>
      <c r="AF116" s="90"/>
      <c r="AG116" s="90"/>
      <c r="AH116" s="90"/>
      <c r="AI116" s="90"/>
      <c r="AJ116" s="90"/>
      <c r="AK116" s="90"/>
      <c r="AL116" s="90"/>
    </row>
    <row r="117" spans="1:38" ht="12" customHeight="1" x14ac:dyDescent="0.2">
      <c r="A117" s="90"/>
      <c r="B117" s="90"/>
      <c r="C117" s="90"/>
      <c r="D117" s="90"/>
      <c r="E117" s="90"/>
      <c r="F117" s="90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Q117" s="90"/>
      <c r="R117" s="90"/>
      <c r="S117" s="90"/>
      <c r="T117" s="90"/>
      <c r="U117" s="90"/>
      <c r="V117" s="90"/>
      <c r="W117" s="90"/>
      <c r="X117" s="90"/>
      <c r="Y117" s="90"/>
      <c r="Z117" s="90"/>
      <c r="AA117" s="90"/>
      <c r="AB117" s="90"/>
      <c r="AC117" s="90"/>
      <c r="AD117" s="90"/>
      <c r="AE117" s="90"/>
      <c r="AF117" s="90"/>
      <c r="AG117" s="90"/>
      <c r="AH117" s="90"/>
      <c r="AI117" s="90"/>
      <c r="AJ117" s="90"/>
      <c r="AK117" s="90"/>
      <c r="AL117" s="90"/>
    </row>
    <row r="118" spans="1:38" ht="12" customHeight="1" x14ac:dyDescent="0.2">
      <c r="A118" s="90"/>
      <c r="B118" s="90"/>
      <c r="C118" s="90"/>
      <c r="D118" s="90"/>
      <c r="E118" s="90"/>
      <c r="F118" s="90"/>
      <c r="G118" s="90"/>
      <c r="H118" s="90"/>
      <c r="I118" s="90"/>
      <c r="J118" s="90"/>
      <c r="K118" s="90"/>
      <c r="L118" s="90"/>
      <c r="M118" s="90"/>
      <c r="N118" s="90"/>
      <c r="O118" s="90"/>
      <c r="P118" s="90"/>
      <c r="Q118" s="90"/>
      <c r="R118" s="90"/>
      <c r="S118" s="90"/>
      <c r="T118" s="90"/>
      <c r="U118" s="90"/>
      <c r="V118" s="90"/>
      <c r="W118" s="90"/>
      <c r="X118" s="90"/>
      <c r="Y118" s="90"/>
      <c r="Z118" s="90"/>
      <c r="AA118" s="90"/>
      <c r="AB118" s="90"/>
      <c r="AC118" s="90"/>
      <c r="AD118" s="90"/>
      <c r="AE118" s="90"/>
      <c r="AF118" s="90"/>
      <c r="AG118" s="90"/>
      <c r="AH118" s="90"/>
      <c r="AI118" s="90"/>
      <c r="AJ118" s="90"/>
      <c r="AK118" s="90"/>
      <c r="AL118" s="90"/>
    </row>
    <row r="119" spans="1:38" ht="12" customHeight="1" x14ac:dyDescent="0.2">
      <c r="A119" s="90"/>
      <c r="B119" s="90"/>
      <c r="C119" s="90"/>
      <c r="D119" s="90"/>
      <c r="E119" s="90"/>
      <c r="F119" s="90"/>
      <c r="G119" s="90"/>
      <c r="H119" s="90"/>
      <c r="I119" s="90"/>
      <c r="J119" s="90"/>
      <c r="K119" s="90"/>
      <c r="L119" s="90"/>
      <c r="M119" s="90"/>
      <c r="N119" s="90"/>
      <c r="O119" s="90"/>
      <c r="P119" s="90"/>
      <c r="Q119" s="90"/>
      <c r="R119" s="90"/>
      <c r="S119" s="90"/>
      <c r="T119" s="90"/>
      <c r="U119" s="90"/>
      <c r="V119" s="90"/>
      <c r="W119" s="90"/>
      <c r="X119" s="90"/>
      <c r="Y119" s="90"/>
      <c r="Z119" s="90"/>
      <c r="AA119" s="90"/>
      <c r="AB119" s="90"/>
      <c r="AC119" s="90"/>
      <c r="AD119" s="90"/>
      <c r="AE119" s="90"/>
      <c r="AF119" s="90"/>
      <c r="AG119" s="90"/>
      <c r="AH119" s="90"/>
      <c r="AI119" s="90"/>
      <c r="AJ119" s="90"/>
      <c r="AK119" s="90"/>
      <c r="AL119" s="90"/>
    </row>
    <row r="120" spans="1:38" ht="12" customHeight="1" x14ac:dyDescent="0.2">
      <c r="A120" s="90"/>
      <c r="B120" s="90"/>
      <c r="C120" s="90"/>
      <c r="D120" s="90"/>
      <c r="E120" s="90"/>
      <c r="F120" s="90"/>
      <c r="G120" s="90"/>
      <c r="H120" s="90"/>
      <c r="I120" s="90"/>
      <c r="J120" s="90"/>
      <c r="K120" s="90"/>
      <c r="L120" s="90"/>
      <c r="M120" s="90"/>
      <c r="N120" s="90"/>
      <c r="O120" s="90"/>
      <c r="P120" s="90"/>
      <c r="Q120" s="90"/>
      <c r="R120" s="90"/>
      <c r="S120" s="90"/>
      <c r="T120" s="90"/>
      <c r="U120" s="90"/>
      <c r="V120" s="90"/>
      <c r="W120" s="90"/>
      <c r="X120" s="90"/>
      <c r="Y120" s="90"/>
      <c r="Z120" s="90"/>
      <c r="AA120" s="90"/>
      <c r="AB120" s="90"/>
      <c r="AC120" s="90"/>
      <c r="AD120" s="90"/>
      <c r="AE120" s="90"/>
      <c r="AF120" s="90"/>
      <c r="AG120" s="90"/>
      <c r="AH120" s="90"/>
      <c r="AI120" s="90"/>
      <c r="AJ120" s="90"/>
      <c r="AK120" s="90"/>
      <c r="AL120" s="90"/>
    </row>
    <row r="121" spans="1:38" ht="12" customHeight="1" x14ac:dyDescent="0.2">
      <c r="A121" s="90"/>
      <c r="B121" s="90"/>
      <c r="C121" s="90"/>
      <c r="D121" s="90"/>
      <c r="E121" s="90"/>
      <c r="F121" s="90"/>
      <c r="G121" s="90"/>
      <c r="H121" s="90"/>
      <c r="I121" s="90"/>
      <c r="J121" s="90"/>
      <c r="K121" s="90"/>
      <c r="L121" s="90"/>
      <c r="M121" s="90"/>
      <c r="N121" s="90"/>
      <c r="O121" s="90"/>
      <c r="P121" s="90"/>
      <c r="Q121" s="90"/>
      <c r="R121" s="90"/>
      <c r="S121" s="90"/>
      <c r="T121" s="90"/>
      <c r="U121" s="90"/>
      <c r="V121" s="90"/>
      <c r="W121" s="90"/>
      <c r="X121" s="90"/>
      <c r="Y121" s="90"/>
      <c r="Z121" s="90"/>
      <c r="AA121" s="90"/>
      <c r="AB121" s="90"/>
      <c r="AC121" s="90"/>
      <c r="AD121" s="90"/>
      <c r="AE121" s="90"/>
      <c r="AF121" s="90"/>
      <c r="AG121" s="90"/>
      <c r="AH121" s="90"/>
      <c r="AI121" s="90"/>
      <c r="AJ121" s="90"/>
      <c r="AK121" s="90"/>
      <c r="AL121" s="90"/>
    </row>
    <row r="122" spans="1:38" ht="12" customHeight="1" x14ac:dyDescent="0.2">
      <c r="A122" s="90"/>
      <c r="B122" s="90"/>
      <c r="C122" s="90"/>
      <c r="D122" s="90"/>
      <c r="E122" s="90"/>
      <c r="F122" s="90"/>
      <c r="G122" s="90"/>
      <c r="H122" s="90"/>
      <c r="I122" s="90"/>
      <c r="J122" s="90"/>
      <c r="K122" s="90"/>
      <c r="L122" s="90"/>
      <c r="M122" s="90"/>
      <c r="N122" s="90"/>
      <c r="O122" s="90"/>
      <c r="P122" s="90"/>
      <c r="Q122" s="90"/>
      <c r="R122" s="90"/>
      <c r="S122" s="90"/>
      <c r="T122" s="90"/>
      <c r="U122" s="90"/>
      <c r="V122" s="90"/>
      <c r="W122" s="90"/>
      <c r="X122" s="90"/>
      <c r="Y122" s="90"/>
      <c r="Z122" s="90"/>
      <c r="AA122" s="90"/>
      <c r="AB122" s="90"/>
      <c r="AC122" s="90"/>
      <c r="AD122" s="90"/>
      <c r="AE122" s="90"/>
      <c r="AF122" s="90"/>
      <c r="AG122" s="90"/>
      <c r="AH122" s="90"/>
      <c r="AI122" s="90"/>
      <c r="AJ122" s="90"/>
      <c r="AK122" s="90"/>
      <c r="AL122" s="90"/>
    </row>
    <row r="123" spans="1:38" ht="12" customHeight="1" x14ac:dyDescent="0.2">
      <c r="A123" s="90"/>
      <c r="B123" s="90"/>
      <c r="C123" s="90"/>
      <c r="D123" s="90"/>
      <c r="E123" s="90"/>
      <c r="F123" s="90"/>
      <c r="G123" s="90"/>
      <c r="H123" s="90"/>
      <c r="I123" s="90"/>
      <c r="J123" s="90"/>
      <c r="K123" s="90"/>
      <c r="L123" s="90"/>
      <c r="M123" s="90"/>
      <c r="N123" s="90"/>
      <c r="O123" s="90"/>
      <c r="P123" s="90"/>
      <c r="Q123" s="90"/>
      <c r="R123" s="90"/>
      <c r="S123" s="90"/>
      <c r="T123" s="90"/>
      <c r="U123" s="90"/>
      <c r="V123" s="90"/>
      <c r="W123" s="90"/>
      <c r="X123" s="90"/>
      <c r="Y123" s="90"/>
      <c r="Z123" s="90"/>
      <c r="AA123" s="90"/>
      <c r="AB123" s="90"/>
      <c r="AC123" s="90"/>
      <c r="AD123" s="90"/>
      <c r="AE123" s="90"/>
      <c r="AF123" s="90"/>
      <c r="AG123" s="90"/>
      <c r="AH123" s="90"/>
      <c r="AI123" s="90"/>
      <c r="AJ123" s="90"/>
      <c r="AK123" s="90"/>
      <c r="AL123" s="90"/>
    </row>
    <row r="124" spans="1:38" ht="12" customHeight="1" x14ac:dyDescent="0.2">
      <c r="A124" s="90"/>
      <c r="B124" s="90"/>
      <c r="C124" s="90"/>
      <c r="D124" s="90"/>
      <c r="E124" s="90"/>
      <c r="F124" s="90"/>
      <c r="G124" s="90"/>
      <c r="H124" s="90"/>
      <c r="I124" s="90"/>
      <c r="J124" s="90"/>
      <c r="K124" s="90"/>
      <c r="L124" s="90"/>
      <c r="M124" s="90"/>
      <c r="N124" s="90"/>
      <c r="O124" s="90"/>
      <c r="P124" s="90"/>
      <c r="Q124" s="90"/>
      <c r="R124" s="90"/>
      <c r="S124" s="90"/>
      <c r="T124" s="90"/>
      <c r="U124" s="90"/>
      <c r="V124" s="90"/>
      <c r="W124" s="90"/>
      <c r="X124" s="90"/>
      <c r="Y124" s="90"/>
      <c r="Z124" s="90"/>
      <c r="AA124" s="90"/>
      <c r="AB124" s="90"/>
      <c r="AC124" s="90"/>
      <c r="AD124" s="90"/>
      <c r="AE124" s="90"/>
      <c r="AF124" s="90"/>
      <c r="AG124" s="90"/>
      <c r="AH124" s="90"/>
      <c r="AI124" s="90"/>
      <c r="AJ124" s="90"/>
      <c r="AK124" s="90"/>
      <c r="AL124" s="90"/>
    </row>
    <row r="125" spans="1:38" ht="12" customHeight="1" x14ac:dyDescent="0.2">
      <c r="A125" s="90"/>
      <c r="B125" s="90"/>
      <c r="C125" s="90"/>
      <c r="D125" s="90"/>
      <c r="E125" s="90"/>
      <c r="F125" s="90"/>
      <c r="G125" s="90"/>
      <c r="H125" s="90"/>
      <c r="I125" s="90"/>
      <c r="J125" s="90"/>
      <c r="K125" s="90"/>
      <c r="L125" s="90"/>
      <c r="M125" s="90"/>
      <c r="N125" s="90"/>
      <c r="O125" s="90"/>
      <c r="P125" s="90"/>
      <c r="Q125" s="90"/>
      <c r="R125" s="90"/>
      <c r="S125" s="90"/>
      <c r="T125" s="90"/>
      <c r="U125" s="90"/>
      <c r="V125" s="90"/>
      <c r="W125" s="90"/>
      <c r="X125" s="90"/>
      <c r="Y125" s="90"/>
      <c r="Z125" s="90"/>
      <c r="AA125" s="90"/>
      <c r="AB125" s="90"/>
      <c r="AC125" s="90"/>
      <c r="AD125" s="90"/>
      <c r="AE125" s="90"/>
      <c r="AF125" s="90"/>
      <c r="AG125" s="90"/>
      <c r="AH125" s="90"/>
      <c r="AI125" s="90"/>
      <c r="AJ125" s="90"/>
      <c r="AK125" s="90"/>
      <c r="AL125" s="90"/>
    </row>
    <row r="126" spans="1:38" ht="12" customHeight="1" x14ac:dyDescent="0.2">
      <c r="A126" s="90"/>
      <c r="B126" s="90"/>
      <c r="C126" s="90"/>
      <c r="D126" s="90"/>
      <c r="E126" s="90"/>
      <c r="F126" s="90"/>
      <c r="G126" s="90"/>
      <c r="H126" s="90"/>
      <c r="I126" s="90"/>
      <c r="J126" s="90"/>
      <c r="K126" s="90"/>
      <c r="L126" s="90"/>
      <c r="M126" s="90"/>
      <c r="N126" s="90"/>
      <c r="O126" s="90"/>
      <c r="P126" s="90"/>
      <c r="Q126" s="90"/>
      <c r="R126" s="90"/>
      <c r="S126" s="90"/>
      <c r="T126" s="90"/>
      <c r="U126" s="90"/>
      <c r="V126" s="90"/>
      <c r="W126" s="90"/>
      <c r="X126" s="90"/>
      <c r="Y126" s="90"/>
      <c r="Z126" s="90"/>
      <c r="AA126" s="90"/>
      <c r="AB126" s="90"/>
      <c r="AC126" s="90"/>
      <c r="AD126" s="90"/>
      <c r="AE126" s="90"/>
      <c r="AF126" s="90"/>
      <c r="AG126" s="90"/>
      <c r="AH126" s="90"/>
      <c r="AI126" s="90"/>
      <c r="AJ126" s="90"/>
      <c r="AK126" s="90"/>
      <c r="AL126" s="90"/>
    </row>
    <row r="127" spans="1:38" ht="12" customHeight="1" x14ac:dyDescent="0.2">
      <c r="A127" s="90"/>
      <c r="B127" s="90"/>
      <c r="C127" s="90"/>
      <c r="D127" s="90"/>
      <c r="E127" s="90"/>
      <c r="F127" s="90"/>
      <c r="G127" s="90"/>
      <c r="H127" s="90"/>
      <c r="I127" s="90"/>
      <c r="J127" s="90"/>
      <c r="K127" s="90"/>
      <c r="L127" s="90"/>
      <c r="M127" s="90"/>
      <c r="N127" s="90"/>
      <c r="O127" s="90"/>
      <c r="P127" s="90"/>
      <c r="Q127" s="90"/>
      <c r="R127" s="90"/>
      <c r="S127" s="90"/>
      <c r="T127" s="90"/>
      <c r="U127" s="90"/>
      <c r="V127" s="90"/>
      <c r="W127" s="90"/>
      <c r="X127" s="90"/>
      <c r="Y127" s="90"/>
      <c r="Z127" s="90"/>
      <c r="AA127" s="90"/>
      <c r="AB127" s="90"/>
      <c r="AC127" s="90"/>
      <c r="AD127" s="90"/>
      <c r="AE127" s="90"/>
      <c r="AF127" s="90"/>
      <c r="AG127" s="90"/>
      <c r="AH127" s="90"/>
      <c r="AI127" s="90"/>
      <c r="AJ127" s="90"/>
      <c r="AK127" s="90"/>
      <c r="AL127" s="90"/>
    </row>
    <row r="128" spans="1:38" ht="12" customHeight="1" x14ac:dyDescent="0.2">
      <c r="A128" s="90"/>
      <c r="B128" s="90"/>
      <c r="C128" s="90"/>
      <c r="D128" s="90"/>
      <c r="E128" s="90"/>
      <c r="F128" s="90"/>
      <c r="G128" s="90"/>
      <c r="H128" s="90"/>
      <c r="I128" s="90"/>
      <c r="J128" s="90"/>
      <c r="K128" s="90"/>
      <c r="L128" s="90"/>
      <c r="M128" s="90"/>
      <c r="N128" s="90"/>
      <c r="O128" s="90"/>
      <c r="P128" s="90"/>
      <c r="Q128" s="90"/>
      <c r="R128" s="90"/>
      <c r="S128" s="90"/>
      <c r="T128" s="90"/>
      <c r="U128" s="90"/>
      <c r="V128" s="90"/>
      <c r="W128" s="90"/>
      <c r="X128" s="90"/>
      <c r="Y128" s="90"/>
      <c r="Z128" s="90"/>
      <c r="AA128" s="90"/>
      <c r="AB128" s="90"/>
      <c r="AC128" s="90"/>
      <c r="AD128" s="90"/>
      <c r="AE128" s="90"/>
      <c r="AF128" s="90"/>
      <c r="AG128" s="90"/>
      <c r="AH128" s="90"/>
      <c r="AI128" s="90"/>
      <c r="AJ128" s="90"/>
      <c r="AK128" s="90"/>
      <c r="AL128" s="90"/>
    </row>
    <row r="129" spans="1:38" ht="12" customHeight="1" x14ac:dyDescent="0.2">
      <c r="A129" s="90"/>
      <c r="B129" s="90"/>
      <c r="C129" s="90"/>
      <c r="D129" s="90"/>
      <c r="E129" s="90"/>
      <c r="F129" s="90"/>
      <c r="G129" s="90"/>
      <c r="H129" s="90"/>
      <c r="I129" s="90"/>
      <c r="J129" s="90"/>
      <c r="K129" s="90"/>
      <c r="L129" s="90"/>
      <c r="M129" s="90"/>
      <c r="N129" s="90"/>
      <c r="O129" s="90"/>
      <c r="P129" s="90"/>
      <c r="Q129" s="90"/>
      <c r="R129" s="90"/>
      <c r="S129" s="90"/>
      <c r="T129" s="90"/>
      <c r="U129" s="90"/>
      <c r="V129" s="90"/>
      <c r="W129" s="90"/>
      <c r="X129" s="90"/>
      <c r="Y129" s="90"/>
      <c r="Z129" s="90"/>
      <c r="AA129" s="90"/>
      <c r="AB129" s="90"/>
      <c r="AC129" s="90"/>
      <c r="AD129" s="90"/>
      <c r="AE129" s="90"/>
      <c r="AF129" s="90"/>
      <c r="AG129" s="90"/>
      <c r="AH129" s="90"/>
      <c r="AI129" s="90"/>
      <c r="AJ129" s="90"/>
      <c r="AK129" s="90"/>
      <c r="AL129" s="90"/>
    </row>
    <row r="130" spans="1:38" ht="12" customHeight="1" x14ac:dyDescent="0.2">
      <c r="A130" s="90"/>
      <c r="B130" s="90"/>
      <c r="C130" s="90"/>
      <c r="D130" s="90"/>
      <c r="E130" s="90"/>
      <c r="F130" s="90"/>
      <c r="G130" s="90"/>
      <c r="H130" s="90"/>
      <c r="I130" s="90"/>
      <c r="J130" s="90"/>
      <c r="K130" s="90"/>
      <c r="L130" s="90"/>
      <c r="M130" s="90"/>
      <c r="N130" s="90"/>
      <c r="O130" s="90"/>
      <c r="P130" s="90"/>
      <c r="Q130" s="90"/>
      <c r="R130" s="90"/>
      <c r="S130" s="90"/>
      <c r="T130" s="90"/>
      <c r="U130" s="90"/>
      <c r="V130" s="90"/>
      <c r="W130" s="90"/>
      <c r="X130" s="90"/>
      <c r="Y130" s="90"/>
      <c r="Z130" s="90"/>
      <c r="AA130" s="90"/>
      <c r="AB130" s="90"/>
      <c r="AC130" s="90"/>
      <c r="AD130" s="90"/>
      <c r="AE130" s="90"/>
      <c r="AF130" s="90"/>
      <c r="AG130" s="90"/>
      <c r="AH130" s="90"/>
      <c r="AI130" s="90"/>
      <c r="AJ130" s="90"/>
      <c r="AK130" s="90"/>
      <c r="AL130" s="90"/>
    </row>
    <row r="131" spans="1:38" ht="12" customHeight="1" x14ac:dyDescent="0.2">
      <c r="A131" s="90"/>
      <c r="B131" s="90"/>
      <c r="C131" s="90"/>
      <c r="D131" s="90"/>
      <c r="E131" s="90"/>
      <c r="F131" s="90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  <c r="S131" s="90"/>
      <c r="T131" s="90"/>
      <c r="U131" s="90"/>
      <c r="V131" s="90"/>
      <c r="W131" s="90"/>
      <c r="X131" s="90"/>
      <c r="Y131" s="90"/>
      <c r="Z131" s="90"/>
      <c r="AA131" s="90"/>
      <c r="AB131" s="90"/>
      <c r="AC131" s="90"/>
      <c r="AD131" s="90"/>
      <c r="AE131" s="90"/>
      <c r="AF131" s="90"/>
      <c r="AG131" s="90"/>
      <c r="AH131" s="90"/>
      <c r="AI131" s="90"/>
      <c r="AJ131" s="90"/>
      <c r="AK131" s="90"/>
      <c r="AL131" s="90"/>
    </row>
    <row r="132" spans="1:38" x14ac:dyDescent="0.2">
      <c r="A132" s="90"/>
      <c r="B132" s="90"/>
      <c r="C132" s="90"/>
      <c r="D132" s="90"/>
      <c r="E132" s="90"/>
      <c r="F132" s="90"/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Q132" s="90"/>
      <c r="R132" s="90"/>
      <c r="S132" s="90"/>
      <c r="T132" s="90"/>
      <c r="U132" s="90"/>
      <c r="V132" s="90"/>
      <c r="W132" s="90"/>
      <c r="X132" s="90"/>
      <c r="Y132" s="90"/>
      <c r="Z132" s="90"/>
      <c r="AA132" s="90"/>
      <c r="AB132" s="90"/>
      <c r="AC132" s="90"/>
      <c r="AD132" s="90"/>
      <c r="AE132" s="90"/>
      <c r="AF132" s="90"/>
      <c r="AG132" s="90"/>
      <c r="AH132" s="90"/>
      <c r="AI132" s="90"/>
      <c r="AJ132" s="90"/>
      <c r="AK132" s="90"/>
      <c r="AL132" s="90"/>
    </row>
    <row r="133" spans="1:38" x14ac:dyDescent="0.2">
      <c r="A133" s="90"/>
      <c r="B133" s="90"/>
      <c r="C133" s="90"/>
      <c r="D133" s="90"/>
      <c r="E133" s="90"/>
      <c r="F133" s="90"/>
      <c r="G133" s="90"/>
      <c r="H133" s="90"/>
      <c r="I133" s="90"/>
      <c r="J133" s="90"/>
      <c r="K133" s="90"/>
      <c r="L133" s="90"/>
      <c r="M133" s="90"/>
      <c r="N133" s="90"/>
      <c r="O133" s="90"/>
      <c r="P133" s="90"/>
      <c r="Q133" s="90"/>
      <c r="R133" s="90"/>
      <c r="S133" s="90"/>
      <c r="T133" s="90"/>
      <c r="U133" s="90"/>
      <c r="V133" s="90"/>
      <c r="W133" s="90"/>
      <c r="X133" s="90"/>
      <c r="Y133" s="90"/>
      <c r="Z133" s="90"/>
      <c r="AA133" s="90"/>
      <c r="AB133" s="91"/>
      <c r="AC133" s="91"/>
      <c r="AD133" s="91"/>
      <c r="AE133" s="91"/>
      <c r="AF133" s="91"/>
      <c r="AG133" s="90"/>
      <c r="AH133" s="91"/>
      <c r="AI133" s="91"/>
      <c r="AJ133" s="91"/>
      <c r="AK133" s="91"/>
      <c r="AL133" s="91"/>
    </row>
    <row r="134" spans="1:38" ht="24" customHeight="1" x14ac:dyDescent="0.2">
      <c r="V134"/>
      <c r="W134"/>
      <c r="X134"/>
      <c r="Y134"/>
      <c r="Z134"/>
      <c r="AB134" s="287" t="s">
        <v>247</v>
      </c>
      <c r="AC134" s="288"/>
      <c r="AD134" s="288"/>
      <c r="AE134" s="288"/>
      <c r="AF134" s="289"/>
      <c r="AH134" s="287" t="s">
        <v>246</v>
      </c>
      <c r="AI134" s="288"/>
      <c r="AJ134" s="288"/>
      <c r="AK134" s="288"/>
      <c r="AL134" s="289"/>
    </row>
  </sheetData>
  <sheetProtection sheet="1" objects="1" scenarios="1" insertHyperlinks="0"/>
  <mergeCells count="127">
    <mergeCell ref="AB41:AL41"/>
    <mergeCell ref="W41:AA41"/>
    <mergeCell ref="K41:V41"/>
    <mergeCell ref="D41:E41"/>
    <mergeCell ref="A27:F27"/>
    <mergeCell ref="AA29:AL29"/>
    <mergeCell ref="G29:S29"/>
    <mergeCell ref="U27:AA27"/>
    <mergeCell ref="G27:N27"/>
    <mergeCell ref="G35:L35"/>
    <mergeCell ref="G37:I37"/>
    <mergeCell ref="X37:AC37"/>
    <mergeCell ref="N37:T37"/>
    <mergeCell ref="G33:L33"/>
    <mergeCell ref="G31:L31"/>
    <mergeCell ref="T33:AL33"/>
    <mergeCell ref="Q33:S33"/>
    <mergeCell ref="AG23:AL23"/>
    <mergeCell ref="T31:AL31"/>
    <mergeCell ref="Q31:S31"/>
    <mergeCell ref="G25:S25"/>
    <mergeCell ref="G39:L39"/>
    <mergeCell ref="AG13:AL13"/>
    <mergeCell ref="G13:Y13"/>
    <mergeCell ref="T21:Y21"/>
    <mergeCell ref="I17:AL17"/>
    <mergeCell ref="G21:L21"/>
    <mergeCell ref="A19:X19"/>
    <mergeCell ref="AG21:AL21"/>
    <mergeCell ref="V15:Y15"/>
    <mergeCell ref="T23:Y23"/>
    <mergeCell ref="AG9:AL9"/>
    <mergeCell ref="G3:L3"/>
    <mergeCell ref="T3:Y3"/>
    <mergeCell ref="AG3:AL3"/>
    <mergeCell ref="G5:L5"/>
    <mergeCell ref="AG5:AL5"/>
    <mergeCell ref="T5:Y5"/>
    <mergeCell ref="AG11:AL11"/>
    <mergeCell ref="J11:Y11"/>
    <mergeCell ref="AH134:AL134"/>
    <mergeCell ref="AB134:AF134"/>
    <mergeCell ref="AD57:AL57"/>
    <mergeCell ref="V63:AC63"/>
    <mergeCell ref="V65:AC65"/>
    <mergeCell ref="V67:AC67"/>
    <mergeCell ref="I59:Q59"/>
    <mergeCell ref="Z59:AC59"/>
    <mergeCell ref="AD59:AL59"/>
    <mergeCell ref="G81:Y81"/>
    <mergeCell ref="V71:AC71"/>
    <mergeCell ref="AE63:AL63"/>
    <mergeCell ref="AE65:AL65"/>
    <mergeCell ref="AE67:AL67"/>
    <mergeCell ref="AE69:AL69"/>
    <mergeCell ref="A71:H71"/>
    <mergeCell ref="J63:Q63"/>
    <mergeCell ref="J65:Q65"/>
    <mergeCell ref="J67:Q67"/>
    <mergeCell ref="J69:Q69"/>
    <mergeCell ref="A63:H63"/>
    <mergeCell ref="A65:H65"/>
    <mergeCell ref="A67:H67"/>
    <mergeCell ref="A69:H69"/>
    <mergeCell ref="A1:U1"/>
    <mergeCell ref="AC81:AF81"/>
    <mergeCell ref="AA81:AB81"/>
    <mergeCell ref="G23:L23"/>
    <mergeCell ref="J15:L15"/>
    <mergeCell ref="Q35:AL35"/>
    <mergeCell ref="V53:Z53"/>
    <mergeCell ref="AA25:AL25"/>
    <mergeCell ref="S39:U39"/>
    <mergeCell ref="Y39:AL39"/>
    <mergeCell ref="AG77:AL77"/>
    <mergeCell ref="G77:Y77"/>
    <mergeCell ref="G79:H79"/>
    <mergeCell ref="I79:Y79"/>
    <mergeCell ref="AG79:AL79"/>
    <mergeCell ref="AH37:AL37"/>
    <mergeCell ref="G7:L7"/>
    <mergeCell ref="T7:Y7"/>
    <mergeCell ref="AG7:AL7"/>
    <mergeCell ref="G9:Y9"/>
    <mergeCell ref="G11:I11"/>
    <mergeCell ref="M15:O15"/>
    <mergeCell ref="AJ15:AL15"/>
    <mergeCell ref="Q15:U15"/>
    <mergeCell ref="A43:S43"/>
    <mergeCell ref="A53:E53"/>
    <mergeCell ref="E45:S45"/>
    <mergeCell ref="P47:S47"/>
    <mergeCell ref="AI51:AL51"/>
    <mergeCell ref="AI55:AL55"/>
    <mergeCell ref="Z55:AC55"/>
    <mergeCell ref="Z51:AC51"/>
    <mergeCell ref="AA53:AE53"/>
    <mergeCell ref="E55:H55"/>
    <mergeCell ref="N55:Q55"/>
    <mergeCell ref="E47:J47"/>
    <mergeCell ref="E51:H51"/>
    <mergeCell ref="N51:Q51"/>
    <mergeCell ref="L47:O47"/>
    <mergeCell ref="J55:M55"/>
    <mergeCell ref="W45:AL45"/>
    <mergeCell ref="A85:F85"/>
    <mergeCell ref="A73:H73"/>
    <mergeCell ref="J73:Q73"/>
    <mergeCell ref="V73:AC73"/>
    <mergeCell ref="AE73:AL73"/>
    <mergeCell ref="T47:AB47"/>
    <mergeCell ref="AI47:AL47"/>
    <mergeCell ref="F53:J53"/>
    <mergeCell ref="AJ81:AL81"/>
    <mergeCell ref="E59:H59"/>
    <mergeCell ref="G83:L83"/>
    <mergeCell ref="T83:Y83"/>
    <mergeCell ref="AG83:AL83"/>
    <mergeCell ref="J71:Q71"/>
    <mergeCell ref="AE71:AL71"/>
    <mergeCell ref="V69:AC69"/>
    <mergeCell ref="Z57:AC57"/>
    <mergeCell ref="I57:Q57"/>
    <mergeCell ref="E57:H57"/>
    <mergeCell ref="A55:D55"/>
    <mergeCell ref="V55:Y55"/>
    <mergeCell ref="AE55:AH55"/>
  </mergeCells>
  <phoneticPr fontId="4" type="noConversion"/>
  <conditionalFormatting sqref="G5:L5">
    <cfRule type="containsText" dxfId="13" priority="31" operator="containsText" text="FALSE">
      <formula>NOT(ISERROR(SEARCH("FALSE",G5)))</formula>
    </cfRule>
  </conditionalFormatting>
  <conditionalFormatting sqref="T5:Y5">
    <cfRule type="containsText" dxfId="12" priority="30" operator="containsText" text="FALSE">
      <formula>NOT(ISERROR(SEARCH("FALSE",T5)))</formula>
    </cfRule>
  </conditionalFormatting>
  <conditionalFormatting sqref="I59:Q59">
    <cfRule type="containsText" dxfId="11" priority="26" operator="containsText" text="FALSE">
      <formula>NOT(ISERROR(SEARCH("FALSE",I59)))</formula>
    </cfRule>
  </conditionalFormatting>
  <conditionalFormatting sqref="I57:Q57">
    <cfRule type="containsText" dxfId="10" priority="25" operator="containsText" text="FALSE">
      <formula>NOT(ISERROR(SEARCH("FALSE",I57)))</formula>
    </cfRule>
  </conditionalFormatting>
  <conditionalFormatting sqref="AD59:AL59">
    <cfRule type="containsText" dxfId="9" priority="24" operator="containsText" text="FALSE">
      <formula>NOT(ISERROR(SEARCH("FALSE",AD59)))</formula>
    </cfRule>
  </conditionalFormatting>
  <conditionalFormatting sqref="AD57:AL57">
    <cfRule type="containsText" dxfId="8" priority="23" operator="containsText" text="FALSE">
      <formula>NOT(ISERROR(SEARCH("FALSE",AD57)))</formula>
    </cfRule>
  </conditionalFormatting>
  <conditionalFormatting sqref="J15">
    <cfRule type="containsErrors" dxfId="7" priority="33">
      <formula>ISERROR(J15)</formula>
    </cfRule>
  </conditionalFormatting>
  <conditionalFormatting sqref="G21:L21">
    <cfRule type="containsText" dxfId="6" priority="20" operator="containsText" text="Calculate Manually">
      <formula>NOT(ISERROR(SEARCH("Calculate Manually",G21)))</formula>
    </cfRule>
  </conditionalFormatting>
  <conditionalFormatting sqref="T21:Y21">
    <cfRule type="containsText" dxfId="5" priority="19" operator="containsText" text="Calculate Manually">
      <formula>NOT(ISERROR(SEARCH("Calculate Manually",T21)))</formula>
    </cfRule>
  </conditionalFormatting>
  <conditionalFormatting sqref="Q31:S31">
    <cfRule type="containsText" dxfId="4" priority="6" operator="containsText" text="Enter distance">
      <formula>NOT(ISERROR(SEARCH("Enter distance",Q31)))</formula>
    </cfRule>
  </conditionalFormatting>
  <conditionalFormatting sqref="Q35:AL35 AB41">
    <cfRule type="containsText" dxfId="3" priority="5" operator="containsText" text="Enter position and distance">
      <formula>NOT(ISERROR(SEARCH("Enter position and distance",Q35)))</formula>
    </cfRule>
  </conditionalFormatting>
  <conditionalFormatting sqref="K41">
    <cfRule type="containsText" dxfId="2" priority="4" operator="containsText" text="Enter position and distance">
      <formula>NOT(ISERROR(SEARCH("Enter position and distance",K41)))</formula>
    </cfRule>
  </conditionalFormatting>
  <conditionalFormatting sqref="T47:AB47">
    <cfRule type="containsText" dxfId="1" priority="1" operator="containsText" text="Enter material here">
      <formula>NOT(ISERROR(SEARCH("Enter material here",T47)))</formula>
    </cfRule>
    <cfRule type="containsText" dxfId="0" priority="2" operator="containsText" text="N/A">
      <formula>NOT(ISERROR(SEARCH("N/A",T47)))</formula>
    </cfRule>
  </conditionalFormatting>
  <dataValidations xWindow="416" yWindow="481" count="8">
    <dataValidation type="list" allowBlank="1" showInputMessage="1" showErrorMessage="1" sqref="AJ15:AL15 AJ81:AL81">
      <formula1>"BH, Isa, Larry, Victoria"</formula1>
    </dataValidation>
    <dataValidation type="list" allowBlank="1" showInputMessage="1" showErrorMessage="1" sqref="I17:AL17 G81:Y81">
      <formula1>"N/A, 1 up PDF, REVISED 1 up PDF, Contract Proof, REVISED Contract Proof, 100% Content Proof, REVISED 100% Content Proof, Other (see comments)"</formula1>
    </dataValidation>
    <dataValidation type="list" allowBlank="1" showInputMessage="1" showErrorMessage="1" sqref="T5:Y5">
      <formula1>"Please Confirm, All, N/A, 1, 2, 3 , 4, 5, 6, 7, 8, 9, 10, 11, 12"</formula1>
    </dataValidation>
    <dataValidation type="list" allowBlank="1" showInputMessage="1" showErrorMessage="1" sqref="G5:L5">
      <formula1>"Match prev PO, All new plates"</formula1>
    </dataValidation>
    <dataValidation type="textLength" allowBlank="1" showInputMessage="1" showErrorMessage="1" sqref="AG13:AL13 AG5:AL5 AG79:AL79">
      <formula1>0</formula1>
      <formula2>15</formula2>
    </dataValidation>
    <dataValidation type="list" allowBlank="1" showErrorMessage="1" prompt="Please confirm entry." sqref="P47:S47">
      <formula1>"Clear, White, Metalized, N/A, Other:"</formula1>
    </dataValidation>
    <dataValidation type="decimal" allowBlank="1" showInputMessage="1" showErrorMessage="1" sqref="AG21:AL21">
      <formula1>300</formula1>
      <formula2>800</formula2>
    </dataValidation>
    <dataValidation type="list" allowBlank="1" showInputMessage="1" showErrorMessage="1" sqref="J15:L15">
      <formula1>"611,621"</formula1>
    </dataValidation>
  </dataValidations>
  <pageMargins left="0.39" right="0.39" top="0.2" bottom="0.2" header="0.2" footer="0.05"/>
  <pageSetup orientation="portrait" horizontalDpi="4294967292" verticalDpi="4294967292" r:id="rId1"/>
  <headerFooter alignWithMargins="0">
    <oddFooter>&amp;L&amp;9Issue Date: 1 Feb 2016&amp;C&amp;9Revision: 0 &amp;R&amp;9Revision Date: N/A</oddFooter>
  </headerFooter>
  <rowBreaks count="1" manualBreakCount="1">
    <brk id="74" min="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356" r:id="rId4" name="Button 7804">
              <controlPr defaultSize="0" print="0" autoFill="0" autoPict="0" macro="[0]!reset_PD_Click">
                <anchor moveWithCells="1" sizeWithCells="1">
                  <from>
                    <xdr:col>17</xdr:col>
                    <xdr:colOff>114300</xdr:colOff>
                    <xdr:row>47</xdr:row>
                    <xdr:rowOff>19050</xdr:rowOff>
                  </from>
                  <to>
                    <xdr:col>19</xdr:col>
                    <xdr:colOff>142875</xdr:colOff>
                    <xdr:row>48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37" r:id="rId5" name="Check Box 26113">
              <controlPr defaultSize="0" autoFill="0" autoLine="0" autoPict="0">
                <anchor moveWithCells="1">
                  <from>
                    <xdr:col>4</xdr:col>
                    <xdr:colOff>114300</xdr:colOff>
                    <xdr:row>82</xdr:row>
                    <xdr:rowOff>123825</xdr:rowOff>
                  </from>
                  <to>
                    <xdr:col>6</xdr:col>
                    <xdr:colOff>133350</xdr:colOff>
                    <xdr:row>84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0000FF"/>
  </sheetPr>
  <dimension ref="A1:AL67"/>
  <sheetViews>
    <sheetView showGridLines="0" view="pageLayout" zoomScaleNormal="150" workbookViewId="0">
      <selection activeCell="AE68" sqref="AD68:AE68"/>
    </sheetView>
  </sheetViews>
  <sheetFormatPr defaultColWidth="10.85546875" defaultRowHeight="12.75" x14ac:dyDescent="0.2"/>
  <cols>
    <col min="1" max="38" width="2.28515625" style="58" customWidth="1"/>
    <col min="39" max="16384" width="10.85546875" style="58"/>
  </cols>
  <sheetData>
    <row r="1" spans="1:38" ht="15.95" customHeight="1" x14ac:dyDescent="0.2">
      <c r="A1" s="84" t="s">
        <v>313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</row>
    <row r="2" spans="1:38" ht="3.95" customHeight="1" x14ac:dyDescent="0.2"/>
    <row r="3" spans="1:38" ht="15.95" customHeight="1" x14ac:dyDescent="0.2">
      <c r="A3" s="162" t="s">
        <v>251</v>
      </c>
      <c r="B3" s="77"/>
      <c r="C3" s="77"/>
      <c r="D3" s="77"/>
      <c r="E3" s="77"/>
      <c r="F3" s="77"/>
      <c r="G3" s="299"/>
      <c r="H3" s="299"/>
      <c r="I3" s="299"/>
      <c r="J3" s="299"/>
      <c r="K3" s="299"/>
      <c r="L3" s="300"/>
      <c r="N3" s="162" t="s">
        <v>69</v>
      </c>
      <c r="O3" s="77"/>
      <c r="P3" s="77"/>
      <c r="Q3" s="77"/>
      <c r="R3" s="77"/>
      <c r="S3" s="77"/>
      <c r="T3" s="326" t="b">
        <f>ICM!G5</f>
        <v>0</v>
      </c>
      <c r="U3" s="326"/>
      <c r="V3" s="326"/>
      <c r="W3" s="326"/>
      <c r="X3" s="326"/>
      <c r="Y3" s="327"/>
      <c r="AA3" s="82" t="s">
        <v>68</v>
      </c>
      <c r="AB3" s="77"/>
      <c r="AC3" s="77"/>
      <c r="AD3" s="77"/>
      <c r="AE3" s="77"/>
      <c r="AF3" s="77"/>
      <c r="AG3" s="330">
        <f>ICM!AG3</f>
        <v>0</v>
      </c>
      <c r="AH3" s="281"/>
      <c r="AI3" s="281"/>
      <c r="AJ3" s="281"/>
      <c r="AK3" s="281"/>
      <c r="AL3" s="282"/>
    </row>
    <row r="4" spans="1:38" ht="3.95" customHeight="1" x14ac:dyDescent="0.2"/>
    <row r="5" spans="1:38" ht="15.95" customHeight="1" x14ac:dyDescent="0.2">
      <c r="A5" s="162" t="s">
        <v>2</v>
      </c>
      <c r="B5" s="77"/>
      <c r="C5" s="77"/>
      <c r="D5" s="77"/>
      <c r="E5" s="77"/>
      <c r="F5" s="77"/>
      <c r="G5" s="331"/>
      <c r="H5" s="331"/>
      <c r="I5" s="331"/>
      <c r="J5" s="331"/>
      <c r="K5" s="331"/>
      <c r="L5" s="332"/>
      <c r="N5" s="162" t="s">
        <v>63</v>
      </c>
      <c r="O5" s="77"/>
      <c r="P5" s="77"/>
      <c r="Q5" s="77"/>
      <c r="R5" s="77"/>
      <c r="S5" s="77"/>
      <c r="T5" s="251"/>
      <c r="U5" s="251"/>
      <c r="V5" s="251"/>
      <c r="W5" s="251"/>
      <c r="X5" s="251"/>
      <c r="Y5" s="252"/>
      <c r="AA5" s="162" t="s">
        <v>286</v>
      </c>
      <c r="AB5" s="77"/>
      <c r="AC5" s="77"/>
      <c r="AD5" s="77"/>
      <c r="AE5" s="77"/>
      <c r="AF5" s="77"/>
      <c r="AG5" s="253"/>
      <c r="AH5" s="253"/>
      <c r="AI5" s="253"/>
      <c r="AJ5" s="253"/>
      <c r="AK5" s="253"/>
      <c r="AL5" s="254"/>
    </row>
    <row r="6" spans="1:38" ht="3.95" customHeight="1" x14ac:dyDescent="0.2"/>
    <row r="7" spans="1:38" ht="15.95" customHeight="1" x14ac:dyDescent="0.2">
      <c r="A7" s="162" t="s">
        <v>152</v>
      </c>
      <c r="B7" s="77"/>
      <c r="C7" s="77"/>
      <c r="D7" s="77"/>
      <c r="E7" s="77"/>
      <c r="F7" s="77"/>
      <c r="G7" s="324">
        <f>'3 Side Seal Zipper Pouch'!C7</f>
        <v>0</v>
      </c>
      <c r="H7" s="324"/>
      <c r="I7" s="324"/>
      <c r="J7" s="324"/>
      <c r="K7" s="324"/>
      <c r="L7" s="324"/>
      <c r="M7" s="324"/>
      <c r="N7" s="324"/>
      <c r="O7" s="324"/>
      <c r="P7" s="324"/>
      <c r="Q7" s="324"/>
      <c r="R7" s="324"/>
      <c r="S7" s="324"/>
      <c r="T7" s="324"/>
      <c r="U7" s="324"/>
      <c r="V7" s="324"/>
      <c r="W7" s="324"/>
      <c r="X7" s="324"/>
      <c r="Y7" s="325"/>
      <c r="AA7" s="162" t="s">
        <v>5</v>
      </c>
      <c r="AB7" s="77"/>
      <c r="AC7" s="77"/>
      <c r="AD7" s="77"/>
      <c r="AE7" s="77"/>
      <c r="AF7" s="77"/>
      <c r="AG7" s="322">
        <f>'3 Side Seal Zipper Pouch'!C5</f>
        <v>0</v>
      </c>
      <c r="AH7" s="322"/>
      <c r="AI7" s="322"/>
      <c r="AJ7" s="322"/>
      <c r="AK7" s="322"/>
      <c r="AL7" s="323"/>
    </row>
    <row r="8" spans="1:38" ht="3.95" customHeight="1" x14ac:dyDescent="0.2"/>
    <row r="9" spans="1:38" ht="15.95" customHeight="1" x14ac:dyDescent="0.2">
      <c r="A9" s="162" t="s">
        <v>252</v>
      </c>
      <c r="B9" s="77"/>
      <c r="C9" s="77"/>
      <c r="D9" s="77"/>
      <c r="E9" s="77"/>
      <c r="F9" s="77"/>
      <c r="G9" s="322">
        <f>ICM!G11</f>
        <v>0</v>
      </c>
      <c r="H9" s="322"/>
      <c r="I9" s="326">
        <f>'3 Side Seal Zipper Pouch'!C11</f>
        <v>0</v>
      </c>
      <c r="J9" s="326"/>
      <c r="K9" s="326"/>
      <c r="L9" s="326"/>
      <c r="M9" s="326"/>
      <c r="N9" s="326"/>
      <c r="O9" s="326"/>
      <c r="P9" s="326"/>
      <c r="Q9" s="326"/>
      <c r="R9" s="326"/>
      <c r="S9" s="326"/>
      <c r="T9" s="326"/>
      <c r="U9" s="326"/>
      <c r="V9" s="326"/>
      <c r="W9" s="326"/>
      <c r="X9" s="326"/>
      <c r="Y9" s="327"/>
      <c r="AA9" s="162" t="s">
        <v>72</v>
      </c>
      <c r="AB9" s="77"/>
      <c r="AC9" s="77"/>
      <c r="AD9" s="77"/>
      <c r="AE9" s="77"/>
      <c r="AF9" s="77"/>
      <c r="AG9" s="299">
        <f>ICM!AG13</f>
        <v>0</v>
      </c>
      <c r="AH9" s="299"/>
      <c r="AI9" s="299"/>
      <c r="AJ9" s="299"/>
      <c r="AK9" s="299"/>
      <c r="AL9" s="300"/>
    </row>
    <row r="10" spans="1:38" ht="3.95" customHeight="1" x14ac:dyDescent="0.2"/>
    <row r="11" spans="1:38" ht="15.95" customHeight="1" x14ac:dyDescent="0.2">
      <c r="A11" s="162" t="s">
        <v>199</v>
      </c>
      <c r="B11" s="77"/>
      <c r="C11" s="77"/>
      <c r="D11" s="77"/>
      <c r="E11" s="77"/>
      <c r="F11" s="77"/>
      <c r="G11" s="326">
        <f>ICM!W45</f>
        <v>0</v>
      </c>
      <c r="H11" s="326"/>
      <c r="I11" s="326"/>
      <c r="J11" s="326"/>
      <c r="K11" s="326"/>
      <c r="L11" s="326"/>
      <c r="M11" s="326"/>
      <c r="N11" s="326"/>
      <c r="O11" s="326"/>
      <c r="P11" s="326"/>
      <c r="Q11" s="326"/>
      <c r="R11" s="326"/>
      <c r="S11" s="326"/>
      <c r="T11" s="326"/>
      <c r="U11" s="326"/>
      <c r="V11" s="326"/>
      <c r="W11" s="326"/>
      <c r="X11" s="326"/>
      <c r="Y11" s="327"/>
      <c r="AA11" s="162" t="s">
        <v>198</v>
      </c>
      <c r="AB11" s="77"/>
      <c r="AC11" s="77"/>
      <c r="AD11" s="77"/>
      <c r="AE11" s="77"/>
      <c r="AF11" s="77"/>
      <c r="AG11" s="328"/>
      <c r="AH11" s="328"/>
      <c r="AI11" s="328"/>
      <c r="AJ11" s="328"/>
      <c r="AK11" s="328"/>
      <c r="AL11" s="329"/>
    </row>
    <row r="12" spans="1:38" ht="3.95" customHeight="1" x14ac:dyDescent="0.2"/>
    <row r="13" spans="1:38" ht="15.95" customHeight="1" x14ac:dyDescent="0.2">
      <c r="A13" s="271" t="s">
        <v>102</v>
      </c>
      <c r="B13" s="272"/>
      <c r="C13" s="272"/>
      <c r="D13" s="272"/>
      <c r="E13" s="272"/>
      <c r="F13" s="272"/>
      <c r="G13" s="299"/>
      <c r="H13" s="299"/>
      <c r="I13" s="299"/>
      <c r="J13" s="299"/>
      <c r="K13" s="299"/>
      <c r="L13" s="300"/>
      <c r="M13"/>
      <c r="N13" s="271" t="s">
        <v>103</v>
      </c>
      <c r="O13" s="272"/>
      <c r="P13" s="272"/>
      <c r="Q13" s="272"/>
      <c r="R13" s="272"/>
      <c r="S13" s="272"/>
      <c r="T13" s="299"/>
      <c r="U13" s="299"/>
      <c r="V13" s="299"/>
      <c r="W13" s="299"/>
      <c r="X13" s="299"/>
      <c r="Y13" s="300"/>
      <c r="Z13"/>
      <c r="AA13"/>
      <c r="AB13"/>
      <c r="AC13"/>
      <c r="AD13"/>
      <c r="AE13"/>
      <c r="AF13"/>
      <c r="AG13" s="162" t="s">
        <v>196</v>
      </c>
      <c r="AH13" s="77"/>
      <c r="AI13" s="77"/>
      <c r="AJ13" s="299"/>
      <c r="AK13" s="299"/>
      <c r="AL13" s="300"/>
    </row>
    <row r="14" spans="1:38" ht="3.95" customHeight="1" x14ac:dyDescent="0.2"/>
    <row r="15" spans="1:38" ht="15.95" customHeight="1" x14ac:dyDescent="0.2">
      <c r="A15" s="84" t="s">
        <v>258</v>
      </c>
      <c r="B15" s="75"/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164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4"/>
      <c r="AA15" s="75"/>
      <c r="AB15" s="75"/>
      <c r="AC15" s="75"/>
      <c r="AD15" s="75"/>
      <c r="AE15" s="75"/>
      <c r="AF15" s="75"/>
      <c r="AG15" s="75"/>
      <c r="AH15" s="75"/>
      <c r="AI15" s="75"/>
      <c r="AJ15" s="75"/>
      <c r="AK15" s="75"/>
      <c r="AL15" s="75"/>
    </row>
    <row r="16" spans="1:38" ht="3.95" customHeight="1" x14ac:dyDescent="0.2"/>
    <row r="17" spans="1:38" ht="15.95" customHeight="1" x14ac:dyDescent="0.2">
      <c r="A17" s="162" t="s">
        <v>287</v>
      </c>
      <c r="B17" s="77"/>
      <c r="C17" s="77"/>
      <c r="D17" s="77"/>
      <c r="E17" s="77"/>
      <c r="F17" s="77"/>
      <c r="G17" s="299"/>
      <c r="H17" s="299"/>
      <c r="I17" s="299"/>
      <c r="J17" s="299"/>
      <c r="K17" s="299"/>
      <c r="L17" s="300"/>
      <c r="N17" s="162" t="s">
        <v>288</v>
      </c>
      <c r="O17" s="77"/>
      <c r="P17" s="77"/>
      <c r="Q17" s="77"/>
      <c r="R17" s="77"/>
      <c r="S17" s="77"/>
      <c r="T17" s="299"/>
      <c r="U17" s="299"/>
      <c r="V17" s="299"/>
      <c r="W17" s="299"/>
      <c r="X17" s="299"/>
      <c r="Y17" s="300"/>
      <c r="AA17" s="162" t="s">
        <v>11</v>
      </c>
      <c r="AB17" s="77"/>
      <c r="AC17" s="77"/>
      <c r="AD17" s="77"/>
      <c r="AE17" s="77"/>
      <c r="AF17" s="77"/>
      <c r="AG17" s="322">
        <f>ICM!AG21</f>
        <v>0</v>
      </c>
      <c r="AH17" s="322"/>
      <c r="AI17" s="322"/>
      <c r="AJ17" s="322"/>
      <c r="AK17" s="322"/>
      <c r="AL17" s="323"/>
    </row>
    <row r="18" spans="1:38" ht="3.95" customHeight="1" x14ac:dyDescent="0.2"/>
    <row r="19" spans="1:38" ht="15.95" customHeight="1" x14ac:dyDescent="0.2">
      <c r="A19" s="162" t="s">
        <v>285</v>
      </c>
      <c r="B19" s="77"/>
      <c r="C19" s="77"/>
      <c r="D19" s="77"/>
      <c r="E19" s="77"/>
      <c r="F19" s="77"/>
      <c r="G19" s="273"/>
      <c r="H19" s="273"/>
      <c r="I19" s="273"/>
      <c r="J19" s="273"/>
      <c r="K19" s="273"/>
      <c r="L19" s="274"/>
      <c r="N19" s="162" t="s">
        <v>311</v>
      </c>
      <c r="O19" s="77"/>
      <c r="P19" s="77"/>
      <c r="Q19" s="77"/>
      <c r="R19" s="77"/>
      <c r="S19" s="77"/>
      <c r="T19" s="273"/>
      <c r="U19" s="273"/>
      <c r="V19" s="273"/>
      <c r="W19" s="273"/>
      <c r="X19" s="273"/>
      <c r="Y19" s="274"/>
      <c r="AA19" s="162" t="s">
        <v>250</v>
      </c>
      <c r="AB19" s="77"/>
      <c r="AC19" s="77"/>
      <c r="AD19" s="77"/>
      <c r="AE19" s="77"/>
      <c r="AF19" s="77"/>
      <c r="AG19" s="303" t="e">
        <f>(((9.8806/AG17)*100)-100)-(((9.8806/AG17)*100)-100)-(((9.8806/AG17)*100)-100)</f>
        <v>#DIV/0!</v>
      </c>
      <c r="AH19" s="303"/>
      <c r="AI19" s="303"/>
      <c r="AJ19" s="303"/>
      <c r="AK19" s="303"/>
      <c r="AL19" s="304"/>
    </row>
    <row r="20" spans="1:38" ht="3.95" customHeight="1" x14ac:dyDescent="0.2"/>
    <row r="21" spans="1:38" ht="15.95" customHeight="1" x14ac:dyDescent="0.2">
      <c r="A21" s="162" t="s">
        <v>224</v>
      </c>
      <c r="B21" s="77"/>
      <c r="C21" s="77"/>
      <c r="D21" s="77"/>
      <c r="E21" s="77"/>
      <c r="F21" s="77"/>
      <c r="G21" s="273" t="b">
        <f>ICM!T21</f>
        <v>0</v>
      </c>
      <c r="H21" s="273"/>
      <c r="I21" s="273"/>
      <c r="J21" s="273"/>
      <c r="K21" s="273"/>
      <c r="L21" s="274"/>
      <c r="N21" s="162" t="s">
        <v>12</v>
      </c>
      <c r="O21" s="77"/>
      <c r="P21" s="77"/>
      <c r="Q21" s="77"/>
      <c r="R21" s="77"/>
      <c r="S21" s="77"/>
      <c r="T21" s="273" t="e">
        <f>AG17/T17</f>
        <v>#DIV/0!</v>
      </c>
      <c r="U21" s="273"/>
      <c r="V21" s="273"/>
      <c r="W21" s="273"/>
      <c r="X21" s="273"/>
      <c r="Y21" s="274"/>
      <c r="AA21" s="162" t="s">
        <v>85</v>
      </c>
      <c r="AB21" s="77"/>
      <c r="AC21" s="94"/>
      <c r="AD21" s="94"/>
      <c r="AE21" s="94"/>
      <c r="AF21" s="131"/>
      <c r="AG21" s="299"/>
      <c r="AH21" s="299"/>
      <c r="AI21" s="299"/>
      <c r="AJ21" s="299"/>
      <c r="AK21" s="299"/>
      <c r="AL21" s="300"/>
    </row>
    <row r="22" spans="1:38" ht="3.95" customHeight="1" x14ac:dyDescent="0.2"/>
    <row r="23" spans="1:38" ht="15.95" customHeight="1" x14ac:dyDescent="0.2">
      <c r="A23" s="162" t="s">
        <v>260</v>
      </c>
      <c r="B23" s="77"/>
      <c r="C23" s="77"/>
      <c r="D23" s="77"/>
      <c r="E23" s="94"/>
      <c r="F23" s="94"/>
      <c r="G23" s="299"/>
      <c r="H23" s="299"/>
      <c r="I23" s="299"/>
      <c r="J23" s="299"/>
      <c r="K23" s="299"/>
      <c r="L23" s="300"/>
      <c r="M23"/>
      <c r="N23" s="89" t="s">
        <v>253</v>
      </c>
      <c r="O23" s="99"/>
      <c r="P23" s="100"/>
      <c r="Q23" s="100"/>
      <c r="R23" s="100"/>
      <c r="S23" s="101"/>
      <c r="T23" s="320" t="b">
        <f>IF(G23="No","N/A")</f>
        <v>0</v>
      </c>
      <c r="U23" s="320"/>
      <c r="V23" s="320"/>
      <c r="W23" s="320"/>
      <c r="X23" s="320"/>
      <c r="Y23" s="321"/>
      <c r="Z23"/>
      <c r="AA23" s="89" t="s">
        <v>254</v>
      </c>
      <c r="AB23" s="99"/>
      <c r="AC23" s="99"/>
      <c r="AD23" s="148"/>
      <c r="AE23" s="131"/>
      <c r="AF23" s="131"/>
      <c r="AG23" s="299" t="b">
        <f>IF(G23="No","N/A")</f>
        <v>0</v>
      </c>
      <c r="AH23" s="299"/>
      <c r="AI23" s="299"/>
      <c r="AJ23" s="299"/>
      <c r="AK23" s="299"/>
      <c r="AL23" s="300"/>
    </row>
    <row r="24" spans="1:38" ht="15.95" hidden="1" customHeight="1" x14ac:dyDescent="0.2">
      <c r="A24" s="97"/>
      <c r="B24" s="97"/>
      <c r="C24" s="97"/>
      <c r="D24" s="97"/>
      <c r="E24" s="98"/>
      <c r="F24" s="98"/>
      <c r="G24"/>
      <c r="H24"/>
      <c r="I24"/>
      <c r="J24"/>
      <c r="K24"/>
      <c r="L24"/>
      <c r="M24"/>
      <c r="N24" s="97"/>
      <c r="O24" s="97"/>
      <c r="P24" s="97"/>
      <c r="Q24" s="97"/>
      <c r="S24" s="98"/>
      <c r="Z24"/>
      <c r="AA24"/>
      <c r="AB24"/>
      <c r="AC24"/>
      <c r="AD24"/>
      <c r="AG24" s="166" t="s">
        <v>78</v>
      </c>
      <c r="AH24" s="167"/>
      <c r="AI24" s="168"/>
      <c r="AJ24" s="168"/>
      <c r="AK24" s="168"/>
      <c r="AL24" s="168"/>
    </row>
    <row r="25" spans="1:38" ht="15.95" hidden="1" customHeight="1" x14ac:dyDescent="0.2">
      <c r="A25" s="97"/>
      <c r="B25" s="97"/>
      <c r="C25" s="97"/>
      <c r="D25" s="97"/>
      <c r="E25" s="98"/>
      <c r="F25" s="98"/>
      <c r="G25"/>
      <c r="H25"/>
      <c r="I25"/>
      <c r="J25"/>
      <c r="K25"/>
      <c r="L25"/>
      <c r="M25"/>
      <c r="N25" s="97"/>
      <c r="O25" s="97"/>
      <c r="P25" s="97"/>
      <c r="Q25" s="97"/>
      <c r="S25" s="98"/>
      <c r="Z25"/>
      <c r="AA25"/>
      <c r="AB25"/>
      <c r="AC25"/>
      <c r="AD25"/>
      <c r="AG25" s="166" t="s">
        <v>177</v>
      </c>
      <c r="AH25" s="167"/>
      <c r="AI25" s="168"/>
      <c r="AJ25" s="168"/>
      <c r="AK25" s="168"/>
      <c r="AL25" s="168"/>
    </row>
    <row r="26" spans="1:38" ht="15.95" hidden="1" customHeight="1" x14ac:dyDescent="0.2">
      <c r="A26" s="97"/>
      <c r="B26" s="97"/>
      <c r="C26" s="97"/>
      <c r="D26" s="97"/>
      <c r="E26" s="98"/>
      <c r="F26" s="98"/>
      <c r="G26"/>
      <c r="H26"/>
      <c r="I26"/>
      <c r="J26"/>
      <c r="K26"/>
      <c r="L26"/>
      <c r="M26"/>
      <c r="N26" s="97"/>
      <c r="O26" s="97"/>
      <c r="P26" s="97"/>
      <c r="Q26" s="97"/>
      <c r="S26" s="98"/>
      <c r="Z26"/>
      <c r="AA26"/>
      <c r="AB26"/>
      <c r="AC26"/>
      <c r="AD26"/>
      <c r="AG26" s="166" t="s">
        <v>178</v>
      </c>
      <c r="AH26" s="167"/>
      <c r="AI26" s="168"/>
      <c r="AJ26" s="168"/>
      <c r="AK26" s="168"/>
      <c r="AL26" s="168"/>
    </row>
    <row r="27" spans="1:38" ht="3.95" customHeight="1" x14ac:dyDescent="0.2"/>
    <row r="28" spans="1:38" customFormat="1" ht="15.95" customHeight="1" x14ac:dyDescent="0.2">
      <c r="A28" s="161" t="s">
        <v>255</v>
      </c>
      <c r="B28" s="163"/>
      <c r="C28" s="163"/>
      <c r="D28" s="163"/>
      <c r="E28" s="163"/>
      <c r="F28" s="299" t="b">
        <f>IF(G23="No","N/A")</f>
        <v>0</v>
      </c>
      <c r="G28" s="299"/>
      <c r="H28" s="299"/>
      <c r="I28" s="300"/>
      <c r="K28" s="161" t="s">
        <v>256</v>
      </c>
      <c r="L28" s="163"/>
      <c r="M28" s="163"/>
      <c r="N28" s="163"/>
      <c r="O28" s="163"/>
      <c r="P28" s="299" t="b">
        <f>IF(G23="No","N/A")</f>
        <v>0</v>
      </c>
      <c r="Q28" s="299"/>
      <c r="R28" s="299"/>
      <c r="S28" s="299"/>
      <c r="T28" s="300"/>
      <c r="U28" s="58"/>
      <c r="V28" s="161" t="s">
        <v>124</v>
      </c>
      <c r="W28" s="163"/>
      <c r="X28" s="163"/>
      <c r="Y28" s="163"/>
      <c r="Z28" s="163"/>
      <c r="AA28" s="299" t="b">
        <f>IF(G23="No","N/A")</f>
        <v>0</v>
      </c>
      <c r="AB28" s="299"/>
      <c r="AC28" s="299"/>
      <c r="AD28" s="300"/>
      <c r="AE28" s="58"/>
      <c r="AF28" s="161" t="s">
        <v>257</v>
      </c>
      <c r="AG28" s="163"/>
      <c r="AH28" s="163"/>
      <c r="AI28" s="299" t="b">
        <f>IF(AA28="N/A","N/A",IF(AA28="Std (3mm)","N/A",IF(AA28="1mm","N/A",IF(AA28="2mm","N/A",IF(AA28="Centered","N/A",IF(AA28="See Layout","N/A"))))))</f>
        <v>0</v>
      </c>
      <c r="AJ28" s="299"/>
      <c r="AK28" s="299"/>
      <c r="AL28" s="300"/>
    </row>
    <row r="29" spans="1:38" ht="3.95" customHeight="1" x14ac:dyDescent="0.2"/>
    <row r="30" spans="1:38" ht="15.95" customHeight="1" x14ac:dyDescent="0.2">
      <c r="A30" s="162" t="s">
        <v>175</v>
      </c>
      <c r="B30" s="77"/>
      <c r="C30" s="77"/>
      <c r="D30" s="77"/>
      <c r="E30" s="77"/>
      <c r="F30" s="299"/>
      <c r="G30" s="299"/>
      <c r="H30" s="299"/>
      <c r="I30" s="299"/>
      <c r="J30" s="299"/>
      <c r="K30" s="299"/>
      <c r="L30" s="299"/>
      <c r="M30" s="299"/>
      <c r="N30" s="299"/>
      <c r="O30" s="299"/>
      <c r="P30" s="299"/>
      <c r="Q30" s="299"/>
      <c r="R30" s="299"/>
      <c r="S30" s="299"/>
      <c r="T30" s="299"/>
      <c r="U30" s="299"/>
      <c r="V30" s="299"/>
      <c r="W30" s="299"/>
      <c r="X30" s="299"/>
      <c r="Y30" s="299"/>
      <c r="Z30" s="299"/>
      <c r="AA30" s="299"/>
      <c r="AB30" s="299"/>
      <c r="AC30" s="299"/>
      <c r="AD30" s="300"/>
      <c r="AE30" s="95"/>
      <c r="AF30" s="169" t="s">
        <v>249</v>
      </c>
      <c r="AG30" s="169"/>
      <c r="AH30" s="169"/>
      <c r="AI30" s="169"/>
      <c r="AJ30" s="169"/>
      <c r="AK30" s="169"/>
      <c r="AL30" s="169"/>
    </row>
    <row r="31" spans="1:38" ht="3.95" customHeight="1" x14ac:dyDescent="0.2"/>
    <row r="32" spans="1:38" ht="15.95" customHeight="1" x14ac:dyDescent="0.2">
      <c r="A32" s="84" t="s">
        <v>259</v>
      </c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  <c r="S32" s="75"/>
      <c r="T32" s="75"/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  <c r="AH32" s="75"/>
      <c r="AI32" s="75"/>
      <c r="AJ32" s="75"/>
      <c r="AK32" s="75"/>
      <c r="AL32" s="75"/>
    </row>
    <row r="33" spans="1:38" s="96" customFormat="1" ht="3.95" customHeight="1" x14ac:dyDescent="0.2"/>
    <row r="34" spans="1:38" ht="12" customHeight="1" x14ac:dyDescent="0.2">
      <c r="A34" s="162" t="s">
        <v>62</v>
      </c>
      <c r="B34" s="77"/>
      <c r="C34" s="77"/>
      <c r="D34" s="77"/>
      <c r="E34" s="77"/>
      <c r="F34" s="77"/>
      <c r="G34" s="179">
        <f>ICM!AG5</f>
        <v>0</v>
      </c>
      <c r="H34" s="170"/>
      <c r="I34" s="170"/>
      <c r="J34" s="170"/>
      <c r="K34" s="170"/>
      <c r="L34" s="171"/>
      <c r="M34" s="96"/>
      <c r="N34" s="96"/>
      <c r="O34" s="96"/>
      <c r="P34" s="96"/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96"/>
      <c r="AH34" s="96"/>
      <c r="AI34" s="96"/>
      <c r="AJ34" s="96"/>
      <c r="AK34" s="96"/>
      <c r="AL34" s="96"/>
    </row>
    <row r="35" spans="1:38" ht="3.95" customHeight="1" x14ac:dyDescent="0.2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  <c r="P35" s="96"/>
      <c r="Q35" s="96"/>
      <c r="R35" s="96"/>
      <c r="S35" s="96"/>
      <c r="T35" s="96"/>
      <c r="U35" s="96"/>
      <c r="V35" s="96"/>
      <c r="W35" s="96"/>
      <c r="X35" s="96"/>
      <c r="Y35" s="96"/>
      <c r="Z35" s="96"/>
      <c r="AA35" s="96"/>
      <c r="AB35" s="96"/>
      <c r="AC35" s="96"/>
      <c r="AD35" s="96"/>
      <c r="AE35" s="96"/>
      <c r="AF35" s="96"/>
      <c r="AG35" s="96"/>
      <c r="AH35" s="96"/>
      <c r="AI35" s="96"/>
      <c r="AJ35" s="96"/>
      <c r="AK35" s="96"/>
      <c r="AL35" s="96"/>
    </row>
    <row r="36" spans="1:38" ht="12" customHeight="1" x14ac:dyDescent="0.2">
      <c r="A36" s="172"/>
      <c r="B36" s="172"/>
      <c r="C36" s="172"/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72"/>
      <c r="AA36" s="172"/>
      <c r="AB36" s="172"/>
      <c r="AC36" s="172"/>
      <c r="AD36" s="172"/>
      <c r="AE36" s="172"/>
      <c r="AF36" s="172"/>
      <c r="AG36" s="172"/>
      <c r="AH36" s="172"/>
      <c r="AI36" s="172"/>
      <c r="AJ36" s="172"/>
      <c r="AK36" s="172"/>
      <c r="AL36" s="172"/>
    </row>
    <row r="37" spans="1:38" ht="12" customHeight="1" x14ac:dyDescent="0.2">
      <c r="A37" s="173"/>
      <c r="B37" s="173"/>
      <c r="C37" s="173"/>
      <c r="D37" s="173"/>
      <c r="E37" s="173"/>
      <c r="F37" s="173"/>
      <c r="G37" s="173"/>
      <c r="H37" s="173"/>
      <c r="I37" s="173"/>
      <c r="J37" s="173"/>
      <c r="K37" s="173"/>
      <c r="L37" s="173"/>
      <c r="M37" s="173"/>
      <c r="N37" s="173"/>
      <c r="O37" s="173"/>
      <c r="P37" s="173"/>
      <c r="Q37" s="173"/>
      <c r="R37" s="173"/>
      <c r="S37" s="173"/>
      <c r="T37" s="173"/>
      <c r="U37" s="173"/>
      <c r="V37" s="173"/>
      <c r="W37" s="173"/>
      <c r="X37" s="173"/>
      <c r="Y37" s="173"/>
      <c r="Z37" s="173"/>
      <c r="AA37" s="173"/>
      <c r="AB37" s="173"/>
      <c r="AC37" s="173"/>
      <c r="AD37" s="173"/>
      <c r="AE37" s="173"/>
      <c r="AF37" s="173"/>
      <c r="AG37" s="173"/>
      <c r="AH37" s="173"/>
      <c r="AI37" s="173"/>
      <c r="AJ37" s="173"/>
      <c r="AK37" s="173"/>
      <c r="AL37" s="173"/>
    </row>
    <row r="38" spans="1:38" ht="12" customHeight="1" x14ac:dyDescent="0.2">
      <c r="A38" s="173"/>
      <c r="B38" s="173"/>
      <c r="C38" s="173"/>
      <c r="D38" s="173"/>
      <c r="E38" s="173"/>
      <c r="F38" s="173"/>
      <c r="G38" s="173"/>
      <c r="H38" s="173"/>
      <c r="I38" s="173"/>
      <c r="J38" s="173"/>
      <c r="K38" s="173"/>
      <c r="L38" s="173"/>
      <c r="M38" s="173"/>
      <c r="N38" s="173"/>
      <c r="O38" s="173"/>
      <c r="P38" s="173"/>
      <c r="Q38" s="173"/>
      <c r="R38" s="173"/>
      <c r="S38" s="173"/>
      <c r="T38" s="173"/>
      <c r="U38" s="173"/>
      <c r="V38" s="173"/>
      <c r="W38" s="173"/>
      <c r="X38" s="173"/>
      <c r="Y38" s="173"/>
      <c r="Z38" s="173"/>
      <c r="AA38" s="173"/>
      <c r="AB38" s="173"/>
      <c r="AC38" s="173"/>
      <c r="AD38" s="173"/>
      <c r="AE38" s="173"/>
      <c r="AF38" s="173"/>
      <c r="AG38" s="173"/>
      <c r="AH38" s="173"/>
      <c r="AI38" s="173"/>
      <c r="AJ38" s="173"/>
      <c r="AK38" s="173"/>
      <c r="AL38" s="173"/>
    </row>
    <row r="39" spans="1:38" ht="12" customHeight="1" x14ac:dyDescent="0.2">
      <c r="A39" s="173"/>
      <c r="B39" s="173"/>
      <c r="C39" s="173"/>
      <c r="D39" s="173"/>
      <c r="E39" s="173"/>
      <c r="F39" s="173"/>
      <c r="G39" s="173"/>
      <c r="H39" s="173"/>
      <c r="I39" s="173"/>
      <c r="J39" s="173"/>
      <c r="K39" s="173"/>
      <c r="L39" s="173"/>
      <c r="M39" s="173"/>
      <c r="N39" s="173"/>
      <c r="O39" s="173"/>
      <c r="P39" s="173"/>
      <c r="Q39" s="173"/>
      <c r="R39" s="173"/>
      <c r="S39" s="173"/>
      <c r="T39" s="173"/>
      <c r="U39" s="173"/>
      <c r="V39" s="173"/>
      <c r="W39" s="173"/>
      <c r="X39" s="173"/>
      <c r="Y39" s="173"/>
      <c r="Z39" s="173"/>
      <c r="AA39" s="173"/>
      <c r="AB39" s="173"/>
      <c r="AC39" s="173"/>
      <c r="AD39" s="173"/>
      <c r="AE39" s="173"/>
      <c r="AF39" s="173"/>
      <c r="AG39" s="173"/>
      <c r="AH39" s="173"/>
      <c r="AI39" s="173"/>
      <c r="AJ39" s="173"/>
      <c r="AK39" s="173"/>
      <c r="AL39" s="173"/>
    </row>
    <row r="40" spans="1:38" ht="12" customHeight="1" x14ac:dyDescent="0.2">
      <c r="A40" s="173"/>
      <c r="B40" s="173"/>
      <c r="C40" s="173"/>
      <c r="D40" s="173"/>
      <c r="E40" s="173"/>
      <c r="F40" s="173"/>
      <c r="G40" s="173"/>
      <c r="H40" s="173"/>
      <c r="I40" s="173"/>
      <c r="J40" s="173"/>
      <c r="K40" s="173"/>
      <c r="L40" s="173"/>
      <c r="M40" s="173"/>
      <c r="N40" s="173"/>
      <c r="O40" s="173"/>
      <c r="P40" s="173"/>
      <c r="Q40" s="173"/>
      <c r="R40" s="173"/>
      <c r="S40" s="173"/>
      <c r="T40" s="173"/>
      <c r="U40" s="173"/>
      <c r="V40" s="173"/>
      <c r="W40" s="173"/>
      <c r="X40" s="173"/>
      <c r="Y40" s="173"/>
      <c r="Z40" s="173"/>
      <c r="AA40" s="173"/>
      <c r="AB40" s="173"/>
      <c r="AC40" s="173"/>
      <c r="AD40" s="173"/>
      <c r="AE40" s="173"/>
      <c r="AF40" s="173"/>
      <c r="AG40" s="173"/>
      <c r="AH40" s="173"/>
      <c r="AI40" s="173"/>
      <c r="AJ40" s="173"/>
      <c r="AK40" s="173"/>
      <c r="AL40" s="173"/>
    </row>
    <row r="41" spans="1:38" ht="12" customHeight="1" x14ac:dyDescent="0.2">
      <c r="A41" s="173"/>
      <c r="B41" s="173"/>
      <c r="C41" s="173"/>
      <c r="D41" s="173"/>
      <c r="E41" s="173"/>
      <c r="F41" s="173"/>
      <c r="G41" s="173"/>
      <c r="H41" s="173"/>
      <c r="I41" s="173"/>
      <c r="J41" s="173"/>
      <c r="K41" s="173"/>
      <c r="L41" s="173"/>
      <c r="M41" s="173"/>
      <c r="N41" s="173"/>
      <c r="O41" s="173"/>
      <c r="P41" s="173"/>
      <c r="Q41" s="173"/>
      <c r="R41" s="173"/>
      <c r="S41" s="173"/>
      <c r="T41" s="173"/>
      <c r="U41" s="173"/>
      <c r="V41" s="173"/>
      <c r="W41" s="173"/>
      <c r="X41" s="173"/>
      <c r="Y41" s="173"/>
      <c r="Z41" s="173"/>
      <c r="AA41" s="173"/>
      <c r="AB41" s="173"/>
      <c r="AC41" s="173"/>
      <c r="AD41" s="173"/>
      <c r="AE41" s="173"/>
      <c r="AF41" s="173"/>
      <c r="AG41" s="173"/>
      <c r="AH41" s="173"/>
      <c r="AI41" s="173"/>
      <c r="AJ41" s="173"/>
      <c r="AK41" s="173"/>
      <c r="AL41" s="173"/>
    </row>
    <row r="42" spans="1:38" s="96" customFormat="1" ht="12" customHeight="1" x14ac:dyDescent="0.2"/>
    <row r="43" spans="1:38" ht="15.95" customHeight="1" x14ac:dyDescent="0.2">
      <c r="A43" s="84" t="s">
        <v>38</v>
      </c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  <c r="AH43" s="75"/>
      <c r="AI43" s="75"/>
      <c r="AJ43" s="75"/>
      <c r="AK43" s="75"/>
      <c r="AL43" s="75"/>
    </row>
    <row r="44" spans="1:38" ht="12" customHeight="1" x14ac:dyDescent="0.2">
      <c r="A44" s="174"/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74"/>
      <c r="P44" s="174"/>
      <c r="Q44" s="174"/>
      <c r="R44" s="174"/>
      <c r="S44" s="174"/>
      <c r="T44" s="174"/>
      <c r="U44" s="174"/>
      <c r="V44" s="174"/>
      <c r="W44" s="174"/>
      <c r="X44" s="174"/>
      <c r="Y44" s="174"/>
      <c r="Z44" s="174"/>
      <c r="AA44" s="174"/>
      <c r="AB44" s="174"/>
      <c r="AC44" s="174"/>
      <c r="AD44" s="174"/>
      <c r="AE44" s="174"/>
      <c r="AF44" s="174"/>
      <c r="AG44" s="174"/>
      <c r="AH44" s="174"/>
      <c r="AI44" s="174"/>
      <c r="AJ44" s="174"/>
      <c r="AK44" s="174"/>
      <c r="AL44" s="174"/>
    </row>
    <row r="45" spans="1:38" ht="12" customHeight="1" x14ac:dyDescent="0.2">
      <c r="A45" s="174"/>
      <c r="B45" s="174"/>
      <c r="C45" s="174"/>
      <c r="D45" s="174"/>
      <c r="E45" s="174"/>
      <c r="F45" s="174"/>
      <c r="G45" s="174"/>
      <c r="H45" s="174"/>
      <c r="I45" s="174"/>
      <c r="J45" s="174"/>
      <c r="K45" s="174"/>
      <c r="L45" s="174"/>
      <c r="M45" s="174"/>
      <c r="N45" s="174"/>
      <c r="O45" s="174"/>
      <c r="P45" s="174"/>
      <c r="Q45" s="174"/>
      <c r="R45" s="174"/>
      <c r="S45" s="174"/>
      <c r="T45" s="174"/>
      <c r="U45" s="174"/>
      <c r="V45" s="174"/>
      <c r="W45" s="174"/>
      <c r="X45" s="174"/>
      <c r="Y45" s="174"/>
      <c r="Z45" s="174"/>
      <c r="AA45" s="174"/>
      <c r="AB45" s="174"/>
      <c r="AC45" s="174"/>
      <c r="AD45" s="174"/>
      <c r="AE45" s="174"/>
      <c r="AF45" s="174"/>
      <c r="AG45" s="174"/>
      <c r="AH45" s="174"/>
      <c r="AI45" s="174"/>
      <c r="AJ45" s="174"/>
      <c r="AK45" s="174"/>
      <c r="AL45" s="174"/>
    </row>
    <row r="46" spans="1:38" ht="12" customHeight="1" x14ac:dyDescent="0.2">
      <c r="A46" s="174"/>
      <c r="B46" s="174"/>
      <c r="C46" s="174"/>
      <c r="D46" s="174"/>
      <c r="E46" s="174"/>
      <c r="F46" s="174"/>
      <c r="G46" s="174"/>
      <c r="H46" s="174"/>
      <c r="I46" s="174"/>
      <c r="J46" s="174"/>
      <c r="K46" s="174"/>
      <c r="L46" s="174"/>
      <c r="M46" s="174"/>
      <c r="N46" s="174"/>
      <c r="O46" s="174"/>
      <c r="P46" s="174"/>
      <c r="Q46" s="174"/>
      <c r="R46" s="174"/>
      <c r="S46" s="174"/>
      <c r="T46" s="174"/>
      <c r="U46" s="174"/>
      <c r="V46" s="174"/>
      <c r="W46" s="174"/>
      <c r="X46" s="174"/>
      <c r="Y46" s="174"/>
      <c r="Z46" s="174"/>
      <c r="AA46" s="174"/>
      <c r="AB46" s="174"/>
      <c r="AC46" s="174"/>
      <c r="AD46" s="174"/>
      <c r="AE46" s="174"/>
      <c r="AF46" s="174"/>
      <c r="AG46" s="174"/>
      <c r="AH46" s="174"/>
      <c r="AI46" s="174"/>
      <c r="AJ46" s="174"/>
      <c r="AK46" s="174"/>
      <c r="AL46" s="174"/>
    </row>
    <row r="47" spans="1:38" ht="12" customHeight="1" x14ac:dyDescent="0.2">
      <c r="A47" s="174"/>
      <c r="B47" s="174"/>
      <c r="C47" s="174"/>
      <c r="D47" s="174"/>
      <c r="E47" s="174"/>
      <c r="F47" s="174"/>
      <c r="G47" s="174"/>
      <c r="H47" s="174"/>
      <c r="I47" s="174"/>
      <c r="J47" s="174"/>
      <c r="K47" s="174"/>
      <c r="L47" s="174"/>
      <c r="M47" s="174"/>
      <c r="N47" s="174"/>
      <c r="O47" s="174"/>
      <c r="P47" s="174"/>
      <c r="Q47" s="174"/>
      <c r="R47" s="174"/>
      <c r="S47" s="174"/>
      <c r="T47" s="174"/>
      <c r="U47" s="174"/>
      <c r="V47" s="174"/>
      <c r="W47" s="174"/>
      <c r="X47" s="174"/>
      <c r="Y47" s="174"/>
      <c r="Z47" s="174"/>
      <c r="AA47" s="174"/>
      <c r="AB47" s="174"/>
      <c r="AC47" s="174"/>
      <c r="AD47" s="174"/>
      <c r="AE47" s="174"/>
      <c r="AF47" s="174"/>
      <c r="AG47" s="174"/>
      <c r="AH47" s="174"/>
      <c r="AI47" s="174"/>
      <c r="AJ47" s="174"/>
      <c r="AK47" s="174"/>
      <c r="AL47" s="174"/>
    </row>
    <row r="48" spans="1:38" ht="12" customHeight="1" x14ac:dyDescent="0.2">
      <c r="A48" s="174"/>
      <c r="B48" s="174"/>
      <c r="C48" s="174"/>
      <c r="D48" s="174"/>
      <c r="E48" s="174"/>
      <c r="F48" s="174"/>
      <c r="G48" s="174"/>
      <c r="H48" s="174"/>
      <c r="I48" s="174"/>
      <c r="J48" s="174"/>
      <c r="K48" s="174"/>
      <c r="L48" s="174"/>
      <c r="M48" s="174"/>
      <c r="N48" s="174"/>
      <c r="O48" s="174"/>
      <c r="P48" s="174"/>
      <c r="Q48" s="174"/>
      <c r="R48" s="174"/>
      <c r="S48" s="174"/>
      <c r="T48" s="174"/>
      <c r="U48" s="174"/>
      <c r="V48" s="174"/>
      <c r="W48" s="174"/>
      <c r="X48" s="174"/>
      <c r="Y48" s="174"/>
      <c r="Z48" s="174"/>
      <c r="AA48" s="174"/>
      <c r="AB48" s="174"/>
      <c r="AC48" s="174"/>
      <c r="AD48" s="174"/>
      <c r="AE48" s="174"/>
      <c r="AF48" s="174"/>
      <c r="AG48" s="174"/>
      <c r="AH48" s="174"/>
      <c r="AI48" s="174"/>
      <c r="AJ48" s="174"/>
      <c r="AK48" s="174"/>
      <c r="AL48" s="174"/>
    </row>
    <row r="49" spans="1:38" ht="14.1" customHeight="1" x14ac:dyDescent="0.2">
      <c r="A49" s="174"/>
      <c r="B49" s="174"/>
      <c r="C49" s="174"/>
      <c r="D49" s="174"/>
      <c r="E49" s="174"/>
      <c r="F49" s="174"/>
      <c r="G49" s="174"/>
      <c r="H49" s="174"/>
      <c r="I49" s="174"/>
      <c r="J49" s="174"/>
      <c r="K49" s="174"/>
      <c r="L49" s="174"/>
      <c r="M49" s="174"/>
      <c r="N49" s="174"/>
      <c r="O49" s="174"/>
      <c r="P49" s="174"/>
      <c r="Q49" s="174"/>
      <c r="R49" s="174"/>
      <c r="S49" s="174"/>
      <c r="T49" s="174"/>
      <c r="U49" s="174"/>
      <c r="V49" s="174"/>
      <c r="W49" s="174"/>
      <c r="X49" s="174"/>
      <c r="Y49" s="174"/>
      <c r="Z49" s="174"/>
      <c r="AA49" s="174"/>
      <c r="AB49" s="174"/>
      <c r="AC49" s="174"/>
      <c r="AD49" s="174"/>
      <c r="AE49" s="174"/>
      <c r="AF49" s="174"/>
      <c r="AG49" s="174"/>
      <c r="AH49" s="174"/>
      <c r="AI49" s="174"/>
      <c r="AJ49" s="174"/>
      <c r="AK49" s="174"/>
      <c r="AL49" s="174"/>
    </row>
    <row r="50" spans="1:38" ht="14.1" customHeight="1" x14ac:dyDescent="0.2">
      <c r="A50" s="174"/>
      <c r="B50" s="174"/>
      <c r="C50" s="174"/>
      <c r="D50" s="174"/>
      <c r="E50" s="174"/>
      <c r="F50" s="174"/>
      <c r="G50" s="174"/>
      <c r="H50" s="174"/>
      <c r="I50" s="174"/>
      <c r="J50" s="174"/>
      <c r="K50" s="174"/>
      <c r="L50" s="174"/>
      <c r="M50" s="174"/>
      <c r="N50" s="174"/>
      <c r="O50" s="174"/>
      <c r="P50" s="174"/>
      <c r="Q50" s="174"/>
      <c r="R50" s="174"/>
      <c r="S50" s="174"/>
      <c r="T50" s="174"/>
      <c r="U50" s="174"/>
      <c r="V50" s="174"/>
      <c r="W50" s="174"/>
      <c r="X50" s="174"/>
      <c r="Y50" s="174"/>
      <c r="Z50" s="174"/>
      <c r="AA50" s="174"/>
      <c r="AB50" s="174"/>
      <c r="AC50" s="174"/>
      <c r="AD50" s="174"/>
      <c r="AE50" s="174"/>
      <c r="AF50" s="174"/>
      <c r="AG50" s="174"/>
      <c r="AH50" s="174"/>
      <c r="AI50" s="174"/>
      <c r="AJ50" s="174"/>
      <c r="AK50" s="174"/>
      <c r="AL50" s="174"/>
    </row>
    <row r="51" spans="1:38" ht="14.1" customHeight="1" x14ac:dyDescent="0.2">
      <c r="A51" s="174"/>
      <c r="B51" s="174"/>
      <c r="C51" s="174"/>
      <c r="D51" s="174"/>
      <c r="E51" s="174"/>
      <c r="F51" s="174"/>
      <c r="G51" s="174"/>
      <c r="H51" s="174"/>
      <c r="I51" s="174"/>
      <c r="J51" s="174"/>
      <c r="K51" s="174"/>
      <c r="L51" s="174"/>
      <c r="M51" s="174"/>
      <c r="N51" s="174"/>
      <c r="O51" s="174"/>
      <c r="P51" s="174"/>
      <c r="Q51" s="174"/>
      <c r="R51" s="174"/>
      <c r="S51" s="174"/>
      <c r="T51" s="174"/>
      <c r="U51" s="174"/>
      <c r="V51" s="174"/>
      <c r="W51" s="174"/>
      <c r="X51" s="174"/>
      <c r="Y51" s="174"/>
      <c r="Z51" s="174"/>
      <c r="AA51" s="174"/>
      <c r="AB51" s="174"/>
      <c r="AC51" s="174"/>
      <c r="AD51" s="174"/>
      <c r="AE51" s="174"/>
      <c r="AF51" s="174"/>
      <c r="AG51" s="174"/>
      <c r="AH51" s="174"/>
      <c r="AI51" s="174"/>
      <c r="AJ51" s="174"/>
      <c r="AK51" s="174"/>
      <c r="AL51" s="174"/>
    </row>
    <row r="52" spans="1:38" ht="14.1" customHeight="1" x14ac:dyDescent="0.2">
      <c r="A52" s="174"/>
      <c r="B52" s="174"/>
      <c r="C52" s="174"/>
      <c r="D52" s="174"/>
      <c r="E52" s="174"/>
      <c r="F52" s="174"/>
      <c r="G52" s="174"/>
      <c r="H52" s="174"/>
      <c r="I52" s="174"/>
      <c r="J52" s="174"/>
      <c r="K52" s="174"/>
      <c r="L52" s="174"/>
      <c r="M52" s="174"/>
      <c r="N52" s="174"/>
      <c r="O52" s="174"/>
      <c r="P52" s="174"/>
      <c r="Q52" s="174"/>
      <c r="R52" s="174"/>
      <c r="S52" s="174"/>
      <c r="T52" s="174"/>
      <c r="U52" s="174"/>
      <c r="V52" s="174"/>
      <c r="W52" s="174"/>
      <c r="X52" s="174"/>
      <c r="Y52" s="174"/>
      <c r="Z52" s="174"/>
      <c r="AA52" s="174"/>
      <c r="AB52" s="174"/>
      <c r="AC52" s="174"/>
      <c r="AD52" s="174"/>
      <c r="AE52" s="174"/>
      <c r="AF52" s="174"/>
      <c r="AG52" s="174"/>
      <c r="AH52" s="174"/>
      <c r="AI52" s="174"/>
      <c r="AJ52" s="174"/>
      <c r="AK52" s="174"/>
      <c r="AL52" s="174"/>
    </row>
    <row r="53" spans="1:38" ht="14.1" customHeight="1" x14ac:dyDescent="0.2">
      <c r="A53" s="174"/>
      <c r="B53" s="174"/>
      <c r="C53" s="174"/>
      <c r="D53" s="174"/>
      <c r="E53" s="174"/>
      <c r="F53" s="174"/>
      <c r="G53" s="174"/>
      <c r="H53" s="174"/>
      <c r="I53" s="174"/>
      <c r="J53" s="174"/>
      <c r="K53" s="174"/>
      <c r="L53" s="174"/>
      <c r="M53" s="174"/>
      <c r="N53" s="174"/>
      <c r="O53" s="174"/>
      <c r="P53" s="174"/>
      <c r="Q53" s="174"/>
      <c r="R53" s="174"/>
      <c r="S53" s="174"/>
      <c r="T53" s="174"/>
      <c r="U53" s="174"/>
      <c r="V53" s="174"/>
      <c r="W53" s="174"/>
      <c r="X53" s="174"/>
      <c r="Y53" s="174"/>
      <c r="Z53" s="174"/>
      <c r="AA53" s="174"/>
      <c r="AB53" s="174"/>
      <c r="AC53" s="174"/>
      <c r="AD53" s="174"/>
      <c r="AE53" s="174"/>
      <c r="AF53" s="174"/>
      <c r="AG53" s="174"/>
      <c r="AH53" s="174"/>
      <c r="AI53" s="174"/>
      <c r="AJ53" s="174"/>
      <c r="AK53" s="174"/>
      <c r="AL53" s="174"/>
    </row>
    <row r="54" spans="1:38" ht="14.1" customHeight="1" x14ac:dyDescent="0.2">
      <c r="A54" s="174"/>
      <c r="B54" s="174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4"/>
      <c r="V54" s="174"/>
      <c r="W54" s="174"/>
      <c r="X54" s="174"/>
      <c r="Y54" s="174"/>
      <c r="Z54" s="174"/>
      <c r="AA54" s="174"/>
      <c r="AB54" s="174"/>
      <c r="AC54" s="174"/>
      <c r="AD54" s="174"/>
      <c r="AE54" s="174"/>
      <c r="AF54" s="174"/>
      <c r="AG54" s="174"/>
      <c r="AH54" s="174"/>
      <c r="AI54" s="174"/>
      <c r="AJ54" s="174"/>
      <c r="AK54" s="174"/>
      <c r="AL54" s="174"/>
    </row>
    <row r="55" spans="1:38" ht="14.1" customHeight="1" x14ac:dyDescent="0.2">
      <c r="A55" s="174"/>
      <c r="B55" s="174"/>
      <c r="C55" s="174"/>
      <c r="D55" s="174"/>
      <c r="E55" s="174"/>
      <c r="F55" s="174"/>
      <c r="G55" s="174"/>
      <c r="H55" s="174"/>
      <c r="I55" s="174"/>
      <c r="J55" s="174"/>
      <c r="K55" s="174"/>
      <c r="L55" s="174"/>
      <c r="M55" s="174"/>
      <c r="N55" s="174"/>
      <c r="O55" s="174"/>
      <c r="P55" s="174"/>
      <c r="Q55" s="174"/>
      <c r="R55" s="174"/>
      <c r="S55" s="174"/>
      <c r="T55" s="174"/>
      <c r="U55" s="174"/>
      <c r="V55" s="174"/>
      <c r="W55" s="174"/>
      <c r="X55" s="174"/>
      <c r="Y55" s="174"/>
      <c r="Z55" s="174"/>
      <c r="AA55" s="174"/>
      <c r="AB55" s="174"/>
      <c r="AC55" s="174"/>
      <c r="AD55" s="174"/>
      <c r="AE55" s="174"/>
      <c r="AF55" s="174"/>
      <c r="AG55" s="174"/>
      <c r="AH55" s="174"/>
      <c r="AI55" s="174"/>
      <c r="AJ55" s="174"/>
      <c r="AK55" s="174"/>
      <c r="AL55" s="174"/>
    </row>
    <row r="56" spans="1:38" ht="14.1" customHeight="1" x14ac:dyDescent="0.2">
      <c r="A56" s="174"/>
      <c r="B56" s="174"/>
      <c r="C56" s="174"/>
      <c r="D56" s="174"/>
      <c r="E56" s="174"/>
      <c r="F56" s="174"/>
      <c r="G56" s="174"/>
      <c r="H56" s="174"/>
      <c r="I56" s="174"/>
      <c r="J56" s="174"/>
      <c r="K56" s="174"/>
      <c r="L56" s="174"/>
      <c r="M56" s="174"/>
      <c r="N56" s="174"/>
      <c r="O56" s="174"/>
      <c r="P56" s="174"/>
      <c r="Q56" s="174"/>
      <c r="R56" s="174"/>
      <c r="S56" s="174"/>
      <c r="T56" s="174"/>
      <c r="U56" s="174"/>
      <c r="V56" s="174"/>
      <c r="W56" s="174"/>
      <c r="X56" s="174"/>
      <c r="Y56" s="174"/>
      <c r="Z56" s="174"/>
      <c r="AA56" s="174"/>
      <c r="AB56" s="174"/>
      <c r="AC56" s="174"/>
      <c r="AD56" s="174"/>
      <c r="AE56" s="174"/>
      <c r="AF56" s="174"/>
      <c r="AG56" s="174"/>
      <c r="AH56" s="174"/>
      <c r="AI56" s="174"/>
      <c r="AJ56" s="174"/>
      <c r="AK56" s="174"/>
      <c r="AL56" s="174"/>
    </row>
    <row r="57" spans="1:38" ht="14.1" customHeight="1" x14ac:dyDescent="0.2">
      <c r="A57" s="174"/>
      <c r="B57" s="174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4"/>
      <c r="V57" s="174"/>
      <c r="W57" s="174"/>
      <c r="X57" s="174"/>
      <c r="Y57" s="174"/>
      <c r="Z57" s="174"/>
      <c r="AA57" s="174"/>
      <c r="AB57" s="174"/>
      <c r="AC57" s="174"/>
      <c r="AD57" s="174"/>
      <c r="AE57" s="174"/>
      <c r="AF57" s="174"/>
      <c r="AG57" s="174"/>
      <c r="AH57" s="174"/>
      <c r="AI57" s="174"/>
      <c r="AJ57" s="174"/>
      <c r="AK57" s="174"/>
      <c r="AL57" s="174"/>
    </row>
    <row r="58" spans="1:38" ht="14.1" customHeight="1" x14ac:dyDescent="0.2">
      <c r="A58" s="174"/>
      <c r="B58" s="174"/>
      <c r="C58" s="174"/>
      <c r="D58" s="174"/>
      <c r="E58" s="174"/>
      <c r="F58" s="174"/>
      <c r="G58" s="174"/>
      <c r="H58" s="174"/>
      <c r="I58" s="174"/>
      <c r="J58" s="174"/>
      <c r="K58" s="174"/>
      <c r="L58" s="174"/>
      <c r="M58" s="174"/>
      <c r="N58" s="174"/>
      <c r="O58" s="174"/>
      <c r="P58" s="174"/>
      <c r="Q58" s="174"/>
      <c r="R58" s="174"/>
      <c r="S58" s="174"/>
      <c r="T58" s="174"/>
      <c r="U58" s="174"/>
      <c r="V58" s="174"/>
      <c r="W58" s="174"/>
      <c r="X58" s="174"/>
      <c r="Y58" s="174"/>
      <c r="Z58" s="174"/>
      <c r="AA58" s="174"/>
      <c r="AB58" s="174"/>
      <c r="AC58" s="174"/>
      <c r="AD58" s="174"/>
      <c r="AE58" s="174"/>
      <c r="AF58" s="174"/>
      <c r="AG58" s="174"/>
      <c r="AH58" s="174"/>
      <c r="AI58" s="174"/>
      <c r="AJ58" s="174"/>
      <c r="AK58" s="174"/>
      <c r="AL58" s="174"/>
    </row>
    <row r="59" spans="1:38" ht="14.1" customHeight="1" x14ac:dyDescent="0.2">
      <c r="A59" s="174"/>
      <c r="B59" s="174"/>
      <c r="C59" s="174"/>
      <c r="D59" s="174"/>
      <c r="E59" s="174"/>
      <c r="F59" s="174"/>
      <c r="G59" s="174"/>
      <c r="H59" s="174"/>
      <c r="I59" s="174"/>
      <c r="J59" s="174"/>
      <c r="K59" s="174"/>
      <c r="L59" s="174"/>
      <c r="M59" s="174"/>
      <c r="N59" s="174"/>
      <c r="O59" s="174"/>
      <c r="P59" s="174"/>
      <c r="Q59" s="174"/>
      <c r="R59" s="174"/>
      <c r="S59" s="174"/>
      <c r="T59" s="174"/>
      <c r="U59" s="174"/>
      <c r="V59" s="174"/>
      <c r="W59" s="174"/>
      <c r="X59" s="174"/>
      <c r="Y59" s="174"/>
      <c r="Z59" s="174"/>
      <c r="AA59" s="174"/>
      <c r="AB59" s="174"/>
      <c r="AC59" s="174"/>
      <c r="AD59" s="174"/>
      <c r="AE59" s="174"/>
      <c r="AF59" s="174"/>
      <c r="AG59" s="174"/>
      <c r="AH59" s="174"/>
      <c r="AI59" s="174"/>
      <c r="AJ59" s="174"/>
      <c r="AK59" s="174"/>
      <c r="AL59" s="174"/>
    </row>
    <row r="60" spans="1:38" ht="14.1" customHeight="1" x14ac:dyDescent="0.2">
      <c r="A60" s="174"/>
      <c r="B60" s="174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4"/>
      <c r="V60" s="174"/>
      <c r="W60" s="174"/>
      <c r="X60" s="174"/>
      <c r="Y60" s="174"/>
      <c r="Z60" s="174"/>
      <c r="AA60" s="174"/>
      <c r="AB60" s="174"/>
      <c r="AC60" s="174"/>
      <c r="AD60" s="174"/>
      <c r="AE60" s="174"/>
      <c r="AF60" s="174"/>
      <c r="AG60" s="174"/>
      <c r="AH60" s="174"/>
      <c r="AI60" s="174"/>
      <c r="AJ60" s="174"/>
      <c r="AK60" s="174"/>
      <c r="AL60" s="174"/>
    </row>
    <row r="61" spans="1:38" ht="14.1" customHeight="1" x14ac:dyDescent="0.2">
      <c r="A61" s="174"/>
      <c r="B61" s="174"/>
      <c r="C61" s="174"/>
      <c r="D61" s="174"/>
      <c r="E61" s="174"/>
      <c r="F61" s="174"/>
      <c r="G61" s="174"/>
      <c r="H61" s="174"/>
      <c r="I61" s="174"/>
      <c r="J61" s="174"/>
      <c r="K61" s="174"/>
      <c r="L61" s="174"/>
      <c r="M61" s="174"/>
      <c r="N61" s="174"/>
      <c r="O61" s="174"/>
      <c r="P61" s="174"/>
      <c r="Q61" s="174"/>
      <c r="R61" s="174"/>
      <c r="S61" s="174"/>
      <c r="T61" s="174"/>
      <c r="U61" s="174"/>
      <c r="V61" s="174"/>
      <c r="W61" s="174"/>
      <c r="X61" s="174"/>
      <c r="Y61" s="174"/>
      <c r="Z61" s="174"/>
      <c r="AA61" s="174"/>
      <c r="AB61" s="174"/>
      <c r="AC61" s="174"/>
      <c r="AD61" s="174"/>
      <c r="AE61" s="174"/>
      <c r="AF61" s="174"/>
      <c r="AG61" s="174"/>
      <c r="AH61" s="174"/>
      <c r="AI61" s="174"/>
      <c r="AJ61" s="174"/>
      <c r="AK61" s="174"/>
      <c r="AL61" s="174"/>
    </row>
    <row r="62" spans="1:38" ht="14.1" customHeight="1" x14ac:dyDescent="0.2">
      <c r="A62" s="174"/>
      <c r="B62" s="174"/>
      <c r="C62" s="174"/>
      <c r="D62" s="174"/>
      <c r="E62" s="174"/>
      <c r="F62" s="174"/>
      <c r="G62" s="174"/>
      <c r="H62" s="174"/>
      <c r="I62" s="174"/>
      <c r="J62" s="174"/>
      <c r="K62" s="174"/>
      <c r="L62" s="174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74"/>
      <c r="Y62" s="174"/>
      <c r="Z62" s="174"/>
      <c r="AA62" s="174"/>
      <c r="AB62" s="174"/>
      <c r="AC62" s="174"/>
      <c r="AD62" s="174"/>
      <c r="AE62" s="174"/>
      <c r="AF62" s="174"/>
      <c r="AG62" s="174"/>
      <c r="AH62" s="174"/>
      <c r="AI62" s="174"/>
      <c r="AJ62" s="174"/>
      <c r="AK62" s="174"/>
      <c r="AL62" s="174"/>
    </row>
    <row r="63" spans="1:38" ht="14.1" customHeight="1" x14ac:dyDescent="0.2">
      <c r="A63" s="174"/>
      <c r="B63" s="174"/>
      <c r="C63" s="174"/>
      <c r="D63" s="174"/>
      <c r="E63" s="174"/>
      <c r="F63" s="174"/>
      <c r="G63" s="174"/>
      <c r="H63" s="174"/>
      <c r="I63" s="174"/>
      <c r="J63" s="174"/>
      <c r="K63" s="174"/>
      <c r="L63" s="174"/>
      <c r="M63" s="174"/>
      <c r="N63" s="174"/>
      <c r="O63" s="174"/>
      <c r="P63" s="174"/>
      <c r="Q63" s="174"/>
      <c r="R63" s="174"/>
      <c r="S63" s="174"/>
      <c r="T63" s="174"/>
      <c r="U63" s="174"/>
      <c r="V63" s="174"/>
      <c r="W63" s="174"/>
      <c r="X63" s="174"/>
      <c r="Y63" s="174"/>
      <c r="Z63" s="174"/>
      <c r="AA63" s="174"/>
      <c r="AB63" s="174"/>
      <c r="AC63" s="174"/>
      <c r="AD63" s="174"/>
      <c r="AE63" s="174"/>
      <c r="AF63" s="174"/>
      <c r="AG63" s="174"/>
      <c r="AH63" s="174"/>
      <c r="AI63" s="174"/>
      <c r="AJ63" s="174"/>
      <c r="AK63" s="174"/>
      <c r="AL63" s="174"/>
    </row>
    <row r="64" spans="1:38" ht="14.1" customHeight="1" x14ac:dyDescent="0.2">
      <c r="A64" s="174"/>
      <c r="B64" s="174"/>
      <c r="C64" s="174"/>
      <c r="D64" s="174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4"/>
      <c r="P64" s="174"/>
      <c r="Q64" s="174"/>
      <c r="R64" s="174"/>
      <c r="S64" s="174"/>
      <c r="T64" s="174"/>
      <c r="U64" s="174"/>
      <c r="V64" s="174"/>
      <c r="W64" s="174"/>
      <c r="X64" s="174"/>
      <c r="Y64" s="174"/>
      <c r="Z64" s="174"/>
      <c r="AA64" s="174"/>
      <c r="AB64" s="174"/>
      <c r="AC64" s="174"/>
      <c r="AD64" s="174"/>
      <c r="AE64" s="174"/>
      <c r="AF64" s="174"/>
      <c r="AG64" s="174"/>
      <c r="AH64" s="174"/>
      <c r="AI64" s="174"/>
      <c r="AJ64" s="174"/>
      <c r="AK64" s="174"/>
      <c r="AL64" s="174"/>
    </row>
    <row r="65" spans="1:38" ht="14.1" customHeight="1" x14ac:dyDescent="0.2">
      <c r="A65" s="174"/>
      <c r="B65" s="174"/>
      <c r="C65" s="174"/>
      <c r="D65" s="174"/>
      <c r="E65" s="174"/>
      <c r="F65" s="174"/>
      <c r="G65" s="174"/>
      <c r="H65" s="174"/>
      <c r="I65" s="174"/>
      <c r="J65" s="174"/>
      <c r="K65" s="174"/>
      <c r="L65" s="174"/>
      <c r="M65" s="174"/>
      <c r="N65" s="174"/>
      <c r="O65" s="174"/>
      <c r="P65" s="174"/>
      <c r="Q65" s="174"/>
      <c r="R65" s="174"/>
      <c r="S65" s="174"/>
      <c r="T65" s="174"/>
      <c r="U65" s="174"/>
      <c r="V65" s="174"/>
      <c r="W65" s="174"/>
      <c r="X65" s="174"/>
      <c r="Y65" s="174"/>
      <c r="Z65" s="174"/>
      <c r="AA65" s="174"/>
      <c r="AB65" s="175"/>
      <c r="AC65" s="175"/>
      <c r="AD65" s="175"/>
      <c r="AE65" s="175"/>
      <c r="AF65" s="175"/>
      <c r="AG65" s="174"/>
      <c r="AH65" s="175"/>
      <c r="AI65" s="175"/>
      <c r="AJ65" s="175"/>
      <c r="AK65" s="175"/>
      <c r="AL65" s="175"/>
    </row>
    <row r="66" spans="1:38" ht="24" customHeight="1" x14ac:dyDescent="0.2">
      <c r="A66" s="96"/>
      <c r="B66" s="96"/>
      <c r="C66" s="96"/>
      <c r="D66" s="96"/>
      <c r="E66" s="96"/>
      <c r="F66" s="96"/>
      <c r="G66" s="96"/>
      <c r="H66" s="96"/>
      <c r="I66" s="96"/>
      <c r="J66" s="96"/>
      <c r="K66" s="96"/>
      <c r="L66" s="96"/>
      <c r="M66" s="96"/>
      <c r="N66" s="96"/>
      <c r="O66" s="96"/>
      <c r="P66" s="96"/>
      <c r="Q66" s="96"/>
      <c r="R66" s="96"/>
      <c r="S66" s="96"/>
      <c r="T66" s="96"/>
      <c r="U66" s="96"/>
      <c r="V66" s="319"/>
      <c r="W66" s="319"/>
      <c r="X66" s="319"/>
      <c r="Y66" s="319"/>
      <c r="Z66" s="319"/>
      <c r="AA66" s="102"/>
      <c r="AB66" s="176" t="s">
        <v>247</v>
      </c>
      <c r="AC66" s="177"/>
      <c r="AD66" s="177"/>
      <c r="AE66" s="177"/>
      <c r="AF66" s="178"/>
      <c r="AH66" s="176" t="s">
        <v>246</v>
      </c>
      <c r="AI66" s="177"/>
      <c r="AJ66" s="177"/>
      <c r="AK66" s="177"/>
      <c r="AL66" s="178"/>
    </row>
    <row r="67" spans="1:38" x14ac:dyDescent="0.2">
      <c r="V67" s="181" t="s">
        <v>431</v>
      </c>
    </row>
  </sheetData>
  <sheetProtection sheet="1" objects="1" scenarios="1" insertHyperlinks="0"/>
  <mergeCells count="36">
    <mergeCell ref="G3:L3"/>
    <mergeCell ref="T3:Y3"/>
    <mergeCell ref="AG3:AL3"/>
    <mergeCell ref="G5:L5"/>
    <mergeCell ref="T5:Y5"/>
    <mergeCell ref="AG5:AL5"/>
    <mergeCell ref="G17:L17"/>
    <mergeCell ref="T17:Y17"/>
    <mergeCell ref="AG17:AL17"/>
    <mergeCell ref="G7:Y7"/>
    <mergeCell ref="AG7:AL7"/>
    <mergeCell ref="G9:H9"/>
    <mergeCell ref="I9:Y9"/>
    <mergeCell ref="AG9:AL9"/>
    <mergeCell ref="G11:Y11"/>
    <mergeCell ref="AG11:AL11"/>
    <mergeCell ref="A13:F13"/>
    <mergeCell ref="G13:L13"/>
    <mergeCell ref="N13:S13"/>
    <mergeCell ref="T13:Y13"/>
    <mergeCell ref="AJ13:AL13"/>
    <mergeCell ref="G19:L19"/>
    <mergeCell ref="T19:Y19"/>
    <mergeCell ref="AG19:AL19"/>
    <mergeCell ref="G21:L21"/>
    <mergeCell ref="T21:Y21"/>
    <mergeCell ref="AG21:AL21"/>
    <mergeCell ref="F30:AD30"/>
    <mergeCell ref="V66:Z66"/>
    <mergeCell ref="G23:L23"/>
    <mergeCell ref="T23:Y23"/>
    <mergeCell ref="AG23:AL23"/>
    <mergeCell ref="F28:I28"/>
    <mergeCell ref="P28:T28"/>
    <mergeCell ref="AA28:AD28"/>
    <mergeCell ref="AI28:AL28"/>
  </mergeCells>
  <dataValidations disablePrompts="1" count="17">
    <dataValidation type="list" allowBlank="1" showInputMessage="1" showErrorMessage="1" sqref="T19:Y19">
      <formula1>"Head to Head, Foot to Foot, N/A, See Layout"</formula1>
    </dataValidation>
    <dataValidation type="list" allowBlank="1" showInputMessage="1" showErrorMessage="1" sqref="G19:L19">
      <formula1>"Yes, No, N/A"</formula1>
    </dataValidation>
    <dataValidation type="list" allowBlank="1" showInputMessage="1" showErrorMessage="1" sqref="T17:Y17">
      <formula1>"1,2,3,4,5,6,7,8"</formula1>
    </dataValidation>
    <dataValidation type="list" allowBlank="1" showInputMessage="1" showErrorMessage="1" sqref="G17:L17">
      <formula1>"2 (1F+1B),2 (1B+1F),4 (2F+2B),4 (2B+2F),6 (3F+3B),6 (3B+3F),8 (4F+4B),8 (4B+4F), See Layout"</formula1>
    </dataValidation>
    <dataValidation type="list" allowBlank="1" showInputMessage="1" showErrorMessage="1" sqref="F30:AD30">
      <formula1>"N/A,5mm top + bottom, 2mm left + right, 5mm top + bottom and 2mm left + right,Other (see comments and/or layout sketch)"</formula1>
    </dataValidation>
    <dataValidation type="list" allowBlank="1" showInputMessage="1" showErrorMessage="1" sqref="T23:Y23">
      <formula1>"N/A, Black,Black / OL,Spot Black,Spot Black / OL ,Blue,Brown,Burgundy,Green,White, Clear,See Comments "</formula1>
    </dataValidation>
    <dataValidation type="list" allowBlank="1" showInputMessage="1" showErrorMessage="1" sqref="AG21:AL21">
      <formula1>"N/A, Black, Spot Black, Blue, Brown, Burgundy, Green, Red, White, See Comments"</formula1>
    </dataValidation>
    <dataValidation type="list" allowBlank="1" showInputMessage="1" showErrorMessage="1" sqref="G13:L13 T13:Y13">
      <formula1>"0,1,2,3,4,5,6,7,8,9,10,11,12,13,14,15,16,17,18,19,20"</formula1>
    </dataValidation>
    <dataValidation type="textLength" allowBlank="1" showInputMessage="1" showErrorMessage="1" prompt="Enter &quot;other&quot; distance if applicable." sqref="AI28:AL28">
      <formula1>0</formula1>
      <formula2>10</formula2>
    </dataValidation>
    <dataValidation type="list" allowBlank="1" showInputMessage="1" showErrorMessage="1" prompt="Select distance from eyespot to web edge. Select &quot;other&quot; for other distance and tab to next field. For unique positions, select &quot;see layout&quot;." sqref="AA28:AD28">
      <formula1>"N/A, Std (3mm), 2mm, 1mm, Other, See Layout"</formula1>
    </dataValidation>
    <dataValidation type="list" allowBlank="1" showInputMessage="1" showErrorMessage="1" prompt="Select # of repeats between eyespots." sqref="P28:T28">
      <formula1>"Every Repeat, Every 2 Rpts, Every 3 Rpts, Every 4 Rpts, See Layout"</formula1>
    </dataValidation>
    <dataValidation type="list" allowBlank="1" showInputMessage="1" showErrorMessage="1" sqref="F28:I28">
      <formula1>"1,2,3,4,See Layout"</formula1>
    </dataValidation>
    <dataValidation type="list" allowBlank="1" showInputMessage="1" showErrorMessage="1" sqref="G23:L23">
      <formula1>"Yes, No"</formula1>
    </dataValidation>
    <dataValidation type="list" allowBlank="1" showInputMessage="1" showErrorMessage="1" sqref="AG11:AL11">
      <formula1>"N/A, No, Yes (See Layout)"</formula1>
    </dataValidation>
    <dataValidation type="list" allowBlank="1" showInputMessage="1" showErrorMessage="1" sqref="G3:L3">
      <formula1>"Close, Leave Open"</formula1>
    </dataValidation>
    <dataValidation type="list" allowBlank="1" showInputMessage="1" showErrorMessage="1" sqref="AJ13:AL13">
      <formula1>"BH, Isa, Larry, Victoria"</formula1>
    </dataValidation>
    <dataValidation type="textLength" allowBlank="1" showInputMessage="1" showErrorMessage="1" sqref="AG9:AL9">
      <formula1>0</formula1>
      <formula2>15</formula2>
    </dataValidation>
  </dataValidations>
  <pageMargins left="0.39000000000000007" right="0.39000000000000007" top="0.39000000000000007" bottom="0.2" header="0.2" footer="0.05"/>
  <pageSetup orientation="portrait" horizontalDpi="4294967292" verticalDpi="4294967292" r:id="rId1"/>
  <headerFooter alignWithMargins="0">
    <oddFooter>&amp;L&amp;9Issue Date: 1 Feb 2016&amp;C&amp;9Revision No: 0&amp;R&amp;9Revision Date: N/A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Check Box 1">
              <controlPr defaultSize="0" autoFill="0" autoLine="0" autoPict="0">
                <anchor moveWithCells="1">
                  <from>
                    <xdr:col>35</xdr:col>
                    <xdr:colOff>19050</xdr:colOff>
                    <xdr:row>28</xdr:row>
                    <xdr:rowOff>9525</xdr:rowOff>
                  </from>
                  <to>
                    <xdr:col>37</xdr:col>
                    <xdr:colOff>57150</xdr:colOff>
                    <xdr:row>30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220" zoomScaleNormal="220" workbookViewId="0"/>
  </sheetViews>
  <sheetFormatPr defaultColWidth="1" defaultRowHeight="6" customHeight="1" x14ac:dyDescent="0.2"/>
  <sheetData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3" tint="0.39997558519241921"/>
  </sheetPr>
  <dimension ref="A1:H41"/>
  <sheetViews>
    <sheetView zoomScale="150" zoomScaleNormal="150" workbookViewId="0">
      <selection activeCell="B3" sqref="B3"/>
    </sheetView>
  </sheetViews>
  <sheetFormatPr defaultColWidth="8.85546875" defaultRowHeight="12.75" x14ac:dyDescent="0.2"/>
  <cols>
    <col min="1" max="1" width="13.85546875" bestFit="1" customWidth="1"/>
    <col min="2" max="2" width="18" bestFit="1" customWidth="1"/>
    <col min="3" max="3" width="8.85546875" customWidth="1"/>
    <col min="4" max="4" width="11.7109375" customWidth="1"/>
    <col min="5" max="5" width="9.85546875" customWidth="1"/>
    <col min="6" max="6" width="8.85546875" customWidth="1"/>
  </cols>
  <sheetData>
    <row r="1" spans="1:5" s="67" customFormat="1" x14ac:dyDescent="0.2">
      <c r="A1" s="333" t="s">
        <v>225</v>
      </c>
      <c r="B1" s="334"/>
      <c r="C1"/>
    </row>
    <row r="2" spans="1:5" x14ac:dyDescent="0.2">
      <c r="A2" s="68" t="s">
        <v>226</v>
      </c>
      <c r="B2" s="68" t="s">
        <v>227</v>
      </c>
      <c r="C2" s="69"/>
      <c r="D2" s="333" t="s">
        <v>228</v>
      </c>
      <c r="E2" s="334"/>
    </row>
    <row r="3" spans="1:5" x14ac:dyDescent="0.2">
      <c r="A3" s="70" t="s">
        <v>229</v>
      </c>
      <c r="B3" s="73">
        <v>10</v>
      </c>
      <c r="D3" s="70" t="s">
        <v>230</v>
      </c>
      <c r="E3" s="73">
        <v>1.6</v>
      </c>
    </row>
    <row r="4" spans="1:5" x14ac:dyDescent="0.2">
      <c r="B4">
        <f>B3*25.4</f>
        <v>254</v>
      </c>
      <c r="E4">
        <f>25.4*E3</f>
        <v>40.64</v>
      </c>
    </row>
    <row r="5" spans="1:5" x14ac:dyDescent="0.2">
      <c r="B5">
        <v>3.8</v>
      </c>
      <c r="D5" s="71" t="s">
        <v>231</v>
      </c>
      <c r="E5" s="71">
        <f>ROUND(E4,0)</f>
        <v>41</v>
      </c>
    </row>
    <row r="6" spans="1:5" x14ac:dyDescent="0.2">
      <c r="B6">
        <f>B4+B5</f>
        <v>257.8</v>
      </c>
    </row>
    <row r="7" spans="1:5" x14ac:dyDescent="0.2">
      <c r="B7">
        <f>B6/5</f>
        <v>51.56</v>
      </c>
    </row>
    <row r="8" spans="1:5" s="69" customFormat="1" x14ac:dyDescent="0.2">
      <c r="A8"/>
      <c r="B8">
        <f>FLOOR(B7,1)</f>
        <v>51</v>
      </c>
      <c r="C8"/>
      <c r="D8"/>
      <c r="E8"/>
    </row>
    <row r="9" spans="1:5" x14ac:dyDescent="0.2">
      <c r="A9" s="71" t="s">
        <v>232</v>
      </c>
      <c r="B9" s="71">
        <f>B8*5</f>
        <v>255</v>
      </c>
    </row>
    <row r="10" spans="1:5" x14ac:dyDescent="0.2">
      <c r="A10" s="72"/>
      <c r="B10" s="72"/>
      <c r="C10" s="72"/>
    </row>
    <row r="11" spans="1:5" x14ac:dyDescent="0.2">
      <c r="A11" s="333" t="s">
        <v>233</v>
      </c>
      <c r="B11" s="334"/>
    </row>
    <row r="12" spans="1:5" x14ac:dyDescent="0.2">
      <c r="A12" s="68" t="s">
        <v>226</v>
      </c>
      <c r="B12" s="68" t="s">
        <v>234</v>
      </c>
      <c r="C12" s="69"/>
    </row>
    <row r="13" spans="1:5" ht="12.95" customHeight="1" x14ac:dyDescent="0.2">
      <c r="A13" s="70" t="s">
        <v>235</v>
      </c>
      <c r="B13" s="73">
        <v>13.5</v>
      </c>
    </row>
    <row r="14" spans="1:5" ht="12.95" customHeight="1" x14ac:dyDescent="0.2">
      <c r="B14">
        <f>B13*25.4</f>
        <v>342.9</v>
      </c>
    </row>
    <row r="15" spans="1:5" x14ac:dyDescent="0.2">
      <c r="B15">
        <v>3.8</v>
      </c>
    </row>
    <row r="16" spans="1:5" s="72" customFormat="1" x14ac:dyDescent="0.2">
      <c r="A16"/>
      <c r="B16">
        <f>B14+B15</f>
        <v>346.7</v>
      </c>
      <c r="C16"/>
    </row>
    <row r="17" spans="1:5" x14ac:dyDescent="0.2">
      <c r="B17">
        <f>B16/5</f>
        <v>69.34</v>
      </c>
    </row>
    <row r="18" spans="1:5" x14ac:dyDescent="0.2">
      <c r="B18">
        <f>FLOOR(B17,1)</f>
        <v>69</v>
      </c>
    </row>
    <row r="19" spans="1:5" x14ac:dyDescent="0.2">
      <c r="A19" s="71" t="s">
        <v>232</v>
      </c>
      <c r="B19" s="71">
        <f>B18*5</f>
        <v>345</v>
      </c>
    </row>
    <row r="21" spans="1:5" x14ac:dyDescent="0.2">
      <c r="A21" s="74"/>
      <c r="B21" s="74"/>
      <c r="C21" s="74"/>
      <c r="D21" s="74"/>
      <c r="E21" s="74"/>
    </row>
    <row r="23" spans="1:5" x14ac:dyDescent="0.2">
      <c r="A23" s="333" t="s">
        <v>236</v>
      </c>
      <c r="B23" s="334"/>
    </row>
    <row r="24" spans="1:5" x14ac:dyDescent="0.2">
      <c r="A24" s="68" t="s">
        <v>226</v>
      </c>
      <c r="B24" s="68" t="s">
        <v>227</v>
      </c>
      <c r="D24" s="333" t="s">
        <v>228</v>
      </c>
      <c r="E24" s="334"/>
    </row>
    <row r="25" spans="1:5" x14ac:dyDescent="0.2">
      <c r="A25" s="70" t="s">
        <v>229</v>
      </c>
      <c r="B25" s="73">
        <v>3</v>
      </c>
      <c r="D25" s="70" t="s">
        <v>230</v>
      </c>
      <c r="E25" s="73">
        <v>1.6</v>
      </c>
    </row>
    <row r="26" spans="1:5" x14ac:dyDescent="0.2">
      <c r="B26">
        <f>B25*25.4</f>
        <v>76.199999999999989</v>
      </c>
      <c r="E26">
        <f>25.4*E25</f>
        <v>40.64</v>
      </c>
    </row>
    <row r="27" spans="1:5" x14ac:dyDescent="0.2">
      <c r="B27">
        <v>19.8</v>
      </c>
      <c r="D27" s="71" t="s">
        <v>231</v>
      </c>
      <c r="E27" s="71">
        <f>ROUND(E26,0)</f>
        <v>41</v>
      </c>
    </row>
    <row r="28" spans="1:5" x14ac:dyDescent="0.2">
      <c r="B28">
        <f>B26+B27</f>
        <v>95.999999999999986</v>
      </c>
    </row>
    <row r="29" spans="1:5" x14ac:dyDescent="0.2">
      <c r="B29">
        <f>B28/5</f>
        <v>19.199999999999996</v>
      </c>
    </row>
    <row r="30" spans="1:5" x14ac:dyDescent="0.2">
      <c r="B30">
        <f>FLOOR(B29,1)</f>
        <v>19</v>
      </c>
    </row>
    <row r="31" spans="1:5" x14ac:dyDescent="0.2">
      <c r="A31" s="71" t="s">
        <v>237</v>
      </c>
      <c r="B31" s="71">
        <f>B30*5</f>
        <v>95</v>
      </c>
    </row>
    <row r="32" spans="1:5" x14ac:dyDescent="0.2">
      <c r="A32" s="72"/>
      <c r="B32" s="72"/>
    </row>
    <row r="33" spans="1:8" x14ac:dyDescent="0.2">
      <c r="A33" s="333" t="s">
        <v>238</v>
      </c>
      <c r="B33" s="334"/>
    </row>
    <row r="34" spans="1:8" x14ac:dyDescent="0.2">
      <c r="A34" s="68" t="s">
        <v>226</v>
      </c>
      <c r="B34" s="68" t="s">
        <v>234</v>
      </c>
    </row>
    <row r="35" spans="1:8" x14ac:dyDescent="0.2">
      <c r="A35" s="70" t="s">
        <v>235</v>
      </c>
      <c r="B35" s="73">
        <v>5</v>
      </c>
    </row>
    <row r="36" spans="1:8" x14ac:dyDescent="0.2">
      <c r="B36">
        <f>B35*25.4</f>
        <v>127</v>
      </c>
      <c r="H36" s="92"/>
    </row>
    <row r="37" spans="1:8" x14ac:dyDescent="0.2">
      <c r="B37">
        <v>11.8</v>
      </c>
    </row>
    <row r="38" spans="1:8" x14ac:dyDescent="0.2">
      <c r="B38">
        <f>B36+B37</f>
        <v>138.80000000000001</v>
      </c>
    </row>
    <row r="39" spans="1:8" x14ac:dyDescent="0.2">
      <c r="B39">
        <f>B38/5</f>
        <v>27.76</v>
      </c>
    </row>
    <row r="40" spans="1:8" x14ac:dyDescent="0.2">
      <c r="B40">
        <f>FLOOR(B39,1)</f>
        <v>27</v>
      </c>
    </row>
    <row r="41" spans="1:8" x14ac:dyDescent="0.2">
      <c r="A41" s="71" t="s">
        <v>237</v>
      </c>
      <c r="B41" s="71">
        <f>B40*5</f>
        <v>135</v>
      </c>
    </row>
  </sheetData>
  <sheetProtection sheet="1" objects="1" scenarios="1"/>
  <mergeCells count="6">
    <mergeCell ref="A33:B33"/>
    <mergeCell ref="A1:B1"/>
    <mergeCell ref="D2:E2"/>
    <mergeCell ref="A11:B11"/>
    <mergeCell ref="A23:B23"/>
    <mergeCell ref="D24:E24"/>
  </mergeCells>
  <pageMargins left="0.75" right="0.75" top="1" bottom="1" header="0.5" footer="0.5"/>
  <pageSetup orientation="portrait" horizontalDpi="4294967292" verticalDpi="4294967292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3" name="Button 2">
              <controlPr defaultSize="0" print="0" autoFill="0" autoPict="0" macro="[0]!back_to_checklist_conv_Click">
                <anchor moveWithCells="1">
                  <from>
                    <xdr:col>3</xdr:col>
                    <xdr:colOff>9525</xdr:colOff>
                    <xdr:row>6</xdr:row>
                    <xdr:rowOff>152400</xdr:rowOff>
                  </from>
                  <to>
                    <xdr:col>4</xdr:col>
                    <xdr:colOff>390525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back_to_CM_conv_Click">
                <anchor moveWithCells="1" sizeWithCells="1">
                  <from>
                    <xdr:col>3</xdr:col>
                    <xdr:colOff>0</xdr:colOff>
                    <xdr:row>9</xdr:row>
                    <xdr:rowOff>161925</xdr:rowOff>
                  </from>
                  <to>
                    <xdr:col>4</xdr:col>
                    <xdr:colOff>381000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5" name="Button 5">
              <controlPr defaultSize="0" print="0" autoFill="0" autoPict="0" macro="[0]!back_to_SR_Click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381000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1">
    <tabColor theme="7" tint="0.39997558519241921"/>
  </sheetPr>
  <dimension ref="A1:F23"/>
  <sheetViews>
    <sheetView showGridLines="0" zoomScale="125" zoomScaleNormal="100" workbookViewId="0"/>
  </sheetViews>
  <sheetFormatPr defaultColWidth="8.85546875" defaultRowHeight="12.75" x14ac:dyDescent="0.2"/>
  <sheetData>
    <row r="1" spans="1:2" s="2" customFormat="1" ht="15" x14ac:dyDescent="0.2"/>
    <row r="2" spans="1:2" s="2" customFormat="1" ht="15.75" x14ac:dyDescent="0.25">
      <c r="A2" s="1" t="s">
        <v>106</v>
      </c>
    </row>
    <row r="3" spans="1:2" s="2" customFormat="1" ht="15" x14ac:dyDescent="0.2"/>
    <row r="4" spans="1:2" s="2" customFormat="1" ht="15" x14ac:dyDescent="0.2">
      <c r="B4" s="7"/>
    </row>
    <row r="22" spans="4:6" x14ac:dyDescent="0.2">
      <c r="D22" s="335"/>
      <c r="E22" s="335"/>
      <c r="F22" s="335"/>
    </row>
    <row r="23" spans="4:6" x14ac:dyDescent="0.2">
      <c r="D23" s="335"/>
      <c r="E23" s="335"/>
      <c r="F23" s="335"/>
    </row>
  </sheetData>
  <sheetProtection sheet="1" objects="1" scenarios="1"/>
  <mergeCells count="1">
    <mergeCell ref="D22:F23"/>
  </mergeCells>
  <phoneticPr fontId="4" type="noConversion"/>
  <printOptions gridLines="1"/>
  <pageMargins left="0.25" right="0.25" top="0.5" bottom="0.5" header="0.5" footer="0.5"/>
  <pageSetup orientation="landscape"/>
  <headerFooter alignWithMargins="0">
    <oddFooter>&amp;L&amp;7&amp;F • &amp;A • &amp;D • 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276" r:id="rId3" name="Button 1628">
              <controlPr defaultSize="0" print="0" autoFill="0" autoPict="0" macro="[0]!back_to_ICM">
                <anchor moveWithCells="1" sizeWithCells="1">
                  <from>
                    <xdr:col>4</xdr:col>
                    <xdr:colOff>514350</xdr:colOff>
                    <xdr:row>21</xdr:row>
                    <xdr:rowOff>66675</xdr:rowOff>
                  </from>
                  <to>
                    <xdr:col>6</xdr:col>
                    <xdr:colOff>552450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77" r:id="rId4" name="Button 1629">
              <controlPr defaultSize="0" print="0" autoFill="0" autoPict="0" macro="[0]!back_to_Checklist">
                <anchor moveWithCells="1" sizeWithCells="1">
                  <from>
                    <xdr:col>2</xdr:col>
                    <xdr:colOff>257175</xdr:colOff>
                    <xdr:row>21</xdr:row>
                    <xdr:rowOff>66675</xdr:rowOff>
                  </from>
                  <to>
                    <xdr:col>4</xdr:col>
                    <xdr:colOff>304800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39997558519241921"/>
  </sheetPr>
  <dimension ref="A1:H268"/>
  <sheetViews>
    <sheetView topLeftCell="A124" zoomScale="125" workbookViewId="0">
      <selection activeCell="B150" sqref="B150"/>
    </sheetView>
  </sheetViews>
  <sheetFormatPr defaultColWidth="8.85546875" defaultRowHeight="12.75" x14ac:dyDescent="0.2"/>
  <cols>
    <col min="1" max="1" width="8.140625" style="61" customWidth="1"/>
    <col min="2" max="2" width="29.140625" style="62" customWidth="1"/>
    <col min="3" max="3" width="7" style="61" customWidth="1"/>
    <col min="4" max="4" width="6.42578125" customWidth="1"/>
    <col min="5" max="5" width="13.85546875" customWidth="1"/>
    <col min="6" max="6" width="6.140625" customWidth="1"/>
    <col min="7" max="7" width="6.85546875" customWidth="1"/>
    <col min="8" max="8" width="14" customWidth="1"/>
    <col min="9" max="9" width="5.42578125" customWidth="1"/>
    <col min="10" max="10" width="7.28515625" customWidth="1"/>
    <col min="11" max="11" width="12.140625" customWidth="1"/>
    <col min="12" max="12" width="6" customWidth="1"/>
  </cols>
  <sheetData>
    <row r="1" spans="1:8" ht="18" customHeight="1" x14ac:dyDescent="0.2">
      <c r="A1" s="155" t="s">
        <v>264</v>
      </c>
      <c r="B1" s="156" t="s">
        <v>265</v>
      </c>
      <c r="C1" s="157">
        <v>621</v>
      </c>
      <c r="D1" s="58"/>
      <c r="E1" s="158" t="s">
        <v>206</v>
      </c>
      <c r="F1" s="336" t="s">
        <v>408</v>
      </c>
      <c r="G1" s="336"/>
      <c r="H1" s="336"/>
    </row>
    <row r="2" spans="1:8" s="72" customFormat="1" ht="18" customHeight="1" x14ac:dyDescent="0.2">
      <c r="A2" s="56" t="s">
        <v>81</v>
      </c>
      <c r="B2" s="57" t="s">
        <v>315</v>
      </c>
      <c r="C2" s="59">
        <v>621</v>
      </c>
      <c r="D2" s="80"/>
      <c r="E2" s="80"/>
      <c r="F2" s="80"/>
      <c r="G2" s="80"/>
      <c r="H2" s="80"/>
    </row>
    <row r="3" spans="1:8" ht="18" customHeight="1" x14ac:dyDescent="0.2">
      <c r="A3" s="155" t="s">
        <v>59</v>
      </c>
      <c r="B3" s="156" t="s">
        <v>65</v>
      </c>
      <c r="C3" s="157">
        <v>621</v>
      </c>
      <c r="D3" s="58"/>
      <c r="E3" s="58"/>
      <c r="F3" s="58"/>
      <c r="G3" s="58"/>
      <c r="H3" s="58"/>
    </row>
    <row r="4" spans="1:8" s="72" customFormat="1" ht="18" customHeight="1" x14ac:dyDescent="0.2">
      <c r="A4" s="56" t="s">
        <v>66</v>
      </c>
      <c r="B4" s="57" t="s">
        <v>29</v>
      </c>
      <c r="C4" s="59">
        <v>621</v>
      </c>
      <c r="D4" s="80"/>
      <c r="E4" s="80"/>
      <c r="F4" s="80"/>
      <c r="G4" s="80"/>
      <c r="H4" s="80"/>
    </row>
    <row r="5" spans="1:8" ht="18" customHeight="1" x14ac:dyDescent="0.2">
      <c r="A5" s="155" t="s">
        <v>30</v>
      </c>
      <c r="B5" s="156" t="s">
        <v>0</v>
      </c>
      <c r="C5" s="157">
        <v>611</v>
      </c>
      <c r="D5" s="58"/>
      <c r="E5" s="58"/>
      <c r="F5" s="58"/>
      <c r="G5" s="58"/>
      <c r="H5" s="58"/>
    </row>
    <row r="6" spans="1:8" s="72" customFormat="1" ht="18" customHeight="1" x14ac:dyDescent="0.2">
      <c r="A6" s="56" t="s">
        <v>1</v>
      </c>
      <c r="B6" s="57" t="s">
        <v>316</v>
      </c>
      <c r="C6" s="59">
        <v>621</v>
      </c>
      <c r="D6" s="80"/>
      <c r="E6" s="80"/>
      <c r="F6" s="80"/>
      <c r="G6" s="80"/>
      <c r="H6" s="80"/>
    </row>
    <row r="7" spans="1:8" ht="18" customHeight="1" x14ac:dyDescent="0.2">
      <c r="A7" s="155" t="s">
        <v>97</v>
      </c>
      <c r="B7" s="156" t="s">
        <v>317</v>
      </c>
      <c r="C7" s="157">
        <v>611</v>
      </c>
      <c r="D7" s="58"/>
      <c r="E7" s="58"/>
      <c r="F7" s="58"/>
      <c r="G7" s="58"/>
      <c r="H7" s="58"/>
    </row>
    <row r="8" spans="1:8" s="72" customFormat="1" ht="18" customHeight="1" x14ac:dyDescent="0.2">
      <c r="A8" s="56" t="s">
        <v>179</v>
      </c>
      <c r="B8" s="57" t="s">
        <v>409</v>
      </c>
      <c r="C8" s="59">
        <v>621</v>
      </c>
      <c r="D8" s="80"/>
      <c r="E8" s="80"/>
      <c r="F8" s="80"/>
      <c r="G8" s="80"/>
      <c r="H8" s="80"/>
    </row>
    <row r="9" spans="1:8" s="72" customFormat="1" ht="18" customHeight="1" x14ac:dyDescent="0.2">
      <c r="A9" s="155" t="s">
        <v>131</v>
      </c>
      <c r="B9" s="156" t="s">
        <v>22</v>
      </c>
      <c r="C9" s="157">
        <v>621</v>
      </c>
      <c r="D9" s="80"/>
      <c r="E9" s="80"/>
      <c r="F9" s="80"/>
      <c r="G9" s="80"/>
      <c r="H9" s="80"/>
    </row>
    <row r="10" spans="1:8" s="72" customFormat="1" ht="18" customHeight="1" x14ac:dyDescent="0.2">
      <c r="A10" s="56" t="s">
        <v>93</v>
      </c>
      <c r="B10" s="57" t="s">
        <v>94</v>
      </c>
      <c r="C10" s="59">
        <v>621</v>
      </c>
      <c r="D10" s="80"/>
      <c r="E10" s="80"/>
      <c r="F10" s="80"/>
      <c r="G10" s="80"/>
      <c r="H10" s="80"/>
    </row>
    <row r="11" spans="1:8" s="72" customFormat="1" ht="18" customHeight="1" x14ac:dyDescent="0.2">
      <c r="A11" s="155" t="s">
        <v>185</v>
      </c>
      <c r="B11" s="156" t="s">
        <v>318</v>
      </c>
      <c r="C11" s="157">
        <v>621</v>
      </c>
      <c r="D11" s="80"/>
      <c r="E11" s="80"/>
      <c r="F11" s="80"/>
      <c r="G11" s="80"/>
      <c r="H11" s="80"/>
    </row>
    <row r="12" spans="1:8" s="72" customFormat="1" ht="18" customHeight="1" x14ac:dyDescent="0.2">
      <c r="A12" s="56" t="s">
        <v>70</v>
      </c>
      <c r="B12" s="57" t="s">
        <v>410</v>
      </c>
      <c r="C12" s="59">
        <v>621</v>
      </c>
      <c r="D12" s="80"/>
      <c r="E12" s="80"/>
      <c r="F12" s="80"/>
      <c r="G12" s="80"/>
      <c r="H12" s="80"/>
    </row>
    <row r="13" spans="1:8" s="72" customFormat="1" ht="18" customHeight="1" x14ac:dyDescent="0.2">
      <c r="A13" s="155" t="s">
        <v>82</v>
      </c>
      <c r="B13" s="156" t="s">
        <v>147</v>
      </c>
      <c r="C13" s="157">
        <v>621</v>
      </c>
      <c r="D13" s="80"/>
      <c r="E13" s="80"/>
      <c r="F13" s="80"/>
      <c r="G13" s="80"/>
      <c r="H13" s="80"/>
    </row>
    <row r="14" spans="1:8" s="72" customFormat="1" ht="18" customHeight="1" x14ac:dyDescent="0.2">
      <c r="A14" s="56" t="s">
        <v>140</v>
      </c>
      <c r="B14" s="57" t="s">
        <v>319</v>
      </c>
      <c r="C14" s="59">
        <v>611</v>
      </c>
      <c r="D14" s="80"/>
      <c r="E14" s="80"/>
      <c r="F14" s="80"/>
      <c r="G14" s="80"/>
      <c r="H14" s="80"/>
    </row>
    <row r="15" spans="1:8" s="72" customFormat="1" ht="18" customHeight="1" x14ac:dyDescent="0.2">
      <c r="A15" s="155"/>
      <c r="B15" s="156"/>
      <c r="C15" s="157"/>
      <c r="D15" s="80"/>
      <c r="E15" s="80"/>
      <c r="F15" s="80"/>
      <c r="G15" s="80"/>
      <c r="H15" s="80"/>
    </row>
    <row r="16" spans="1:8" s="72" customFormat="1" ht="18" customHeight="1" x14ac:dyDescent="0.2">
      <c r="A16" s="56" t="s">
        <v>207</v>
      </c>
      <c r="B16" s="57" t="s">
        <v>208</v>
      </c>
      <c r="C16" s="59">
        <v>621</v>
      </c>
      <c r="D16" s="80"/>
      <c r="E16" s="80"/>
      <c r="F16" s="80"/>
      <c r="G16" s="80"/>
      <c r="H16" s="80"/>
    </row>
    <row r="17" spans="1:8" s="72" customFormat="1" ht="18" customHeight="1" x14ac:dyDescent="0.2">
      <c r="A17" s="155" t="s">
        <v>90</v>
      </c>
      <c r="B17" s="156" t="s">
        <v>411</v>
      </c>
      <c r="C17" s="157">
        <v>621</v>
      </c>
      <c r="D17" s="80"/>
      <c r="E17" s="80"/>
      <c r="F17" s="80"/>
      <c r="G17" s="80"/>
      <c r="H17" s="80"/>
    </row>
    <row r="18" spans="1:8" s="72" customFormat="1" ht="18" customHeight="1" x14ac:dyDescent="0.2">
      <c r="A18" s="56" t="s">
        <v>209</v>
      </c>
      <c r="B18" s="57" t="s">
        <v>320</v>
      </c>
      <c r="C18" s="59">
        <v>621</v>
      </c>
      <c r="D18" s="80"/>
      <c r="E18" s="80"/>
      <c r="F18" s="80"/>
      <c r="G18" s="80"/>
      <c r="H18" s="80"/>
    </row>
    <row r="19" spans="1:8" s="72" customFormat="1" ht="18" customHeight="1" x14ac:dyDescent="0.2">
      <c r="A19" s="155" t="s">
        <v>134</v>
      </c>
      <c r="B19" s="156" t="s">
        <v>321</v>
      </c>
      <c r="C19" s="157">
        <v>621</v>
      </c>
      <c r="D19" s="80"/>
      <c r="E19" s="80"/>
      <c r="F19" s="80"/>
      <c r="G19" s="80"/>
      <c r="H19" s="80"/>
    </row>
    <row r="20" spans="1:8" s="72" customFormat="1" ht="18" customHeight="1" x14ac:dyDescent="0.2">
      <c r="A20" s="56" t="s">
        <v>322</v>
      </c>
      <c r="B20" s="57" t="s">
        <v>323</v>
      </c>
      <c r="C20" s="59">
        <v>621</v>
      </c>
      <c r="D20" s="80"/>
      <c r="E20" s="80"/>
      <c r="F20" s="80"/>
      <c r="G20" s="80"/>
      <c r="H20" s="80"/>
    </row>
    <row r="21" spans="1:8" s="72" customFormat="1" ht="18" customHeight="1" x14ac:dyDescent="0.2">
      <c r="A21" s="155" t="s">
        <v>210</v>
      </c>
      <c r="B21" s="156" t="s">
        <v>324</v>
      </c>
      <c r="C21" s="157">
        <v>621</v>
      </c>
      <c r="D21" s="80"/>
      <c r="E21" s="80"/>
      <c r="F21" s="80"/>
      <c r="G21" s="80"/>
      <c r="H21" s="80"/>
    </row>
    <row r="22" spans="1:8" s="72" customFormat="1" ht="18" customHeight="1" x14ac:dyDescent="0.2">
      <c r="A22" s="56" t="s">
        <v>308</v>
      </c>
      <c r="B22" s="57" t="s">
        <v>309</v>
      </c>
      <c r="C22" s="59">
        <v>621</v>
      </c>
      <c r="D22" s="80"/>
      <c r="E22" s="80"/>
      <c r="F22" s="80"/>
      <c r="G22" s="80"/>
      <c r="H22" s="80"/>
    </row>
    <row r="23" spans="1:8" s="72" customFormat="1" ht="18" customHeight="1" x14ac:dyDescent="0.2">
      <c r="A23" s="155" t="s">
        <v>325</v>
      </c>
      <c r="B23" s="156" t="s">
        <v>412</v>
      </c>
      <c r="C23" s="157">
        <v>621</v>
      </c>
      <c r="D23" s="80"/>
      <c r="E23" s="80"/>
      <c r="F23" s="80"/>
      <c r="G23" s="80"/>
      <c r="H23" s="80"/>
    </row>
    <row r="24" spans="1:8" s="72" customFormat="1" ht="18" customHeight="1" x14ac:dyDescent="0.2">
      <c r="A24" s="155" t="s">
        <v>413</v>
      </c>
      <c r="B24" s="156" t="s">
        <v>414</v>
      </c>
      <c r="C24" s="157">
        <v>611</v>
      </c>
      <c r="D24" s="80"/>
      <c r="E24" s="80"/>
      <c r="F24" s="80"/>
      <c r="G24" s="80"/>
      <c r="H24" s="80"/>
    </row>
    <row r="25" spans="1:8" s="72" customFormat="1" ht="18" customHeight="1" x14ac:dyDescent="0.2">
      <c r="A25" s="56" t="s">
        <v>135</v>
      </c>
      <c r="B25" s="57" t="s">
        <v>165</v>
      </c>
      <c r="C25" s="59">
        <v>621</v>
      </c>
      <c r="D25" s="80"/>
      <c r="E25" s="80"/>
      <c r="F25" s="80"/>
      <c r="G25" s="80"/>
      <c r="H25" s="80"/>
    </row>
    <row r="26" spans="1:8" s="72" customFormat="1" ht="18" customHeight="1" x14ac:dyDescent="0.2">
      <c r="A26" s="155" t="s">
        <v>18</v>
      </c>
      <c r="B26" s="156" t="s">
        <v>326</v>
      </c>
      <c r="C26" s="157">
        <v>621</v>
      </c>
      <c r="D26" s="80"/>
      <c r="E26" s="80"/>
      <c r="F26" s="80"/>
      <c r="G26" s="80"/>
      <c r="H26" s="80"/>
    </row>
    <row r="27" spans="1:8" s="72" customFormat="1" ht="18" customHeight="1" x14ac:dyDescent="0.2">
      <c r="A27" s="56" t="s">
        <v>327</v>
      </c>
      <c r="B27" s="57" t="s">
        <v>328</v>
      </c>
      <c r="C27" s="59">
        <v>621</v>
      </c>
      <c r="D27" s="80"/>
      <c r="E27" s="80"/>
      <c r="F27" s="80"/>
      <c r="G27" s="80"/>
      <c r="H27" s="80"/>
    </row>
    <row r="28" spans="1:8" s="72" customFormat="1" ht="18" customHeight="1" x14ac:dyDescent="0.2">
      <c r="A28" s="155" t="s">
        <v>31</v>
      </c>
      <c r="B28" s="156" t="s">
        <v>99</v>
      </c>
      <c r="C28" s="157">
        <v>621</v>
      </c>
      <c r="D28" s="80"/>
      <c r="E28" s="80"/>
      <c r="F28" s="80"/>
      <c r="G28" s="80"/>
      <c r="H28" s="80"/>
    </row>
    <row r="29" spans="1:8" s="72" customFormat="1" ht="18" customHeight="1" x14ac:dyDescent="0.2">
      <c r="A29" s="56" t="s">
        <v>100</v>
      </c>
      <c r="B29" s="57" t="s">
        <v>187</v>
      </c>
      <c r="C29" s="59">
        <v>621</v>
      </c>
      <c r="D29" s="80"/>
      <c r="E29" s="80"/>
      <c r="F29" s="80"/>
      <c r="G29" s="80"/>
      <c r="H29" s="80"/>
    </row>
    <row r="30" spans="1:8" s="72" customFormat="1" ht="18" customHeight="1" x14ac:dyDescent="0.2">
      <c r="A30" s="155" t="s">
        <v>188</v>
      </c>
      <c r="B30" s="156" t="s">
        <v>77</v>
      </c>
      <c r="C30" s="157">
        <v>621</v>
      </c>
      <c r="D30" s="80"/>
      <c r="E30" s="80"/>
      <c r="F30" s="80"/>
      <c r="G30" s="80"/>
      <c r="H30" s="80"/>
    </row>
    <row r="31" spans="1:8" s="72" customFormat="1" ht="18" customHeight="1" x14ac:dyDescent="0.2">
      <c r="A31" s="56" t="s">
        <v>101</v>
      </c>
      <c r="B31" s="57" t="s">
        <v>329</v>
      </c>
      <c r="C31" s="59">
        <v>621</v>
      </c>
      <c r="D31" s="80"/>
      <c r="E31" s="80"/>
      <c r="F31" s="80"/>
      <c r="G31" s="80"/>
      <c r="H31" s="80"/>
    </row>
    <row r="32" spans="1:8" s="72" customFormat="1" ht="18" customHeight="1" x14ac:dyDescent="0.2">
      <c r="A32" s="155" t="s">
        <v>89</v>
      </c>
      <c r="B32" s="156" t="s">
        <v>330</v>
      </c>
      <c r="C32" s="157">
        <v>621</v>
      </c>
      <c r="D32" s="80"/>
      <c r="E32" s="80"/>
      <c r="F32" s="80"/>
      <c r="G32" s="80"/>
      <c r="H32" s="80"/>
    </row>
    <row r="33" spans="1:8" s="72" customFormat="1" ht="18" customHeight="1" x14ac:dyDescent="0.2">
      <c r="A33" s="56" t="s">
        <v>45</v>
      </c>
      <c r="B33" s="57" t="s">
        <v>331</v>
      </c>
      <c r="C33" s="59">
        <v>621</v>
      </c>
      <c r="D33" s="80"/>
      <c r="E33" s="80"/>
      <c r="F33" s="80"/>
      <c r="G33" s="80"/>
      <c r="H33" s="80"/>
    </row>
    <row r="34" spans="1:8" s="72" customFormat="1" ht="18" customHeight="1" x14ac:dyDescent="0.2">
      <c r="A34" s="155" t="s">
        <v>67</v>
      </c>
      <c r="B34" s="156" t="s">
        <v>332</v>
      </c>
      <c r="C34" s="157">
        <v>621</v>
      </c>
      <c r="D34" s="80"/>
      <c r="E34" s="80"/>
      <c r="F34" s="80"/>
      <c r="G34" s="80"/>
      <c r="H34" s="80"/>
    </row>
    <row r="35" spans="1:8" s="72" customFormat="1" ht="18" customHeight="1" x14ac:dyDescent="0.2">
      <c r="A35" s="56" t="s">
        <v>143</v>
      </c>
      <c r="B35" s="57" t="s">
        <v>181</v>
      </c>
      <c r="C35" s="59">
        <v>621</v>
      </c>
      <c r="D35" s="80"/>
      <c r="E35" s="80"/>
      <c r="F35" s="80"/>
      <c r="G35" s="80"/>
      <c r="H35" s="80"/>
    </row>
    <row r="36" spans="1:8" s="72" customFormat="1" ht="18" customHeight="1" x14ac:dyDescent="0.2">
      <c r="A36" s="155" t="s">
        <v>7</v>
      </c>
      <c r="B36" s="156" t="s">
        <v>8</v>
      </c>
      <c r="C36" s="157">
        <v>621</v>
      </c>
      <c r="D36" s="80"/>
      <c r="E36" s="80"/>
      <c r="F36" s="80"/>
      <c r="G36" s="80"/>
      <c r="H36" s="80"/>
    </row>
    <row r="37" spans="1:8" s="72" customFormat="1" ht="18" customHeight="1" x14ac:dyDescent="0.2">
      <c r="A37" s="56" t="s">
        <v>9</v>
      </c>
      <c r="B37" s="57" t="s">
        <v>333</v>
      </c>
      <c r="C37" s="59">
        <v>621</v>
      </c>
      <c r="D37" s="80"/>
      <c r="E37" s="80"/>
      <c r="F37" s="80"/>
      <c r="G37" s="80"/>
      <c r="H37" s="80"/>
    </row>
    <row r="38" spans="1:8" s="72" customFormat="1" ht="18" customHeight="1" x14ac:dyDescent="0.2">
      <c r="A38" s="155" t="s">
        <v>104</v>
      </c>
      <c r="B38" s="156" t="s">
        <v>334</v>
      </c>
      <c r="C38" s="157">
        <v>611</v>
      </c>
      <c r="D38" s="80"/>
      <c r="E38" s="80"/>
      <c r="F38" s="80"/>
      <c r="G38" s="80"/>
      <c r="H38" s="80"/>
    </row>
    <row r="39" spans="1:8" s="72" customFormat="1" ht="18" customHeight="1" x14ac:dyDescent="0.2">
      <c r="A39" s="56" t="s">
        <v>46</v>
      </c>
      <c r="B39" s="57" t="s">
        <v>47</v>
      </c>
      <c r="C39" s="59">
        <v>621</v>
      </c>
      <c r="D39" s="80"/>
      <c r="E39" s="80"/>
      <c r="F39" s="80"/>
      <c r="G39" s="80"/>
      <c r="H39" s="80"/>
    </row>
    <row r="40" spans="1:8" s="72" customFormat="1" ht="18" customHeight="1" x14ac:dyDescent="0.2">
      <c r="A40" s="155" t="s">
        <v>3</v>
      </c>
      <c r="B40" s="156" t="s">
        <v>335</v>
      </c>
      <c r="C40" s="157">
        <v>611</v>
      </c>
      <c r="D40" s="80"/>
      <c r="E40" s="80"/>
      <c r="F40" s="80"/>
      <c r="G40" s="80"/>
      <c r="H40" s="80"/>
    </row>
    <row r="41" spans="1:8" s="72" customFormat="1" ht="18" customHeight="1" x14ac:dyDescent="0.2">
      <c r="A41" s="56" t="s">
        <v>115</v>
      </c>
      <c r="B41" s="57" t="s">
        <v>336</v>
      </c>
      <c r="C41" s="59">
        <v>621</v>
      </c>
      <c r="D41" s="80"/>
      <c r="E41" s="80"/>
      <c r="F41" s="80"/>
      <c r="G41" s="80"/>
      <c r="H41" s="80"/>
    </row>
    <row r="42" spans="1:8" s="72" customFormat="1" ht="18" customHeight="1" x14ac:dyDescent="0.2">
      <c r="A42" s="155" t="s">
        <v>79</v>
      </c>
      <c r="B42" s="156" t="s">
        <v>337</v>
      </c>
      <c r="C42" s="157">
        <v>611</v>
      </c>
      <c r="D42" s="80"/>
      <c r="E42" s="80"/>
      <c r="F42" s="80"/>
      <c r="G42" s="80"/>
      <c r="H42" s="80"/>
    </row>
    <row r="43" spans="1:8" s="72" customFormat="1" ht="18" customHeight="1" x14ac:dyDescent="0.2">
      <c r="A43" s="56" t="s">
        <v>112</v>
      </c>
      <c r="B43" s="57" t="s">
        <v>338</v>
      </c>
      <c r="C43" s="59">
        <v>611</v>
      </c>
      <c r="D43" s="80"/>
      <c r="E43" s="80"/>
      <c r="F43" s="80"/>
      <c r="G43" s="80"/>
      <c r="H43" s="80"/>
    </row>
    <row r="44" spans="1:8" s="72" customFormat="1" ht="18" customHeight="1" x14ac:dyDescent="0.2">
      <c r="A44" s="155" t="s">
        <v>10</v>
      </c>
      <c r="B44" s="156" t="s">
        <v>339</v>
      </c>
      <c r="C44" s="157">
        <v>611</v>
      </c>
      <c r="D44" s="80"/>
      <c r="E44" s="80"/>
      <c r="F44" s="80"/>
      <c r="G44" s="80"/>
      <c r="H44" s="80"/>
    </row>
    <row r="45" spans="1:8" s="72" customFormat="1" ht="18" customHeight="1" x14ac:dyDescent="0.2">
      <c r="A45" s="56" t="s">
        <v>43</v>
      </c>
      <c r="B45" s="57" t="s">
        <v>340</v>
      </c>
      <c r="C45" s="59">
        <v>611</v>
      </c>
      <c r="D45" s="80"/>
      <c r="E45" s="80"/>
      <c r="F45" s="80"/>
      <c r="G45" s="80"/>
      <c r="H45" s="80"/>
    </row>
    <row r="46" spans="1:8" s="72" customFormat="1" ht="18" customHeight="1" x14ac:dyDescent="0.2">
      <c r="A46" s="155" t="s">
        <v>55</v>
      </c>
      <c r="B46" s="156" t="s">
        <v>341</v>
      </c>
      <c r="C46" s="157">
        <v>611</v>
      </c>
      <c r="D46" s="80"/>
      <c r="E46" s="80"/>
      <c r="F46" s="80"/>
      <c r="G46" s="80"/>
      <c r="H46" s="80"/>
    </row>
    <row r="47" spans="1:8" s="72" customFormat="1" ht="18" customHeight="1" x14ac:dyDescent="0.2">
      <c r="A47" s="56" t="s">
        <v>121</v>
      </c>
      <c r="B47" s="57" t="s">
        <v>41</v>
      </c>
      <c r="C47" s="59">
        <v>621</v>
      </c>
      <c r="D47" s="80"/>
      <c r="E47" s="80"/>
      <c r="F47" s="80"/>
      <c r="G47" s="80"/>
      <c r="H47" s="80"/>
    </row>
    <row r="48" spans="1:8" s="72" customFormat="1" ht="18" customHeight="1" x14ac:dyDescent="0.2">
      <c r="A48" s="155" t="s">
        <v>145</v>
      </c>
      <c r="B48" s="156" t="s">
        <v>415</v>
      </c>
      <c r="C48" s="157">
        <v>621</v>
      </c>
      <c r="D48" s="80"/>
      <c r="E48" s="80"/>
      <c r="F48" s="80"/>
      <c r="G48" s="80"/>
      <c r="H48" s="80"/>
    </row>
    <row r="49" spans="1:8" s="72" customFormat="1" ht="18" customHeight="1" x14ac:dyDescent="0.2">
      <c r="A49" s="56" t="s">
        <v>158</v>
      </c>
      <c r="B49" s="57" t="s">
        <v>342</v>
      </c>
      <c r="C49" s="59">
        <v>611</v>
      </c>
      <c r="D49" s="80"/>
      <c r="E49" s="80"/>
      <c r="F49" s="80"/>
      <c r="G49" s="80"/>
      <c r="H49" s="80"/>
    </row>
    <row r="50" spans="1:8" s="72" customFormat="1" ht="18" customHeight="1" x14ac:dyDescent="0.2">
      <c r="A50" s="155" t="s">
        <v>73</v>
      </c>
      <c r="B50" s="156" t="s">
        <v>74</v>
      </c>
      <c r="C50" s="157">
        <v>621</v>
      </c>
      <c r="D50" s="80"/>
      <c r="E50" s="80"/>
      <c r="F50" s="80"/>
      <c r="G50" s="80"/>
      <c r="H50" s="80"/>
    </row>
    <row r="51" spans="1:8" s="72" customFormat="1" ht="18" customHeight="1" x14ac:dyDescent="0.2">
      <c r="A51" s="56" t="s">
        <v>75</v>
      </c>
      <c r="B51" s="57" t="s">
        <v>76</v>
      </c>
      <c r="C51" s="59">
        <v>611</v>
      </c>
      <c r="D51" s="80"/>
      <c r="E51" s="80"/>
      <c r="F51" s="80"/>
      <c r="G51" s="80"/>
      <c r="H51" s="80"/>
    </row>
    <row r="52" spans="1:8" s="72" customFormat="1" ht="18" customHeight="1" x14ac:dyDescent="0.2">
      <c r="A52" s="155" t="s">
        <v>21</v>
      </c>
      <c r="B52" s="156" t="s">
        <v>343</v>
      </c>
      <c r="C52" s="157">
        <v>611</v>
      </c>
      <c r="D52" s="80"/>
      <c r="E52" s="80"/>
      <c r="F52" s="80"/>
      <c r="G52" s="80"/>
      <c r="H52" s="80"/>
    </row>
    <row r="53" spans="1:8" s="72" customFormat="1" ht="18" customHeight="1" x14ac:dyDescent="0.2">
      <c r="A53" s="56" t="s">
        <v>88</v>
      </c>
      <c r="B53" s="57" t="s">
        <v>132</v>
      </c>
      <c r="C53" s="59">
        <v>621</v>
      </c>
      <c r="D53" s="80"/>
      <c r="E53" s="80"/>
      <c r="F53" s="80"/>
      <c r="G53" s="80"/>
      <c r="H53" s="80"/>
    </row>
    <row r="54" spans="1:8" s="72" customFormat="1" ht="18" customHeight="1" x14ac:dyDescent="0.2">
      <c r="A54" s="155" t="s">
        <v>122</v>
      </c>
      <c r="B54" s="156" t="s">
        <v>163</v>
      </c>
      <c r="C54" s="157">
        <v>621</v>
      </c>
      <c r="D54" s="80"/>
      <c r="E54" s="80"/>
      <c r="F54" s="80"/>
      <c r="G54" s="80"/>
      <c r="H54" s="80"/>
    </row>
    <row r="55" spans="1:8" s="72" customFormat="1" ht="18" customHeight="1" x14ac:dyDescent="0.2">
      <c r="A55" s="56" t="s">
        <v>119</v>
      </c>
      <c r="B55" s="57" t="s">
        <v>416</v>
      </c>
      <c r="C55" s="59">
        <v>621</v>
      </c>
      <c r="D55" s="80"/>
      <c r="E55" s="80"/>
      <c r="F55" s="80"/>
      <c r="G55" s="80"/>
      <c r="H55" s="80"/>
    </row>
    <row r="56" spans="1:8" s="72" customFormat="1" ht="18" customHeight="1" x14ac:dyDescent="0.2">
      <c r="A56" s="155" t="s">
        <v>129</v>
      </c>
      <c r="B56" s="156" t="s">
        <v>189</v>
      </c>
      <c r="C56" s="157">
        <v>611</v>
      </c>
      <c r="D56" s="80"/>
      <c r="E56" s="80"/>
      <c r="F56" s="80"/>
      <c r="G56" s="80"/>
      <c r="H56" s="80"/>
    </row>
    <row r="57" spans="1:8" s="72" customFormat="1" ht="18" customHeight="1" x14ac:dyDescent="0.2">
      <c r="A57" s="56" t="s">
        <v>168</v>
      </c>
      <c r="B57" s="57" t="s">
        <v>200</v>
      </c>
      <c r="C57" s="59">
        <v>621</v>
      </c>
      <c r="D57" s="80"/>
      <c r="E57" s="80"/>
      <c r="F57" s="80"/>
      <c r="G57" s="80"/>
      <c r="H57" s="80"/>
    </row>
    <row r="58" spans="1:8" s="72" customFormat="1" ht="18" customHeight="1" x14ac:dyDescent="0.2">
      <c r="A58" s="155" t="s">
        <v>125</v>
      </c>
      <c r="B58" s="156" t="s">
        <v>344</v>
      </c>
      <c r="C58" s="157">
        <v>611</v>
      </c>
      <c r="D58" s="80"/>
      <c r="E58" s="80"/>
      <c r="F58" s="80"/>
      <c r="G58" s="80"/>
      <c r="H58" s="80"/>
    </row>
    <row r="59" spans="1:8" s="72" customFormat="1" ht="18" customHeight="1" x14ac:dyDescent="0.2">
      <c r="A59" s="56" t="s">
        <v>34</v>
      </c>
      <c r="B59" s="57" t="s">
        <v>345</v>
      </c>
      <c r="C59" s="59">
        <v>611</v>
      </c>
      <c r="D59" s="80"/>
      <c r="E59" s="80"/>
      <c r="F59" s="80"/>
      <c r="G59" s="80"/>
      <c r="H59" s="80"/>
    </row>
    <row r="60" spans="1:8" s="72" customFormat="1" ht="18" customHeight="1" x14ac:dyDescent="0.2">
      <c r="A60" s="155" t="s">
        <v>109</v>
      </c>
      <c r="B60" s="156" t="s">
        <v>211</v>
      </c>
      <c r="C60" s="157">
        <v>621</v>
      </c>
      <c r="D60" s="80"/>
      <c r="E60" s="80"/>
      <c r="F60" s="80"/>
      <c r="G60" s="80"/>
      <c r="H60" s="80"/>
    </row>
    <row r="61" spans="1:8" s="72" customFormat="1" ht="18" customHeight="1" x14ac:dyDescent="0.2">
      <c r="A61" s="56" t="s">
        <v>149</v>
      </c>
      <c r="B61" s="57" t="s">
        <v>150</v>
      </c>
      <c r="C61" s="59">
        <v>621</v>
      </c>
      <c r="D61" s="80"/>
      <c r="E61" s="80"/>
      <c r="F61" s="80"/>
      <c r="G61" s="80"/>
      <c r="H61" s="80"/>
    </row>
    <row r="62" spans="1:8" s="72" customFormat="1" ht="18" customHeight="1" x14ac:dyDescent="0.2">
      <c r="A62" s="155" t="s">
        <v>13</v>
      </c>
      <c r="B62" s="156" t="s">
        <v>204</v>
      </c>
      <c r="C62" s="157">
        <v>621</v>
      </c>
      <c r="D62" s="80"/>
      <c r="E62" s="80"/>
      <c r="F62" s="80"/>
      <c r="G62" s="80"/>
      <c r="H62" s="80"/>
    </row>
    <row r="63" spans="1:8" s="72" customFormat="1" ht="18" customHeight="1" x14ac:dyDescent="0.2">
      <c r="A63" s="56" t="s">
        <v>146</v>
      </c>
      <c r="B63" s="57" t="s">
        <v>346</v>
      </c>
      <c r="C63" s="59">
        <v>621</v>
      </c>
      <c r="D63" s="80"/>
      <c r="E63" s="80"/>
      <c r="F63" s="80"/>
      <c r="G63" s="80"/>
      <c r="H63" s="80"/>
    </row>
    <row r="64" spans="1:8" s="72" customFormat="1" ht="18" customHeight="1" x14ac:dyDescent="0.2">
      <c r="A64" s="155" t="s">
        <v>19</v>
      </c>
      <c r="B64" s="156" t="s">
        <v>347</v>
      </c>
      <c r="C64" s="157">
        <v>611</v>
      </c>
      <c r="D64" s="80"/>
      <c r="E64" s="80"/>
      <c r="F64" s="80"/>
      <c r="G64" s="80"/>
      <c r="H64" s="80"/>
    </row>
    <row r="65" spans="1:8" s="72" customFormat="1" ht="18" customHeight="1" x14ac:dyDescent="0.2">
      <c r="A65" s="56" t="s">
        <v>98</v>
      </c>
      <c r="B65" s="57" t="s">
        <v>348</v>
      </c>
      <c r="C65" s="59">
        <v>621</v>
      </c>
      <c r="D65" s="80"/>
      <c r="E65" s="80"/>
      <c r="F65" s="80"/>
      <c r="G65" s="80"/>
      <c r="H65" s="80"/>
    </row>
    <row r="66" spans="1:8" s="72" customFormat="1" ht="18" customHeight="1" x14ac:dyDescent="0.2">
      <c r="A66" s="155" t="s">
        <v>114</v>
      </c>
      <c r="B66" s="156" t="s">
        <v>349</v>
      </c>
      <c r="C66" s="157">
        <v>611</v>
      </c>
      <c r="D66" s="80"/>
      <c r="E66" s="80"/>
      <c r="F66" s="80"/>
      <c r="G66" s="80"/>
      <c r="H66" s="80"/>
    </row>
    <row r="67" spans="1:8" s="72" customFormat="1" ht="18" customHeight="1" x14ac:dyDescent="0.2">
      <c r="A67" s="56" t="s">
        <v>130</v>
      </c>
      <c r="B67" s="57" t="s">
        <v>126</v>
      </c>
      <c r="C67" s="59">
        <v>621</v>
      </c>
      <c r="D67" s="80"/>
      <c r="E67" s="80"/>
      <c r="F67" s="80"/>
      <c r="G67" s="80"/>
      <c r="H67" s="80"/>
    </row>
    <row r="68" spans="1:8" s="72" customFormat="1" ht="18" customHeight="1" x14ac:dyDescent="0.2">
      <c r="A68" s="155" t="s">
        <v>169</v>
      </c>
      <c r="B68" s="156" t="s">
        <v>350</v>
      </c>
      <c r="C68" s="157">
        <v>621</v>
      </c>
      <c r="D68" s="80"/>
      <c r="E68" s="80"/>
      <c r="F68" s="80"/>
      <c r="G68" s="80"/>
      <c r="H68" s="80"/>
    </row>
    <row r="69" spans="1:8" s="72" customFormat="1" ht="18" customHeight="1" x14ac:dyDescent="0.2">
      <c r="A69" s="56" t="s">
        <v>128</v>
      </c>
      <c r="B69" s="57" t="s">
        <v>417</v>
      </c>
      <c r="C69" s="59">
        <v>621</v>
      </c>
      <c r="D69" s="80"/>
      <c r="E69" s="80"/>
      <c r="F69" s="80"/>
      <c r="G69" s="80"/>
      <c r="H69" s="80"/>
    </row>
    <row r="70" spans="1:8" ht="18" customHeight="1" x14ac:dyDescent="0.2">
      <c r="A70" s="155" t="s">
        <v>201</v>
      </c>
      <c r="B70" s="156" t="s">
        <v>418</v>
      </c>
      <c r="C70" s="157">
        <v>611</v>
      </c>
      <c r="D70" s="58"/>
      <c r="E70" s="58"/>
      <c r="F70" s="58"/>
      <c r="G70" s="58"/>
      <c r="H70" s="58"/>
    </row>
    <row r="71" spans="1:8" s="72" customFormat="1" ht="18" customHeight="1" x14ac:dyDescent="0.2">
      <c r="A71" s="56" t="s">
        <v>139</v>
      </c>
      <c r="B71" s="57" t="s">
        <v>419</v>
      </c>
      <c r="C71" s="59">
        <v>621</v>
      </c>
      <c r="D71" s="80"/>
      <c r="E71" s="80"/>
      <c r="F71" s="80"/>
      <c r="G71" s="80"/>
      <c r="H71" s="80"/>
    </row>
    <row r="72" spans="1:8" ht="18" customHeight="1" x14ac:dyDescent="0.2">
      <c r="A72" s="155" t="s">
        <v>154</v>
      </c>
      <c r="B72" s="156" t="s">
        <v>420</v>
      </c>
      <c r="C72" s="157">
        <v>621</v>
      </c>
      <c r="D72" s="58"/>
      <c r="E72" s="58"/>
      <c r="F72" s="58"/>
      <c r="G72" s="58"/>
      <c r="H72" s="58"/>
    </row>
    <row r="73" spans="1:8" s="72" customFormat="1" ht="18" customHeight="1" x14ac:dyDescent="0.2">
      <c r="A73" s="56" t="s">
        <v>171</v>
      </c>
      <c r="B73" s="57" t="s">
        <v>421</v>
      </c>
      <c r="C73" s="59">
        <v>611</v>
      </c>
      <c r="D73" s="80"/>
      <c r="E73" s="80"/>
      <c r="F73" s="80"/>
      <c r="G73" s="80"/>
      <c r="H73" s="80"/>
    </row>
    <row r="74" spans="1:8" ht="18" customHeight="1" x14ac:dyDescent="0.2">
      <c r="A74" s="155" t="s">
        <v>6</v>
      </c>
      <c r="B74" s="156" t="s">
        <v>422</v>
      </c>
      <c r="C74" s="157">
        <v>611</v>
      </c>
      <c r="D74" s="58"/>
      <c r="E74" s="58"/>
      <c r="F74" s="58"/>
      <c r="G74" s="58"/>
      <c r="H74" s="58"/>
    </row>
    <row r="75" spans="1:8" s="72" customFormat="1" ht="18" customHeight="1" x14ac:dyDescent="0.2">
      <c r="A75" s="56" t="s">
        <v>153</v>
      </c>
      <c r="B75" s="57" t="s">
        <v>351</v>
      </c>
      <c r="C75" s="59">
        <v>611</v>
      </c>
      <c r="D75" s="80"/>
      <c r="E75" s="80"/>
      <c r="F75" s="80"/>
      <c r="G75" s="80"/>
      <c r="H75" s="80"/>
    </row>
    <row r="76" spans="1:8" ht="18" customHeight="1" x14ac:dyDescent="0.2">
      <c r="A76" s="155" t="s">
        <v>32</v>
      </c>
      <c r="B76" s="156" t="s">
        <v>352</v>
      </c>
      <c r="C76" s="157">
        <v>621</v>
      </c>
      <c r="D76" s="58"/>
      <c r="E76" s="58"/>
      <c r="F76" s="58"/>
      <c r="G76" s="58"/>
      <c r="H76" s="58"/>
    </row>
    <row r="77" spans="1:8" s="72" customFormat="1" ht="18" customHeight="1" x14ac:dyDescent="0.2">
      <c r="A77" s="56" t="s">
        <v>4</v>
      </c>
      <c r="B77" s="57" t="s">
        <v>142</v>
      </c>
      <c r="C77" s="59">
        <v>621</v>
      </c>
      <c r="D77" s="80"/>
      <c r="E77" s="80"/>
      <c r="F77" s="80"/>
      <c r="G77" s="80"/>
      <c r="H77" s="80"/>
    </row>
    <row r="78" spans="1:8" ht="18" customHeight="1" x14ac:dyDescent="0.2">
      <c r="A78" s="155" t="s">
        <v>141</v>
      </c>
      <c r="B78" s="156" t="s">
        <v>353</v>
      </c>
      <c r="C78" s="157">
        <v>621</v>
      </c>
      <c r="D78" s="58"/>
      <c r="E78" s="58"/>
      <c r="F78" s="58"/>
      <c r="G78" s="58"/>
      <c r="H78" s="58"/>
    </row>
    <row r="79" spans="1:8" s="72" customFormat="1" ht="18" customHeight="1" x14ac:dyDescent="0.2">
      <c r="A79" s="56" t="s">
        <v>71</v>
      </c>
      <c r="B79" s="57" t="s">
        <v>174</v>
      </c>
      <c r="C79" s="59">
        <v>621</v>
      </c>
      <c r="D79" s="80"/>
      <c r="E79" s="80"/>
      <c r="F79" s="80"/>
      <c r="G79" s="80"/>
      <c r="H79" s="80"/>
    </row>
    <row r="80" spans="1:8" ht="18" customHeight="1" x14ac:dyDescent="0.2">
      <c r="A80" s="155"/>
      <c r="B80" s="156"/>
      <c r="C80" s="157"/>
      <c r="D80" s="58"/>
      <c r="E80" s="58"/>
      <c r="F80" s="58"/>
      <c r="G80" s="58"/>
      <c r="H80" s="58"/>
    </row>
    <row r="81" spans="1:8" s="72" customFormat="1" ht="18" customHeight="1" x14ac:dyDescent="0.2">
      <c r="A81" s="56" t="s">
        <v>172</v>
      </c>
      <c r="B81" s="57" t="s">
        <v>354</v>
      </c>
      <c r="C81" s="59">
        <v>621</v>
      </c>
      <c r="D81" s="80"/>
      <c r="E81" s="80"/>
      <c r="F81" s="80"/>
      <c r="G81" s="80"/>
      <c r="H81" s="80"/>
    </row>
    <row r="82" spans="1:8" ht="18" customHeight="1" x14ac:dyDescent="0.2">
      <c r="A82" s="155" t="s">
        <v>54</v>
      </c>
      <c r="B82" s="156" t="s">
        <v>355</v>
      </c>
      <c r="C82" s="157">
        <v>621</v>
      </c>
      <c r="D82" s="58"/>
      <c r="E82" s="58"/>
      <c r="F82" s="58"/>
      <c r="G82" s="58"/>
      <c r="H82" s="58"/>
    </row>
    <row r="83" spans="1:8" s="72" customFormat="1" ht="18" customHeight="1" x14ac:dyDescent="0.2">
      <c r="A83" s="56" t="s">
        <v>58</v>
      </c>
      <c r="B83" s="57" t="s">
        <v>356</v>
      </c>
      <c r="C83" s="59">
        <v>611</v>
      </c>
      <c r="D83" s="80"/>
      <c r="E83" s="80"/>
      <c r="F83" s="80"/>
      <c r="G83" s="80"/>
      <c r="H83" s="80"/>
    </row>
    <row r="84" spans="1:8" ht="18" customHeight="1" x14ac:dyDescent="0.2">
      <c r="A84" s="155" t="s">
        <v>26</v>
      </c>
      <c r="B84" s="156" t="s">
        <v>357</v>
      </c>
      <c r="C84" s="157">
        <v>611</v>
      </c>
      <c r="D84" s="58"/>
      <c r="E84" s="58"/>
      <c r="F84" s="58"/>
      <c r="G84" s="58"/>
      <c r="H84" s="58"/>
    </row>
    <row r="85" spans="1:8" s="72" customFormat="1" ht="18" customHeight="1" x14ac:dyDescent="0.2">
      <c r="A85" s="56" t="s">
        <v>14</v>
      </c>
      <c r="B85" s="57" t="s">
        <v>358</v>
      </c>
      <c r="C85" s="59">
        <v>621</v>
      </c>
      <c r="D85" s="80"/>
      <c r="E85" s="80"/>
      <c r="F85" s="80"/>
      <c r="G85" s="80"/>
      <c r="H85" s="80"/>
    </row>
    <row r="86" spans="1:8" ht="18" customHeight="1" x14ac:dyDescent="0.2">
      <c r="A86" s="155" t="s">
        <v>117</v>
      </c>
      <c r="B86" s="156" t="s">
        <v>212</v>
      </c>
      <c r="C86" s="157">
        <v>621</v>
      </c>
      <c r="D86" s="58"/>
      <c r="E86" s="58"/>
      <c r="F86" s="58"/>
      <c r="G86" s="58"/>
      <c r="H86" s="58"/>
    </row>
    <row r="87" spans="1:8" s="72" customFormat="1" ht="18" customHeight="1" x14ac:dyDescent="0.2">
      <c r="A87" s="56" t="s">
        <v>42</v>
      </c>
      <c r="B87" s="57" t="s">
        <v>359</v>
      </c>
      <c r="C87" s="59">
        <v>611</v>
      </c>
      <c r="D87" s="80"/>
      <c r="E87" s="80"/>
      <c r="F87" s="80"/>
      <c r="G87" s="80"/>
      <c r="H87" s="80"/>
    </row>
    <row r="88" spans="1:8" ht="18" customHeight="1" x14ac:dyDescent="0.2">
      <c r="A88" s="155" t="s">
        <v>113</v>
      </c>
      <c r="B88" s="159" t="s">
        <v>360</v>
      </c>
      <c r="C88" s="157">
        <v>621</v>
      </c>
      <c r="D88" s="58"/>
      <c r="E88" s="58"/>
      <c r="F88" s="58"/>
      <c r="G88" s="58"/>
      <c r="H88" s="58"/>
    </row>
    <row r="89" spans="1:8" s="72" customFormat="1" ht="18" customHeight="1" x14ac:dyDescent="0.2">
      <c r="A89" s="56" t="s">
        <v>105</v>
      </c>
      <c r="B89" s="60" t="s">
        <v>361</v>
      </c>
      <c r="C89" s="59">
        <v>621</v>
      </c>
      <c r="D89" s="80"/>
      <c r="E89" s="80"/>
      <c r="F89" s="80"/>
      <c r="G89" s="80"/>
      <c r="H89" s="80"/>
    </row>
    <row r="90" spans="1:8" ht="18" customHeight="1" x14ac:dyDescent="0.2">
      <c r="A90" s="155" t="s">
        <v>186</v>
      </c>
      <c r="B90" s="159" t="s">
        <v>423</v>
      </c>
      <c r="C90" s="157">
        <v>611</v>
      </c>
      <c r="D90" s="58"/>
      <c r="E90" s="58"/>
      <c r="F90" s="58"/>
      <c r="G90" s="58"/>
      <c r="H90" s="58"/>
    </row>
    <row r="91" spans="1:8" s="72" customFormat="1" ht="18" customHeight="1" x14ac:dyDescent="0.2">
      <c r="A91" s="56" t="s">
        <v>162</v>
      </c>
      <c r="B91" s="60" t="s">
        <v>424</v>
      </c>
      <c r="C91" s="59">
        <v>621</v>
      </c>
      <c r="D91" s="80"/>
      <c r="E91" s="80"/>
      <c r="F91" s="80"/>
      <c r="G91" s="80"/>
      <c r="H91" s="80"/>
    </row>
    <row r="92" spans="1:8" ht="18" customHeight="1" x14ac:dyDescent="0.2">
      <c r="A92" s="155"/>
      <c r="B92" s="159"/>
      <c r="C92" s="157"/>
      <c r="D92" s="58"/>
      <c r="E92" s="58"/>
      <c r="F92" s="58"/>
      <c r="G92" s="58"/>
      <c r="H92" s="58"/>
    </row>
    <row r="93" spans="1:8" s="72" customFormat="1" ht="18" customHeight="1" x14ac:dyDescent="0.2">
      <c r="A93" s="56" t="s">
        <v>36</v>
      </c>
      <c r="B93" s="60" t="s">
        <v>362</v>
      </c>
      <c r="C93" s="59">
        <v>621</v>
      </c>
      <c r="D93" s="80"/>
      <c r="E93" s="80"/>
      <c r="F93" s="80"/>
      <c r="G93" s="80"/>
      <c r="H93" s="80"/>
    </row>
    <row r="94" spans="1:8" ht="18" customHeight="1" x14ac:dyDescent="0.2">
      <c r="A94" s="155" t="s">
        <v>160</v>
      </c>
      <c r="B94" s="159" t="s">
        <v>363</v>
      </c>
      <c r="C94" s="157">
        <v>621</v>
      </c>
      <c r="D94" s="58"/>
      <c r="E94" s="58"/>
      <c r="F94" s="58"/>
      <c r="G94" s="58"/>
      <c r="H94" s="58"/>
    </row>
    <row r="95" spans="1:8" s="72" customFormat="1" ht="18" customHeight="1" x14ac:dyDescent="0.2">
      <c r="A95" s="56" t="s">
        <v>161</v>
      </c>
      <c r="B95" s="60" t="s">
        <v>364</v>
      </c>
      <c r="C95" s="59">
        <v>621</v>
      </c>
      <c r="D95" s="80"/>
      <c r="E95" s="80"/>
      <c r="F95" s="80"/>
      <c r="G95" s="80"/>
      <c r="H95" s="80"/>
    </row>
    <row r="96" spans="1:8" ht="18" customHeight="1" x14ac:dyDescent="0.2">
      <c r="A96" s="155" t="s">
        <v>365</v>
      </c>
      <c r="B96" s="159" t="s">
        <v>366</v>
      </c>
      <c r="C96" s="157">
        <v>621</v>
      </c>
      <c r="D96" s="58"/>
      <c r="E96" s="58"/>
      <c r="F96" s="58"/>
      <c r="G96" s="58"/>
      <c r="H96" s="58"/>
    </row>
    <row r="97" spans="1:8" s="72" customFormat="1" ht="18" customHeight="1" x14ac:dyDescent="0.2">
      <c r="A97" s="56" t="s">
        <v>213</v>
      </c>
      <c r="B97" s="60" t="s">
        <v>367</v>
      </c>
      <c r="C97" s="59">
        <v>621</v>
      </c>
      <c r="D97" s="80"/>
      <c r="E97" s="80"/>
      <c r="F97" s="80"/>
      <c r="G97" s="80"/>
      <c r="H97" s="80"/>
    </row>
    <row r="98" spans="1:8" ht="18" customHeight="1" x14ac:dyDescent="0.2">
      <c r="A98" s="155" t="s">
        <v>193</v>
      </c>
      <c r="B98" s="159" t="s">
        <v>268</v>
      </c>
      <c r="C98" s="157">
        <v>621</v>
      </c>
      <c r="D98" s="58"/>
      <c r="E98" s="58"/>
      <c r="F98" s="58"/>
      <c r="G98" s="58"/>
      <c r="H98" s="58"/>
    </row>
    <row r="99" spans="1:8" s="72" customFormat="1" ht="18" customHeight="1" x14ac:dyDescent="0.2">
      <c r="A99" s="56" t="s">
        <v>25</v>
      </c>
      <c r="B99" s="60" t="s">
        <v>368</v>
      </c>
      <c r="C99" s="59">
        <v>621</v>
      </c>
      <c r="D99" s="80"/>
      <c r="E99" s="80"/>
      <c r="F99" s="80"/>
      <c r="G99" s="80"/>
      <c r="H99" s="80"/>
    </row>
    <row r="100" spans="1:8" ht="18" customHeight="1" x14ac:dyDescent="0.2">
      <c r="A100" s="155" t="s">
        <v>52</v>
      </c>
      <c r="B100" s="159" t="s">
        <v>425</v>
      </c>
      <c r="C100" s="157">
        <v>621</v>
      </c>
      <c r="D100" s="58"/>
      <c r="E100" s="58"/>
      <c r="F100" s="58"/>
      <c r="G100" s="58"/>
      <c r="H100" s="58"/>
    </row>
    <row r="101" spans="1:8" s="72" customFormat="1" ht="18" customHeight="1" x14ac:dyDescent="0.2">
      <c r="A101" s="56" t="s">
        <v>53</v>
      </c>
      <c r="B101" s="60" t="s">
        <v>369</v>
      </c>
      <c r="C101" s="59">
        <v>621</v>
      </c>
      <c r="D101" s="80"/>
      <c r="E101" s="80"/>
      <c r="F101" s="80"/>
      <c r="G101" s="80"/>
      <c r="H101" s="80"/>
    </row>
    <row r="102" spans="1:8" ht="18" customHeight="1" x14ac:dyDescent="0.2">
      <c r="A102" s="155" t="s">
        <v>91</v>
      </c>
      <c r="B102" s="159" t="s">
        <v>370</v>
      </c>
      <c r="C102" s="157">
        <v>621</v>
      </c>
      <c r="D102" s="58"/>
      <c r="E102" s="58"/>
      <c r="F102" s="58"/>
      <c r="G102" s="58"/>
      <c r="H102" s="58"/>
    </row>
    <row r="103" spans="1:8" s="72" customFormat="1" ht="18" customHeight="1" x14ac:dyDescent="0.2">
      <c r="A103" s="56" t="s">
        <v>190</v>
      </c>
      <c r="B103" s="60" t="s">
        <v>214</v>
      </c>
      <c r="C103" s="59">
        <v>621</v>
      </c>
      <c r="D103" s="80"/>
      <c r="E103" s="80"/>
      <c r="F103" s="80"/>
      <c r="G103" s="80"/>
      <c r="H103" s="80"/>
    </row>
    <row r="104" spans="1:8" ht="18" customHeight="1" x14ac:dyDescent="0.2">
      <c r="A104" s="155" t="s">
        <v>191</v>
      </c>
      <c r="B104" s="159" t="s">
        <v>426</v>
      </c>
      <c r="C104" s="157">
        <v>621</v>
      </c>
      <c r="D104" s="58"/>
      <c r="E104" s="58"/>
      <c r="F104" s="58"/>
      <c r="G104" s="58"/>
      <c r="H104" s="58"/>
    </row>
    <row r="105" spans="1:8" s="72" customFormat="1" ht="18" customHeight="1" x14ac:dyDescent="0.2">
      <c r="A105" s="56" t="s">
        <v>215</v>
      </c>
      <c r="B105" s="60" t="s">
        <v>371</v>
      </c>
      <c r="C105" s="59">
        <v>611</v>
      </c>
      <c r="D105" s="80"/>
      <c r="E105" s="80"/>
      <c r="F105" s="80"/>
      <c r="G105" s="80"/>
      <c r="H105" s="80"/>
    </row>
    <row r="106" spans="1:8" ht="18" customHeight="1" x14ac:dyDescent="0.2">
      <c r="A106" s="155" t="s">
        <v>84</v>
      </c>
      <c r="B106" s="159" t="s">
        <v>50</v>
      </c>
      <c r="C106" s="157">
        <v>621</v>
      </c>
      <c r="D106" s="58"/>
      <c r="E106" s="58"/>
      <c r="F106" s="58"/>
      <c r="G106" s="58"/>
      <c r="H106" s="58"/>
    </row>
    <row r="107" spans="1:8" s="72" customFormat="1" ht="18" customHeight="1" x14ac:dyDescent="0.2">
      <c r="A107" s="56" t="s">
        <v>216</v>
      </c>
      <c r="B107" s="60" t="s">
        <v>372</v>
      </c>
      <c r="C107" s="59">
        <v>621</v>
      </c>
      <c r="D107" s="80"/>
      <c r="E107" s="80"/>
      <c r="F107" s="80"/>
      <c r="G107" s="80"/>
      <c r="H107" s="80"/>
    </row>
    <row r="108" spans="1:8" s="72" customFormat="1" ht="18" customHeight="1" x14ac:dyDescent="0.2">
      <c r="A108" s="155" t="s">
        <v>373</v>
      </c>
      <c r="B108" s="159" t="s">
        <v>427</v>
      </c>
      <c r="C108" s="157">
        <v>621</v>
      </c>
      <c r="D108" s="80"/>
      <c r="E108" s="80"/>
      <c r="F108" s="80"/>
      <c r="G108" s="80"/>
      <c r="H108" s="80"/>
    </row>
    <row r="109" spans="1:8" s="72" customFormat="1" ht="18" customHeight="1" x14ac:dyDescent="0.2">
      <c r="A109" s="56" t="s">
        <v>261</v>
      </c>
      <c r="B109" s="60" t="s">
        <v>262</v>
      </c>
      <c r="C109" s="59">
        <v>621</v>
      </c>
      <c r="D109" s="80"/>
      <c r="E109" s="80"/>
      <c r="F109" s="80"/>
      <c r="G109" s="80"/>
      <c r="H109" s="80"/>
    </row>
    <row r="110" spans="1:8" s="72" customFormat="1" ht="18" customHeight="1" x14ac:dyDescent="0.2">
      <c r="A110" s="155" t="s">
        <v>374</v>
      </c>
      <c r="B110" s="159" t="s">
        <v>375</v>
      </c>
      <c r="C110" s="157">
        <v>621</v>
      </c>
      <c r="D110" s="80"/>
      <c r="E110" s="80"/>
      <c r="F110" s="80"/>
      <c r="G110" s="80"/>
      <c r="H110" s="80"/>
    </row>
    <row r="111" spans="1:8" s="72" customFormat="1" ht="18" customHeight="1" x14ac:dyDescent="0.2">
      <c r="A111" s="56" t="s">
        <v>376</v>
      </c>
      <c r="B111" s="60" t="s">
        <v>377</v>
      </c>
      <c r="C111" s="59">
        <v>611</v>
      </c>
      <c r="D111" s="80"/>
      <c r="E111" s="80"/>
      <c r="F111" s="80"/>
      <c r="G111" s="80"/>
      <c r="H111" s="80"/>
    </row>
    <row r="112" spans="1:8" s="72" customFormat="1" ht="18" customHeight="1" x14ac:dyDescent="0.2">
      <c r="A112" s="155" t="s">
        <v>217</v>
      </c>
      <c r="B112" s="159" t="s">
        <v>378</v>
      </c>
      <c r="C112" s="157">
        <v>621</v>
      </c>
      <c r="D112" s="80"/>
      <c r="E112" s="80"/>
      <c r="F112" s="80"/>
      <c r="G112" s="80"/>
      <c r="H112" s="80"/>
    </row>
    <row r="113" spans="1:8" s="72" customFormat="1" ht="18" customHeight="1" x14ac:dyDescent="0.2">
      <c r="A113" s="56" t="s">
        <v>218</v>
      </c>
      <c r="B113" s="60" t="s">
        <v>219</v>
      </c>
      <c r="C113" s="59">
        <v>621</v>
      </c>
      <c r="D113" s="80"/>
      <c r="E113" s="80"/>
      <c r="F113" s="80"/>
      <c r="G113" s="80"/>
      <c r="H113" s="80"/>
    </row>
    <row r="114" spans="1:8" ht="18" customHeight="1" x14ac:dyDescent="0.2">
      <c r="A114" s="155" t="s">
        <v>379</v>
      </c>
      <c r="B114" s="159" t="s">
        <v>380</v>
      </c>
      <c r="C114" s="157">
        <v>621</v>
      </c>
      <c r="D114" s="58"/>
      <c r="E114" s="58"/>
      <c r="F114" s="58"/>
      <c r="G114" s="58"/>
      <c r="H114" s="58"/>
    </row>
    <row r="115" spans="1:8" s="72" customFormat="1" ht="18" customHeight="1" x14ac:dyDescent="0.2">
      <c r="A115" s="56" t="s">
        <v>220</v>
      </c>
      <c r="B115" s="60" t="s">
        <v>381</v>
      </c>
      <c r="C115" s="59">
        <v>621</v>
      </c>
      <c r="D115" s="80"/>
      <c r="E115" s="80"/>
      <c r="F115" s="80"/>
      <c r="G115" s="80"/>
      <c r="H115" s="80"/>
    </row>
    <row r="116" spans="1:8" ht="18" customHeight="1" x14ac:dyDescent="0.2">
      <c r="A116" s="155" t="s">
        <v>221</v>
      </c>
      <c r="B116" s="159" t="s">
        <v>382</v>
      </c>
      <c r="C116" s="157">
        <v>621</v>
      </c>
      <c r="D116" s="58"/>
      <c r="E116" s="58"/>
      <c r="F116" s="58"/>
      <c r="G116" s="58"/>
      <c r="H116" s="58"/>
    </row>
    <row r="117" spans="1:8" s="72" customFormat="1" ht="18" customHeight="1" x14ac:dyDescent="0.2">
      <c r="A117" s="56" t="s">
        <v>383</v>
      </c>
      <c r="B117" s="60" t="s">
        <v>428</v>
      </c>
      <c r="C117" s="59">
        <v>621</v>
      </c>
      <c r="D117" s="80"/>
      <c r="E117" s="80"/>
      <c r="F117" s="80"/>
      <c r="G117" s="80"/>
      <c r="H117" s="80"/>
    </row>
    <row r="118" spans="1:8" ht="18" customHeight="1" x14ac:dyDescent="0.2">
      <c r="A118" s="155" t="s">
        <v>384</v>
      </c>
      <c r="B118" s="159" t="s">
        <v>385</v>
      </c>
      <c r="C118" s="157">
        <v>621</v>
      </c>
      <c r="D118" s="58"/>
      <c r="E118" s="58"/>
      <c r="F118" s="58"/>
      <c r="G118" s="58"/>
      <c r="H118" s="58"/>
    </row>
    <row r="119" spans="1:8" s="72" customFormat="1" ht="18" customHeight="1" x14ac:dyDescent="0.2">
      <c r="A119" s="56" t="s">
        <v>386</v>
      </c>
      <c r="B119" s="60" t="s">
        <v>387</v>
      </c>
      <c r="C119" s="59">
        <v>621</v>
      </c>
      <c r="D119" s="80"/>
      <c r="E119" s="80"/>
      <c r="F119" s="80"/>
      <c r="G119" s="80"/>
      <c r="H119" s="80"/>
    </row>
    <row r="120" spans="1:8" s="72" customFormat="1" ht="18" customHeight="1" x14ac:dyDescent="0.2">
      <c r="A120" s="155" t="s">
        <v>388</v>
      </c>
      <c r="B120" s="159" t="s">
        <v>389</v>
      </c>
      <c r="C120" s="157">
        <v>621</v>
      </c>
      <c r="D120" s="80"/>
      <c r="E120" s="80"/>
      <c r="F120" s="80"/>
      <c r="G120" s="80"/>
      <c r="H120" s="80"/>
    </row>
    <row r="121" spans="1:8" s="72" customFormat="1" ht="18" customHeight="1" x14ac:dyDescent="0.2">
      <c r="A121" s="155" t="s">
        <v>429</v>
      </c>
      <c r="B121" s="159" t="s">
        <v>430</v>
      </c>
      <c r="C121" s="157">
        <v>621</v>
      </c>
      <c r="D121" s="80"/>
      <c r="E121" s="80"/>
      <c r="F121" s="80"/>
      <c r="G121" s="80"/>
      <c r="H121" s="80"/>
    </row>
    <row r="122" spans="1:8" s="72" customFormat="1" ht="18" customHeight="1" x14ac:dyDescent="0.2">
      <c r="A122" s="56" t="s">
        <v>182</v>
      </c>
      <c r="B122" s="57" t="s">
        <v>390</v>
      </c>
      <c r="C122" s="59">
        <v>611</v>
      </c>
      <c r="D122" s="80"/>
      <c r="E122" s="80"/>
      <c r="F122" s="80"/>
      <c r="G122" s="80"/>
      <c r="H122" s="80"/>
    </row>
    <row r="123" spans="1:8" s="72" customFormat="1" ht="18" customHeight="1" x14ac:dyDescent="0.2">
      <c r="A123" s="155" t="s">
        <v>173</v>
      </c>
      <c r="B123" s="156" t="s">
        <v>391</v>
      </c>
      <c r="C123" s="157">
        <v>611</v>
      </c>
      <c r="D123" s="80"/>
      <c r="E123" s="80"/>
      <c r="F123" s="80"/>
      <c r="G123" s="80"/>
      <c r="H123" s="80"/>
    </row>
    <row r="124" spans="1:8" s="72" customFormat="1" ht="18" customHeight="1" x14ac:dyDescent="0.2">
      <c r="A124" s="56" t="s">
        <v>156</v>
      </c>
      <c r="B124" s="57" t="s">
        <v>392</v>
      </c>
      <c r="C124" s="59">
        <v>611</v>
      </c>
      <c r="D124" s="80"/>
      <c r="E124" s="80"/>
      <c r="F124" s="80"/>
      <c r="G124" s="80"/>
      <c r="H124" s="80"/>
    </row>
    <row r="125" spans="1:8" s="72" customFormat="1" ht="18" customHeight="1" x14ac:dyDescent="0.2">
      <c r="A125" s="155" t="s">
        <v>157</v>
      </c>
      <c r="B125" s="156" t="s">
        <v>393</v>
      </c>
      <c r="C125" s="157">
        <v>611</v>
      </c>
      <c r="D125" s="80"/>
      <c r="E125" s="80"/>
      <c r="F125" s="80"/>
      <c r="G125" s="80"/>
      <c r="H125" s="80"/>
    </row>
    <row r="126" spans="1:8" s="72" customFormat="1" ht="18" customHeight="1" x14ac:dyDescent="0.2">
      <c r="A126" s="56" t="s">
        <v>155</v>
      </c>
      <c r="B126" s="57" t="s">
        <v>394</v>
      </c>
      <c r="C126" s="59">
        <v>611</v>
      </c>
      <c r="D126" s="80"/>
      <c r="E126" s="80"/>
      <c r="F126" s="80"/>
      <c r="G126" s="80"/>
      <c r="H126" s="80"/>
    </row>
    <row r="127" spans="1:8" s="72" customFormat="1" ht="18" customHeight="1" x14ac:dyDescent="0.2">
      <c r="A127" s="155" t="s">
        <v>23</v>
      </c>
      <c r="B127" s="156" t="s">
        <v>395</v>
      </c>
      <c r="C127" s="157">
        <v>611</v>
      </c>
      <c r="D127" s="80"/>
      <c r="E127" s="80"/>
      <c r="F127" s="80"/>
      <c r="G127" s="80"/>
      <c r="H127" s="80"/>
    </row>
    <row r="128" spans="1:8" s="72" customFormat="1" ht="18" customHeight="1" x14ac:dyDescent="0.2">
      <c r="A128" s="56" t="s">
        <v>60</v>
      </c>
      <c r="B128" s="57" t="s">
        <v>396</v>
      </c>
      <c r="C128" s="59">
        <v>621</v>
      </c>
      <c r="D128" s="80"/>
      <c r="E128" s="80"/>
      <c r="F128" s="80"/>
      <c r="G128" s="80"/>
      <c r="H128" s="80"/>
    </row>
    <row r="129" spans="1:8" s="72" customFormat="1" ht="18" customHeight="1" x14ac:dyDescent="0.2">
      <c r="A129" s="155" t="s">
        <v>20</v>
      </c>
      <c r="B129" s="156" t="s">
        <v>397</v>
      </c>
      <c r="C129" s="157">
        <v>611</v>
      </c>
      <c r="D129" s="80"/>
      <c r="E129" s="80"/>
      <c r="F129" s="80"/>
      <c r="G129" s="80"/>
      <c r="H129" s="80"/>
    </row>
    <row r="130" spans="1:8" s="72" customFormat="1" ht="18" customHeight="1" x14ac:dyDescent="0.2">
      <c r="A130" s="56" t="s">
        <v>28</v>
      </c>
      <c r="B130" s="57" t="s">
        <v>398</v>
      </c>
      <c r="C130" s="59">
        <v>611</v>
      </c>
      <c r="D130" s="80"/>
      <c r="E130" s="80"/>
      <c r="F130" s="80"/>
      <c r="G130" s="80"/>
      <c r="H130" s="80"/>
    </row>
    <row r="131" spans="1:8" s="72" customFormat="1" ht="18" customHeight="1" x14ac:dyDescent="0.2">
      <c r="A131" s="155" t="s">
        <v>176</v>
      </c>
      <c r="B131" s="156" t="s">
        <v>399</v>
      </c>
      <c r="C131" s="157">
        <v>611</v>
      </c>
      <c r="D131" s="80"/>
      <c r="E131" s="80"/>
      <c r="F131" s="80"/>
      <c r="G131" s="80"/>
      <c r="H131" s="80"/>
    </row>
    <row r="132" spans="1:8" s="72" customFormat="1" ht="18" customHeight="1" x14ac:dyDescent="0.2">
      <c r="A132" s="56" t="s">
        <v>127</v>
      </c>
      <c r="B132" s="57" t="s">
        <v>400</v>
      </c>
      <c r="C132" s="59">
        <v>621</v>
      </c>
      <c r="D132" s="80"/>
      <c r="E132" s="80"/>
      <c r="F132" s="80"/>
      <c r="G132" s="80"/>
      <c r="H132" s="80"/>
    </row>
    <row r="133" spans="1:8" s="72" customFormat="1" ht="18" customHeight="1" x14ac:dyDescent="0.2">
      <c r="A133" s="155" t="s">
        <v>35</v>
      </c>
      <c r="B133" s="156" t="s">
        <v>401</v>
      </c>
      <c r="C133" s="157">
        <v>611</v>
      </c>
      <c r="D133" s="80"/>
      <c r="E133" s="80"/>
      <c r="F133" s="80"/>
      <c r="G133" s="80"/>
      <c r="H133" s="80"/>
    </row>
    <row r="134" spans="1:8" s="72" customFormat="1" ht="18" customHeight="1" x14ac:dyDescent="0.2">
      <c r="A134" s="56" t="s">
        <v>56</v>
      </c>
      <c r="B134" s="57" t="s">
        <v>402</v>
      </c>
      <c r="C134" s="59">
        <v>611</v>
      </c>
      <c r="D134" s="80"/>
      <c r="E134" s="80"/>
      <c r="F134" s="80"/>
      <c r="G134" s="80"/>
      <c r="H134" s="80"/>
    </row>
    <row r="135" spans="1:8" s="72" customFormat="1" ht="18" customHeight="1" x14ac:dyDescent="0.2">
      <c r="A135" s="155" t="s">
        <v>15</v>
      </c>
      <c r="B135" s="156" t="s">
        <v>96</v>
      </c>
      <c r="C135" s="157">
        <v>621</v>
      </c>
    </row>
    <row r="136" spans="1:8" s="72" customFormat="1" ht="18" customHeight="1" x14ac:dyDescent="0.2">
      <c r="A136" s="56" t="s">
        <v>86</v>
      </c>
      <c r="B136" s="60" t="s">
        <v>403</v>
      </c>
      <c r="C136" s="59">
        <v>621</v>
      </c>
    </row>
    <row r="137" spans="1:8" s="72" customFormat="1" ht="18" customHeight="1" x14ac:dyDescent="0.2">
      <c r="A137" s="155" t="s">
        <v>404</v>
      </c>
      <c r="B137" s="159" t="s">
        <v>405</v>
      </c>
      <c r="C137" s="157">
        <v>611</v>
      </c>
    </row>
    <row r="138" spans="1:8" s="72" customFormat="1" ht="18" customHeight="1" x14ac:dyDescent="0.2">
      <c r="A138" s="56" t="s">
        <v>406</v>
      </c>
      <c r="B138" s="60" t="s">
        <v>407</v>
      </c>
      <c r="C138" s="59">
        <v>621</v>
      </c>
    </row>
    <row r="139" spans="1:8" ht="18" customHeight="1" x14ac:dyDescent="0.2"/>
    <row r="140" spans="1:8" ht="18" customHeight="1" x14ac:dyDescent="0.2"/>
    <row r="141" spans="1:8" ht="18" customHeight="1" x14ac:dyDescent="0.2"/>
    <row r="142" spans="1:8" ht="18" customHeight="1" x14ac:dyDescent="0.2"/>
    <row r="143" spans="1:8" ht="18" customHeight="1" x14ac:dyDescent="0.2"/>
    <row r="144" spans="1:8" ht="18" customHeight="1" x14ac:dyDescent="0.2"/>
    <row r="145" spans="1:3" ht="18" customHeight="1" x14ac:dyDescent="0.2">
      <c r="A145"/>
      <c r="B145"/>
      <c r="C145"/>
    </row>
    <row r="146" spans="1:3" ht="18" customHeight="1" x14ac:dyDescent="0.2">
      <c r="A146"/>
      <c r="B146"/>
      <c r="C146"/>
    </row>
    <row r="147" spans="1:3" ht="18" customHeight="1" x14ac:dyDescent="0.2">
      <c r="A147"/>
      <c r="B147"/>
      <c r="C147"/>
    </row>
    <row r="148" spans="1:3" ht="18" customHeight="1" x14ac:dyDescent="0.2">
      <c r="A148"/>
      <c r="B148"/>
      <c r="C148"/>
    </row>
    <row r="149" spans="1:3" ht="18" customHeight="1" x14ac:dyDescent="0.2">
      <c r="A149"/>
      <c r="B149"/>
      <c r="C149"/>
    </row>
    <row r="150" spans="1:3" ht="18" customHeight="1" x14ac:dyDescent="0.2">
      <c r="A150"/>
      <c r="B150"/>
      <c r="C150"/>
    </row>
    <row r="151" spans="1:3" ht="18" customHeight="1" x14ac:dyDescent="0.2">
      <c r="A151"/>
      <c r="B151"/>
      <c r="C151"/>
    </row>
    <row r="152" spans="1:3" ht="18" customHeight="1" x14ac:dyDescent="0.2">
      <c r="A152"/>
      <c r="B152"/>
      <c r="C152"/>
    </row>
    <row r="153" spans="1:3" ht="18" customHeight="1" x14ac:dyDescent="0.2">
      <c r="A153"/>
      <c r="B153"/>
      <c r="C153"/>
    </row>
    <row r="154" spans="1:3" ht="18" customHeight="1" x14ac:dyDescent="0.2">
      <c r="A154"/>
      <c r="B154"/>
      <c r="C154"/>
    </row>
    <row r="155" spans="1:3" ht="18" customHeight="1" x14ac:dyDescent="0.2">
      <c r="A155"/>
      <c r="B155"/>
      <c r="C155"/>
    </row>
    <row r="156" spans="1:3" ht="18" customHeight="1" x14ac:dyDescent="0.2">
      <c r="A156"/>
      <c r="B156"/>
      <c r="C156"/>
    </row>
    <row r="157" spans="1:3" ht="18" customHeight="1" x14ac:dyDescent="0.2">
      <c r="A157"/>
      <c r="B157"/>
      <c r="C157"/>
    </row>
    <row r="158" spans="1:3" ht="18" customHeight="1" x14ac:dyDescent="0.2">
      <c r="A158"/>
      <c r="B158"/>
      <c r="C158"/>
    </row>
    <row r="159" spans="1:3" ht="18" customHeight="1" x14ac:dyDescent="0.2">
      <c r="A159"/>
      <c r="B159"/>
      <c r="C159"/>
    </row>
    <row r="160" spans="1:3" ht="18" customHeight="1" x14ac:dyDescent="0.2">
      <c r="A160"/>
      <c r="B160"/>
      <c r="C160"/>
    </row>
    <row r="161" spans="1:3" ht="18" customHeight="1" x14ac:dyDescent="0.2">
      <c r="A161"/>
      <c r="B161"/>
      <c r="C161"/>
    </row>
    <row r="162" spans="1:3" ht="18" customHeight="1" x14ac:dyDescent="0.2">
      <c r="A162"/>
      <c r="B162"/>
      <c r="C162"/>
    </row>
    <row r="163" spans="1:3" ht="18" customHeight="1" x14ac:dyDescent="0.2">
      <c r="A163"/>
      <c r="B163"/>
      <c r="C163"/>
    </row>
    <row r="164" spans="1:3" ht="18" customHeight="1" x14ac:dyDescent="0.2">
      <c r="A164"/>
      <c r="B164"/>
      <c r="C164"/>
    </row>
    <row r="165" spans="1:3" ht="18" customHeight="1" x14ac:dyDescent="0.2">
      <c r="A165"/>
      <c r="B165"/>
      <c r="C165"/>
    </row>
    <row r="166" spans="1:3" ht="18" customHeight="1" x14ac:dyDescent="0.2">
      <c r="A166"/>
      <c r="B166"/>
      <c r="C166"/>
    </row>
    <row r="167" spans="1:3" ht="18" customHeight="1" x14ac:dyDescent="0.2">
      <c r="A167"/>
      <c r="B167"/>
      <c r="C167"/>
    </row>
    <row r="168" spans="1:3" ht="18" customHeight="1" x14ac:dyDescent="0.2">
      <c r="A168"/>
      <c r="B168"/>
      <c r="C168"/>
    </row>
    <row r="169" spans="1:3" ht="18" customHeight="1" x14ac:dyDescent="0.2">
      <c r="A169"/>
      <c r="B169"/>
      <c r="C169"/>
    </row>
    <row r="170" spans="1:3" ht="18" customHeight="1" x14ac:dyDescent="0.2">
      <c r="A170"/>
      <c r="B170"/>
      <c r="C170"/>
    </row>
    <row r="171" spans="1:3" ht="18" customHeight="1" x14ac:dyDescent="0.2">
      <c r="A171"/>
      <c r="B171"/>
      <c r="C171"/>
    </row>
    <row r="172" spans="1:3" ht="18" customHeight="1" x14ac:dyDescent="0.2">
      <c r="A172"/>
      <c r="B172"/>
      <c r="C172"/>
    </row>
    <row r="173" spans="1:3" ht="18" customHeight="1" x14ac:dyDescent="0.2">
      <c r="A173"/>
      <c r="B173"/>
      <c r="C173"/>
    </row>
    <row r="174" spans="1:3" ht="18" customHeight="1" x14ac:dyDescent="0.2">
      <c r="A174"/>
      <c r="B174"/>
      <c r="C174"/>
    </row>
    <row r="175" spans="1:3" ht="18" customHeight="1" x14ac:dyDescent="0.2">
      <c r="A175"/>
      <c r="B175"/>
      <c r="C175"/>
    </row>
    <row r="176" spans="1:3" ht="18" customHeight="1" x14ac:dyDescent="0.2">
      <c r="A176"/>
      <c r="B176"/>
      <c r="C176"/>
    </row>
    <row r="177" spans="1:3" ht="18" customHeight="1" x14ac:dyDescent="0.2">
      <c r="A177"/>
      <c r="B177"/>
      <c r="C177"/>
    </row>
    <row r="178" spans="1:3" ht="18" customHeight="1" x14ac:dyDescent="0.2">
      <c r="A178"/>
      <c r="B178"/>
      <c r="C178"/>
    </row>
    <row r="179" spans="1:3" ht="18" customHeight="1" x14ac:dyDescent="0.2">
      <c r="A179"/>
      <c r="B179"/>
      <c r="C179"/>
    </row>
    <row r="180" spans="1:3" ht="18" customHeight="1" x14ac:dyDescent="0.2">
      <c r="A180"/>
      <c r="B180"/>
      <c r="C180"/>
    </row>
    <row r="181" spans="1:3" ht="18" customHeight="1" x14ac:dyDescent="0.2">
      <c r="A181"/>
      <c r="B181"/>
      <c r="C181"/>
    </row>
    <row r="182" spans="1:3" ht="18" customHeight="1" x14ac:dyDescent="0.2">
      <c r="A182"/>
      <c r="B182"/>
      <c r="C182"/>
    </row>
    <row r="183" spans="1:3" ht="18" customHeight="1" x14ac:dyDescent="0.2">
      <c r="A183"/>
      <c r="B183"/>
      <c r="C183"/>
    </row>
    <row r="184" spans="1:3" ht="18" customHeight="1" x14ac:dyDescent="0.2">
      <c r="A184"/>
      <c r="B184"/>
      <c r="C184"/>
    </row>
    <row r="185" spans="1:3" ht="18" customHeight="1" x14ac:dyDescent="0.2">
      <c r="A185"/>
      <c r="B185"/>
      <c r="C185"/>
    </row>
    <row r="186" spans="1:3" ht="18" customHeight="1" x14ac:dyDescent="0.2">
      <c r="A186"/>
      <c r="B186"/>
      <c r="C186"/>
    </row>
    <row r="187" spans="1:3" ht="18" customHeight="1" x14ac:dyDescent="0.2">
      <c r="A187"/>
      <c r="B187"/>
      <c r="C187"/>
    </row>
    <row r="188" spans="1:3" ht="18" customHeight="1" x14ac:dyDescent="0.2">
      <c r="A188"/>
      <c r="B188"/>
      <c r="C188"/>
    </row>
    <row r="189" spans="1:3" ht="18" customHeight="1" x14ac:dyDescent="0.2">
      <c r="A189"/>
      <c r="B189"/>
      <c r="C189"/>
    </row>
    <row r="190" spans="1:3" ht="18" customHeight="1" x14ac:dyDescent="0.2">
      <c r="A190"/>
      <c r="B190"/>
      <c r="C190"/>
    </row>
    <row r="191" spans="1:3" ht="18" customHeight="1" x14ac:dyDescent="0.2">
      <c r="A191"/>
      <c r="B191"/>
      <c r="C191"/>
    </row>
    <row r="192" spans="1:3" ht="18" customHeight="1" x14ac:dyDescent="0.2">
      <c r="A192"/>
      <c r="B192"/>
      <c r="C192"/>
    </row>
    <row r="193" spans="1:3" ht="18" customHeight="1" x14ac:dyDescent="0.2">
      <c r="A193"/>
      <c r="B193"/>
      <c r="C193"/>
    </row>
    <row r="194" spans="1:3" ht="18" customHeight="1" x14ac:dyDescent="0.2">
      <c r="A194"/>
      <c r="B194"/>
      <c r="C194"/>
    </row>
    <row r="195" spans="1:3" ht="18" customHeight="1" x14ac:dyDescent="0.2">
      <c r="A195"/>
      <c r="B195"/>
      <c r="C195"/>
    </row>
    <row r="196" spans="1:3" ht="18" customHeight="1" x14ac:dyDescent="0.2">
      <c r="A196"/>
      <c r="B196"/>
      <c r="C196"/>
    </row>
    <row r="197" spans="1:3" ht="18" customHeight="1" x14ac:dyDescent="0.2">
      <c r="A197"/>
      <c r="B197"/>
      <c r="C197"/>
    </row>
    <row r="198" spans="1:3" ht="18" customHeight="1" x14ac:dyDescent="0.2">
      <c r="A198"/>
      <c r="B198"/>
      <c r="C198"/>
    </row>
    <row r="199" spans="1:3" ht="18" customHeight="1" x14ac:dyDescent="0.2">
      <c r="A199"/>
      <c r="B199"/>
      <c r="C199"/>
    </row>
    <row r="200" spans="1:3" ht="18" customHeight="1" x14ac:dyDescent="0.2">
      <c r="A200"/>
      <c r="B200"/>
      <c r="C200"/>
    </row>
    <row r="201" spans="1:3" ht="18" customHeight="1" x14ac:dyDescent="0.2">
      <c r="A201"/>
      <c r="B201"/>
      <c r="C201"/>
    </row>
    <row r="202" spans="1:3" ht="18" customHeight="1" x14ac:dyDescent="0.2">
      <c r="A202"/>
      <c r="B202"/>
      <c r="C202"/>
    </row>
    <row r="203" spans="1:3" ht="18" customHeight="1" x14ac:dyDescent="0.2">
      <c r="A203"/>
      <c r="B203"/>
      <c r="C203"/>
    </row>
    <row r="204" spans="1:3" ht="18" customHeight="1" x14ac:dyDescent="0.2">
      <c r="A204"/>
      <c r="B204"/>
      <c r="C204"/>
    </row>
    <row r="205" spans="1:3" ht="18" customHeight="1" x14ac:dyDescent="0.2">
      <c r="A205"/>
      <c r="B205"/>
      <c r="C205"/>
    </row>
    <row r="206" spans="1:3" ht="18" customHeight="1" x14ac:dyDescent="0.2">
      <c r="A206"/>
      <c r="B206"/>
      <c r="C206"/>
    </row>
    <row r="207" spans="1:3" ht="18" customHeight="1" x14ac:dyDescent="0.2">
      <c r="A207"/>
      <c r="B207"/>
      <c r="C207"/>
    </row>
    <row r="208" spans="1:3" ht="18" customHeight="1" x14ac:dyDescent="0.2">
      <c r="A208"/>
      <c r="B208"/>
      <c r="C208"/>
    </row>
    <row r="209" spans="1:3" ht="18" customHeight="1" x14ac:dyDescent="0.2">
      <c r="A209"/>
      <c r="B209"/>
      <c r="C209"/>
    </row>
    <row r="210" spans="1:3" ht="18" customHeight="1" x14ac:dyDescent="0.2">
      <c r="A210"/>
      <c r="B210"/>
      <c r="C210"/>
    </row>
    <row r="211" spans="1:3" ht="18" customHeight="1" x14ac:dyDescent="0.2">
      <c r="A211"/>
      <c r="B211"/>
      <c r="C211"/>
    </row>
    <row r="212" spans="1:3" ht="18" customHeight="1" x14ac:dyDescent="0.2">
      <c r="A212"/>
      <c r="B212"/>
      <c r="C212"/>
    </row>
    <row r="213" spans="1:3" ht="18" customHeight="1" x14ac:dyDescent="0.2">
      <c r="A213"/>
      <c r="B213"/>
      <c r="C213"/>
    </row>
    <row r="214" spans="1:3" ht="18" customHeight="1" x14ac:dyDescent="0.2">
      <c r="A214"/>
      <c r="B214"/>
      <c r="C214"/>
    </row>
    <row r="215" spans="1:3" ht="18" customHeight="1" x14ac:dyDescent="0.2">
      <c r="A215"/>
      <c r="B215"/>
      <c r="C215"/>
    </row>
    <row r="216" spans="1:3" ht="18" customHeight="1" x14ac:dyDescent="0.2">
      <c r="A216"/>
      <c r="B216"/>
      <c r="C216"/>
    </row>
    <row r="217" spans="1:3" ht="18" customHeight="1" x14ac:dyDescent="0.2">
      <c r="A217"/>
      <c r="B217"/>
      <c r="C217"/>
    </row>
    <row r="218" spans="1:3" ht="18" customHeight="1" x14ac:dyDescent="0.2">
      <c r="A218"/>
      <c r="B218"/>
      <c r="C218"/>
    </row>
    <row r="219" spans="1:3" ht="18" customHeight="1" x14ac:dyDescent="0.2">
      <c r="A219"/>
      <c r="B219"/>
      <c r="C219"/>
    </row>
    <row r="220" spans="1:3" ht="18" customHeight="1" x14ac:dyDescent="0.2">
      <c r="A220"/>
      <c r="B220"/>
      <c r="C220"/>
    </row>
    <row r="221" spans="1:3" ht="18" customHeight="1" x14ac:dyDescent="0.2">
      <c r="A221"/>
      <c r="B221"/>
      <c r="C221"/>
    </row>
    <row r="222" spans="1:3" ht="18" customHeight="1" x14ac:dyDescent="0.2">
      <c r="A222"/>
      <c r="B222"/>
      <c r="C222"/>
    </row>
    <row r="223" spans="1:3" ht="18" customHeight="1" x14ac:dyDescent="0.2">
      <c r="A223"/>
      <c r="B223"/>
      <c r="C223"/>
    </row>
    <row r="224" spans="1:3" ht="18" customHeight="1" x14ac:dyDescent="0.2">
      <c r="A224"/>
      <c r="B224"/>
      <c r="C224"/>
    </row>
    <row r="225" spans="1:3" ht="18" customHeight="1" x14ac:dyDescent="0.2">
      <c r="A225"/>
      <c r="B225"/>
      <c r="C225"/>
    </row>
    <row r="226" spans="1:3" ht="18" customHeight="1" x14ac:dyDescent="0.2">
      <c r="A226"/>
      <c r="B226"/>
      <c r="C226"/>
    </row>
    <row r="227" spans="1:3" ht="18" customHeight="1" x14ac:dyDescent="0.2">
      <c r="A227"/>
      <c r="B227"/>
      <c r="C227"/>
    </row>
    <row r="228" spans="1:3" ht="18" customHeight="1" x14ac:dyDescent="0.2">
      <c r="A228"/>
      <c r="B228"/>
      <c r="C228"/>
    </row>
    <row r="229" spans="1:3" ht="18" customHeight="1" x14ac:dyDescent="0.2">
      <c r="A229"/>
      <c r="B229"/>
      <c r="C229"/>
    </row>
    <row r="230" spans="1:3" ht="18" customHeight="1" x14ac:dyDescent="0.2">
      <c r="A230"/>
      <c r="B230"/>
      <c r="C230"/>
    </row>
    <row r="231" spans="1:3" ht="18" customHeight="1" x14ac:dyDescent="0.2">
      <c r="A231"/>
      <c r="B231"/>
      <c r="C231"/>
    </row>
    <row r="232" spans="1:3" ht="18" customHeight="1" x14ac:dyDescent="0.2">
      <c r="A232"/>
      <c r="B232"/>
      <c r="C232"/>
    </row>
    <row r="233" spans="1:3" ht="18" customHeight="1" x14ac:dyDescent="0.2">
      <c r="A233"/>
      <c r="B233"/>
      <c r="C233"/>
    </row>
    <row r="234" spans="1:3" ht="18" customHeight="1" x14ac:dyDescent="0.2">
      <c r="A234"/>
      <c r="B234"/>
      <c r="C234"/>
    </row>
    <row r="235" spans="1:3" ht="18" customHeight="1" x14ac:dyDescent="0.2">
      <c r="A235"/>
      <c r="B235"/>
      <c r="C235"/>
    </row>
    <row r="236" spans="1:3" ht="18" customHeight="1" x14ac:dyDescent="0.2">
      <c r="A236"/>
      <c r="B236"/>
      <c r="C236"/>
    </row>
    <row r="237" spans="1:3" ht="18" customHeight="1" x14ac:dyDescent="0.2">
      <c r="A237"/>
      <c r="B237"/>
      <c r="C237"/>
    </row>
    <row r="238" spans="1:3" ht="18" customHeight="1" x14ac:dyDescent="0.2">
      <c r="A238"/>
      <c r="B238"/>
      <c r="C238"/>
    </row>
    <row r="239" spans="1:3" ht="18" customHeight="1" x14ac:dyDescent="0.2">
      <c r="A239"/>
      <c r="B239"/>
      <c r="C239"/>
    </row>
    <row r="240" spans="1:3" ht="18" customHeight="1" x14ac:dyDescent="0.2">
      <c r="A240"/>
      <c r="B240"/>
      <c r="C240"/>
    </row>
    <row r="241" spans="1:3" ht="18" customHeight="1" x14ac:dyDescent="0.2">
      <c r="A241"/>
      <c r="B241"/>
      <c r="C241"/>
    </row>
    <row r="242" spans="1:3" ht="18" customHeight="1" x14ac:dyDescent="0.2">
      <c r="A242"/>
      <c r="B242"/>
      <c r="C242"/>
    </row>
    <row r="243" spans="1:3" ht="18" customHeight="1" x14ac:dyDescent="0.2">
      <c r="A243"/>
      <c r="B243"/>
      <c r="C243"/>
    </row>
    <row r="244" spans="1:3" ht="18" customHeight="1" x14ac:dyDescent="0.2">
      <c r="A244"/>
      <c r="B244"/>
      <c r="C244"/>
    </row>
    <row r="245" spans="1:3" ht="18" customHeight="1" x14ac:dyDescent="0.2">
      <c r="A245"/>
      <c r="B245"/>
      <c r="C245"/>
    </row>
    <row r="246" spans="1:3" ht="18" customHeight="1" x14ac:dyDescent="0.2">
      <c r="A246"/>
      <c r="B246"/>
      <c r="C246"/>
    </row>
    <row r="247" spans="1:3" ht="18" customHeight="1" x14ac:dyDescent="0.2">
      <c r="A247"/>
      <c r="B247"/>
      <c r="C247"/>
    </row>
    <row r="248" spans="1:3" ht="18" customHeight="1" x14ac:dyDescent="0.2">
      <c r="A248"/>
      <c r="B248"/>
      <c r="C248"/>
    </row>
    <row r="249" spans="1:3" ht="18" customHeight="1" x14ac:dyDescent="0.2">
      <c r="A249"/>
      <c r="B249"/>
      <c r="C249"/>
    </row>
    <row r="250" spans="1:3" ht="18" customHeight="1" x14ac:dyDescent="0.2">
      <c r="A250"/>
      <c r="B250"/>
      <c r="C250"/>
    </row>
    <row r="251" spans="1:3" ht="18" customHeight="1" x14ac:dyDescent="0.2">
      <c r="A251"/>
      <c r="B251"/>
      <c r="C251"/>
    </row>
    <row r="252" spans="1:3" ht="18" customHeight="1" x14ac:dyDescent="0.2">
      <c r="A252"/>
      <c r="B252"/>
      <c r="C252"/>
    </row>
    <row r="253" spans="1:3" ht="18" customHeight="1" x14ac:dyDescent="0.2">
      <c r="A253"/>
      <c r="B253"/>
      <c r="C253"/>
    </row>
    <row r="254" spans="1:3" ht="18" customHeight="1" x14ac:dyDescent="0.2">
      <c r="A254"/>
      <c r="B254"/>
      <c r="C254"/>
    </row>
    <row r="255" spans="1:3" ht="18" customHeight="1" x14ac:dyDescent="0.2">
      <c r="A255"/>
      <c r="B255"/>
      <c r="C255"/>
    </row>
    <row r="256" spans="1:3" ht="18" customHeight="1" x14ac:dyDescent="0.2">
      <c r="A256"/>
      <c r="B256"/>
      <c r="C256"/>
    </row>
    <row r="257" spans="1:3" ht="18" customHeight="1" x14ac:dyDescent="0.2">
      <c r="A257"/>
      <c r="B257"/>
      <c r="C257"/>
    </row>
    <row r="258" spans="1:3" ht="18" customHeight="1" x14ac:dyDescent="0.2">
      <c r="A258"/>
      <c r="B258"/>
      <c r="C258"/>
    </row>
    <row r="259" spans="1:3" ht="18" customHeight="1" x14ac:dyDescent="0.2">
      <c r="A259"/>
      <c r="B259"/>
      <c r="C259"/>
    </row>
    <row r="260" spans="1:3" ht="18" customHeight="1" x14ac:dyDescent="0.2">
      <c r="A260"/>
      <c r="B260"/>
      <c r="C260"/>
    </row>
    <row r="261" spans="1:3" ht="18" customHeight="1" x14ac:dyDescent="0.2">
      <c r="A261"/>
      <c r="B261"/>
      <c r="C261"/>
    </row>
    <row r="262" spans="1:3" ht="18" customHeight="1" x14ac:dyDescent="0.2">
      <c r="A262"/>
      <c r="B262"/>
      <c r="C262"/>
    </row>
    <row r="263" spans="1:3" ht="18" customHeight="1" x14ac:dyDescent="0.2">
      <c r="A263"/>
      <c r="B263"/>
      <c r="C263"/>
    </row>
    <row r="264" spans="1:3" ht="18" customHeight="1" x14ac:dyDescent="0.2">
      <c r="A264"/>
      <c r="B264"/>
      <c r="C264"/>
    </row>
    <row r="265" spans="1:3" ht="18" customHeight="1" x14ac:dyDescent="0.2">
      <c r="A265"/>
      <c r="B265"/>
      <c r="C265"/>
    </row>
    <row r="266" spans="1:3" ht="18" customHeight="1" x14ac:dyDescent="0.2">
      <c r="A266"/>
      <c r="B266"/>
      <c r="C266"/>
    </row>
    <row r="267" spans="1:3" ht="18" customHeight="1" x14ac:dyDescent="0.2">
      <c r="A267"/>
      <c r="B267"/>
      <c r="C267"/>
    </row>
    <row r="268" spans="1:3" ht="18" customHeight="1" x14ac:dyDescent="0.2">
      <c r="A268"/>
      <c r="B268"/>
      <c r="C268"/>
    </row>
  </sheetData>
  <sheetProtection selectLockedCells="1"/>
  <mergeCells count="1">
    <mergeCell ref="F1:H1"/>
  </mergeCells>
  <phoneticPr fontId="4" type="noConversion"/>
  <pageMargins left="0.75" right="0.75" top="1" bottom="1" header="0.5" footer="0.5"/>
  <pageSetup scale="85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Data</vt:lpstr>
      <vt:lpstr>3 Side Seal Zipper Pouch</vt:lpstr>
      <vt:lpstr>ICM</vt:lpstr>
      <vt:lpstr>S+R</vt:lpstr>
      <vt:lpstr>Drawing</vt:lpstr>
      <vt:lpstr>IN TO MM</vt:lpstr>
      <vt:lpstr>Print Direction Chart</vt:lpstr>
      <vt:lpstr>GL Codes</vt:lpstr>
      <vt:lpstr>'3 Side Seal Zipper Pouch'!Print_Area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w15mkaeb</dc:creator>
  <cp:lastModifiedBy>Parker, Holly</cp:lastModifiedBy>
  <cp:lastPrinted>2016-02-26T15:59:49Z</cp:lastPrinted>
  <dcterms:created xsi:type="dcterms:W3CDTF">2010-11-26T20:02:27Z</dcterms:created>
  <dcterms:modified xsi:type="dcterms:W3CDTF">2017-01-10T18:47:44Z</dcterms:modified>
</cp:coreProperties>
</file>