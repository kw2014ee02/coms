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drawings/drawing5.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33BBC38B-C2DA-FC69-06AC-9F67D96B6324}"/>
  <workbookPr codeName="ThisWorkbook"/>
  <mc:AlternateContent xmlns:mc="http://schemas.openxmlformats.org/markup-compatibility/2006">
    <mc:Choice Requires="x15">
      <x15ac:absPath xmlns:x15ac="http://schemas.microsoft.com/office/spreadsheetml/2010/11/ac" url="C:\Users\w15psvah\Desktop\"/>
    </mc:Choice>
  </mc:AlternateContent>
  <bookViews>
    <workbookView xWindow="285" yWindow="285" windowWidth="14535" windowHeight="13170" tabRatio="945"/>
  </bookViews>
  <sheets>
    <sheet name="Assessment" sheetId="28" r:id="rId1"/>
    <sheet name="Sheet1" sheetId="33" state="hidden" r:id="rId2"/>
    <sheet name="Quote Request" sheetId="34" r:id="rId3"/>
    <sheet name="Quote" sheetId="35" r:id="rId4"/>
    <sheet name="Roll Stock Checklist" sheetId="8" r:id="rId5"/>
    <sheet name="ICM" sheetId="21" r:id="rId6"/>
    <sheet name=" S+R" sheetId="20" r:id="rId7"/>
    <sheet name="Drawing" sheetId="25" r:id="rId8"/>
    <sheet name="Print Direction Chart" sheetId="13" r:id="rId9"/>
    <sheet name="GL Codes" sheetId="16" state="hidden" r:id="rId10"/>
    <sheet name="SPEC SHEET" sheetId="30" r:id="rId11"/>
    <sheet name="Pink Sheet" sheetId="31" r:id="rId12"/>
    <sheet name="PRESS SPEC SHEET" sheetId="32" r:id="rId13"/>
  </sheets>
  <externalReferences>
    <externalReference r:id="rId14"/>
  </externalReferences>
  <definedNames>
    <definedName name="_xlnm.Print_Area" localSheetId="0">Assessment!$A$1:$Q$50</definedName>
    <definedName name="_xlnm.Print_Area" localSheetId="9">'GL Codes'!$A$1:$L$54</definedName>
    <definedName name="_xlnm.Print_Area" localSheetId="11">'Pink Sheet'!$A$1:$M$33</definedName>
    <definedName name="_xlnm.Print_Area" localSheetId="12">'PRESS SPEC SHEET'!$A$1:$AQ$44</definedName>
    <definedName name="_xlnm.Print_Area" localSheetId="3">Quote!$A$1:$E$28</definedName>
    <definedName name="_xlnm.Print_Area" localSheetId="2">'Quote Request'!$A$1:$L$58</definedName>
    <definedName name="_xlnm.Print_Area" localSheetId="10">'SPEC SHEET'!$A$1:$CJ$166</definedName>
  </definedNames>
  <calcPr calcId="171027"/>
</workbook>
</file>

<file path=xl/calcChain.xml><?xml version="1.0" encoding="utf-8"?>
<calcChain xmlns="http://schemas.openxmlformats.org/spreadsheetml/2006/main">
  <c r="U103" i="30" l="1"/>
  <c r="K103" i="30"/>
  <c r="BZ100" i="30"/>
  <c r="BP100" i="30"/>
  <c r="BF100" i="30"/>
  <c r="AV100" i="30"/>
  <c r="AL100" i="30"/>
  <c r="AB100" i="30"/>
  <c r="R100" i="30"/>
  <c r="I5" i="8" l="1"/>
  <c r="B15" i="8"/>
  <c r="J18" i="34"/>
  <c r="B18" i="34"/>
  <c r="A18" i="34"/>
  <c r="A22" i="35" l="1"/>
  <c r="C19" i="35"/>
  <c r="C7" i="35"/>
  <c r="C6" i="35"/>
  <c r="C5" i="35"/>
  <c r="C4" i="35"/>
  <c r="C3" i="35"/>
  <c r="M50" i="34"/>
  <c r="L49" i="34"/>
  <c r="H49" i="34"/>
  <c r="L47" i="34"/>
  <c r="K47" i="34"/>
  <c r="L46" i="34"/>
  <c r="K46" i="34"/>
  <c r="M42" i="34"/>
  <c r="L42" i="34"/>
  <c r="E15" i="35" s="1"/>
  <c r="A42" i="34"/>
  <c r="A15" i="35" s="1"/>
  <c r="M41" i="34"/>
  <c r="L41" i="34"/>
  <c r="A41" i="34"/>
  <c r="M40" i="34"/>
  <c r="L40" i="34"/>
  <c r="A40" i="34"/>
  <c r="M39" i="34"/>
  <c r="L39" i="34"/>
  <c r="A39" i="34"/>
  <c r="E38" i="34"/>
  <c r="D38" i="34"/>
  <c r="L38" i="34" s="1"/>
  <c r="E14" i="35" s="1"/>
  <c r="E37" i="34"/>
  <c r="D37" i="34"/>
  <c r="L37" i="34" s="1"/>
  <c r="E36" i="34"/>
  <c r="D36" i="34"/>
  <c r="L36" i="34" s="1"/>
  <c r="E13" i="35" s="1"/>
  <c r="E35" i="34"/>
  <c r="E34" i="34"/>
  <c r="D34" i="34"/>
  <c r="L34" i="34" s="1"/>
  <c r="E12" i="35" s="1"/>
  <c r="L33" i="34"/>
  <c r="E33" i="34"/>
  <c r="A33" i="34"/>
  <c r="E32" i="34"/>
  <c r="E31" i="34"/>
  <c r="D31" i="34"/>
  <c r="L31" i="34" s="1"/>
  <c r="L30" i="34"/>
  <c r="E30" i="34"/>
  <c r="A30" i="34"/>
  <c r="E29" i="34"/>
  <c r="E28" i="34"/>
  <c r="D28" i="34"/>
  <c r="L28" i="34" s="1"/>
  <c r="E27" i="34"/>
  <c r="D27" i="34"/>
  <c r="L27" i="34" s="1"/>
  <c r="E26" i="34"/>
  <c r="D26" i="34"/>
  <c r="A11" i="34"/>
  <c r="C8" i="34"/>
  <c r="E3" i="34"/>
  <c r="A3" i="34"/>
  <c r="E1" i="34"/>
  <c r="E11" i="35" l="1"/>
  <c r="D35" i="34" l="1"/>
  <c r="L35" i="34" s="1"/>
  <c r="BY103" i="30"/>
  <c r="BY107" i="30" s="1"/>
  <c r="BO107" i="30"/>
  <c r="BO103" i="30"/>
  <c r="BE103" i="30"/>
  <c r="BE107" i="30" s="1"/>
  <c r="AU103" i="30"/>
  <c r="AU107" i="30" s="1"/>
  <c r="AK103" i="30"/>
  <c r="AK107" i="30" s="1"/>
  <c r="AA103" i="30"/>
  <c r="AA107" i="30" s="1"/>
  <c r="Q103" i="30"/>
  <c r="Q107" i="30"/>
  <c r="B29" i="21"/>
  <c r="CC103" i="30" s="1"/>
  <c r="B11" i="8"/>
  <c r="D32" i="34" l="1"/>
  <c r="L32" i="34" s="1"/>
  <c r="U107" i="30"/>
  <c r="AY103" i="30"/>
  <c r="BI103" i="30"/>
  <c r="AE103" i="30"/>
  <c r="BS103" i="30"/>
  <c r="AO103" i="30"/>
  <c r="G103" i="30"/>
  <c r="BW17" i="30"/>
  <c r="C33" i="30"/>
  <c r="G4" i="33" s="1"/>
  <c r="G1" i="33"/>
  <c r="BB119" i="30"/>
  <c r="R125" i="30"/>
  <c r="AD10" i="32"/>
  <c r="F33" i="21"/>
  <c r="F43" i="8"/>
  <c r="I43" i="8"/>
  <c r="B15" i="21"/>
  <c r="I9" i="8"/>
  <c r="I11" i="8"/>
  <c r="B7" i="8"/>
  <c r="F17" i="21"/>
  <c r="D17" i="21" s="1"/>
  <c r="AD8" i="32"/>
  <c r="D9" i="31"/>
  <c r="G12" i="31"/>
  <c r="D12" i="31"/>
  <c r="BB115" i="30"/>
  <c r="BH125" i="30"/>
  <c r="Q117" i="30"/>
  <c r="B27" i="21"/>
  <c r="K103" i="21" s="1"/>
  <c r="AS51" i="30"/>
  <c r="BV42" i="30"/>
  <c r="BF42" i="30"/>
  <c r="C41" i="30"/>
  <c r="G12" i="33" s="1"/>
  <c r="C40" i="30"/>
  <c r="G11" i="33" s="1"/>
  <c r="C39" i="30"/>
  <c r="G10" i="33" s="1"/>
  <c r="C38" i="30"/>
  <c r="G9" i="33" s="1"/>
  <c r="C37" i="30"/>
  <c r="G8" i="33" s="1"/>
  <c r="C36" i="30"/>
  <c r="G7" i="33" s="1"/>
  <c r="C35" i="30"/>
  <c r="G6" i="33" s="1"/>
  <c r="C34" i="30"/>
  <c r="G5" i="33" s="1"/>
  <c r="C32" i="30"/>
  <c r="G3" i="33" s="1"/>
  <c r="C31" i="30"/>
  <c r="G2" i="33" s="1"/>
  <c r="C30" i="30"/>
  <c r="BJ13" i="30"/>
  <c r="G13" i="30"/>
  <c r="BU10" i="30"/>
  <c r="AZ8" i="30"/>
  <c r="AO8" i="30"/>
  <c r="AW1" i="30"/>
  <c r="I47" i="8"/>
  <c r="E71" i="21" s="1"/>
  <c r="H47" i="8"/>
  <c r="F47" i="8"/>
  <c r="D47" i="8"/>
  <c r="B47" i="8"/>
  <c r="E63" i="21" s="1"/>
  <c r="A47" i="8"/>
  <c r="I45" i="8"/>
  <c r="H45" i="8"/>
  <c r="F45" i="8"/>
  <c r="D45" i="8"/>
  <c r="B45" i="8"/>
  <c r="A45" i="8"/>
  <c r="I3" i="8"/>
  <c r="C11" i="8"/>
  <c r="E65" i="21"/>
  <c r="E67" i="21"/>
  <c r="E69" i="21"/>
  <c r="E61" i="21"/>
  <c r="A71" i="21"/>
  <c r="F23" i="8"/>
  <c r="A27" i="8"/>
  <c r="B41" i="20"/>
  <c r="F35" i="8"/>
  <c r="I7" i="20"/>
  <c r="I81" i="21"/>
  <c r="B83" i="21"/>
  <c r="E39" i="21"/>
  <c r="B53" i="21"/>
  <c r="F53" i="21"/>
  <c r="I31" i="21"/>
  <c r="F51" i="21"/>
  <c r="B3" i="21"/>
  <c r="F27" i="21"/>
  <c r="H35" i="21"/>
  <c r="H33" i="21"/>
  <c r="F85" i="21"/>
  <c r="I33" i="21"/>
  <c r="I35" i="21"/>
  <c r="I3" i="20"/>
  <c r="E73" i="21"/>
  <c r="F44" i="21"/>
  <c r="B59" i="21"/>
  <c r="F17" i="8"/>
  <c r="G37" i="21"/>
  <c r="F37" i="8"/>
  <c r="C9" i="20"/>
  <c r="F3" i="21"/>
  <c r="B9" i="21"/>
  <c r="I9" i="21"/>
  <c r="C11" i="21"/>
  <c r="I11" i="21"/>
  <c r="B13" i="21"/>
  <c r="I13" i="21"/>
  <c r="I15" i="21"/>
  <c r="I79" i="21" s="1"/>
  <c r="B23" i="21"/>
  <c r="B25" i="21"/>
  <c r="H25" i="21"/>
  <c r="F29" i="21"/>
  <c r="I29" i="21"/>
  <c r="I44" i="21"/>
  <c r="B51" i="21"/>
  <c r="I59" i="21"/>
  <c r="A61" i="21"/>
  <c r="H61" i="21"/>
  <c r="A63" i="21"/>
  <c r="H63" i="21"/>
  <c r="A65" i="21"/>
  <c r="A67" i="21"/>
  <c r="A69" i="21"/>
  <c r="B77" i="21"/>
  <c r="I77" i="21"/>
  <c r="B79" i="21"/>
  <c r="C79" i="21"/>
  <c r="I83" i="21"/>
  <c r="B85" i="21"/>
  <c r="I85" i="21"/>
  <c r="F3" i="20"/>
  <c r="B7" i="20"/>
  <c r="B9" i="20"/>
  <c r="I9" i="20"/>
  <c r="E15" i="20"/>
  <c r="I17" i="20"/>
  <c r="F21" i="20" s="1"/>
  <c r="B19" i="20"/>
  <c r="I19" i="20"/>
  <c r="F31" i="20"/>
  <c r="B37" i="20"/>
  <c r="I37" i="20"/>
  <c r="D29" i="34" l="1"/>
  <c r="L29" i="34" s="1"/>
  <c r="B17" i="20"/>
  <c r="BS51" i="30" s="1"/>
  <c r="AY107" i="30"/>
  <c r="BI107" i="30"/>
  <c r="AE107" i="30"/>
  <c r="BS107" i="30"/>
  <c r="H100" i="30"/>
  <c r="G107" i="30"/>
  <c r="K107" i="30" s="1"/>
  <c r="AO107" i="30"/>
  <c r="CC107" i="30"/>
  <c r="L43" i="34" l="1"/>
  <c r="L44" i="34" s="1"/>
  <c r="E10" i="35"/>
  <c r="E16" i="35" s="1"/>
  <c r="E17" i="35" s="1"/>
</calcChain>
</file>

<file path=xl/comments1.xml><?xml version="1.0" encoding="utf-8"?>
<comments xmlns="http://schemas.openxmlformats.org/spreadsheetml/2006/main">
  <authors>
    <author>Leann Chastko</author>
  </authors>
  <commentList>
    <comment ref="A20" authorId="0" shapeId="0">
      <text>
        <r>
          <rPr>
            <b/>
            <sz val="9"/>
            <color indexed="81"/>
            <rFont val="Calibri"/>
            <family val="2"/>
          </rPr>
          <t>Note: Level applies to the complexity of the work required on either a new or a rwc job.</t>
        </r>
      </text>
    </comment>
  </commentList>
</comments>
</file>

<file path=xl/sharedStrings.xml><?xml version="1.0" encoding="utf-8"?>
<sst xmlns="http://schemas.openxmlformats.org/spreadsheetml/2006/main" count="760" uniqueCount="648">
  <si>
    <t>Bleed (if appl.):</t>
  </si>
  <si>
    <t>Structure:</t>
  </si>
  <si>
    <r>
      <t>Image Width</t>
    </r>
    <r>
      <rPr>
        <b/>
        <sz val="8"/>
        <rFont val="Arial"/>
        <family val="2"/>
      </rPr>
      <t xml:space="preserve"> (F)</t>
    </r>
    <r>
      <rPr>
        <sz val="8"/>
        <rFont val="Arial"/>
        <family val="2"/>
      </rPr>
      <t>:</t>
    </r>
  </si>
  <si>
    <t xml:space="preserve"> Operator:</t>
  </si>
  <si>
    <t>Print Centered
on Web:</t>
  </si>
  <si>
    <t>Registered or
Continuous Print?</t>
  </si>
  <si>
    <t>Colours as per:</t>
  </si>
  <si>
    <t>0516</t>
  </si>
  <si>
    <t>Bleed:</t>
  </si>
  <si>
    <t>'0073</t>
  </si>
  <si>
    <r>
      <t xml:space="preserve">Image Length </t>
    </r>
    <r>
      <rPr>
        <b/>
        <sz val="8"/>
        <rFont val="Arial"/>
        <family val="2"/>
      </rPr>
      <t>(B)</t>
    </r>
    <r>
      <rPr>
        <sz val="8"/>
        <rFont val="Arial"/>
        <family val="2"/>
      </rPr>
      <t>:</t>
    </r>
  </si>
  <si>
    <t>Print Position (if not centered):</t>
  </si>
  <si>
    <r>
      <t xml:space="preserve">Pkg Width </t>
    </r>
    <r>
      <rPr>
        <b/>
        <sz val="8"/>
        <rFont val="Arial"/>
        <family val="2"/>
      </rPr>
      <t>(ac)</t>
    </r>
    <r>
      <rPr>
        <sz val="8"/>
        <rFont val="Arial"/>
        <family val="2"/>
      </rPr>
      <t>:</t>
    </r>
  </si>
  <si>
    <t>0822</t>
  </si>
  <si>
    <t>0075</t>
  </si>
  <si>
    <t>0664</t>
  </si>
  <si>
    <t>Guideline Colour:</t>
  </si>
  <si>
    <t>Art as Per:</t>
  </si>
  <si>
    <t>Baker, Andrea</t>
  </si>
  <si>
    <t>0567</t>
  </si>
  <si>
    <t>0480</t>
  </si>
  <si>
    <t>0454</t>
  </si>
  <si>
    <t># AC / Web:</t>
  </si>
  <si>
    <t>Medical Packaging</t>
  </si>
  <si>
    <t>Date Required:</t>
  </si>
  <si>
    <t>No</t>
  </si>
  <si>
    <r>
      <t xml:space="preserve">Image Width </t>
    </r>
    <r>
      <rPr>
        <b/>
        <sz val="8"/>
        <rFont val="Arial"/>
        <family val="2"/>
      </rPr>
      <t>(B)</t>
    </r>
    <r>
      <rPr>
        <sz val="8"/>
        <rFont val="Arial"/>
        <family val="2"/>
      </rPr>
      <t>:</t>
    </r>
  </si>
  <si>
    <t>Dupey Equipment</t>
  </si>
  <si>
    <t>0666</t>
  </si>
  <si>
    <t>0628</t>
  </si>
  <si>
    <t>ADDITIONAL COMMENTS / INSTRUCTIONS</t>
  </si>
  <si>
    <t>Print Direction #:</t>
  </si>
  <si>
    <t>15 x 8</t>
  </si>
  <si>
    <t>PO:</t>
  </si>
  <si>
    <t>0049</t>
  </si>
  <si>
    <t>0523</t>
  </si>
  <si>
    <t>Total # Items:</t>
  </si>
  <si>
    <t>Distortion:</t>
  </si>
  <si>
    <t>House - US</t>
  </si>
  <si>
    <t>Hamill, David</t>
  </si>
  <si>
    <t>0014</t>
  </si>
  <si>
    <t>0334</t>
  </si>
  <si>
    <t>0319</t>
  </si>
  <si>
    <t>Maxwell, Colleen</t>
  </si>
  <si>
    <t>Coordinator:</t>
  </si>
  <si>
    <t>Laser Score Pos.
(if applicable):</t>
  </si>
  <si>
    <t>Type of Proof:</t>
  </si>
  <si>
    <t>Kingston, Kraig</t>
  </si>
  <si>
    <t xml:space="preserve">Medical Application: </t>
  </si>
  <si>
    <t>Bergsma, Mark</t>
  </si>
  <si>
    <t>Print:</t>
  </si>
  <si>
    <t>Print Position
(if not centered):</t>
  </si>
  <si>
    <t>0829</t>
  </si>
  <si>
    <t># Impr. Across:</t>
  </si>
  <si>
    <t>Customer:</t>
  </si>
  <si>
    <t>P.C.:</t>
  </si>
  <si>
    <t># Eyes AC / Web:</t>
  </si>
  <si>
    <t>0511</t>
  </si>
  <si>
    <t>Billable Plates:</t>
  </si>
  <si>
    <t>0474</t>
  </si>
  <si>
    <t>0569</t>
  </si>
  <si>
    <t>Web Width:</t>
  </si>
  <si>
    <t>USDA # / EST #:</t>
  </si>
  <si>
    <t>CUSTOMER STEP INFO</t>
  </si>
  <si>
    <t>0662</t>
  </si>
  <si>
    <t># Up (AR):</t>
  </si>
  <si>
    <t>PRINT POSITION</t>
  </si>
  <si>
    <t>0610</t>
  </si>
  <si>
    <t>Eyespot Distance:</t>
  </si>
  <si>
    <t>0485</t>
  </si>
  <si>
    <t>0566</t>
  </si>
  <si>
    <t>0052</t>
  </si>
  <si>
    <t>0463</t>
  </si>
  <si>
    <t>0490</t>
  </si>
  <si>
    <t>LAYOUT SKETCH</t>
  </si>
  <si>
    <t>0611</t>
  </si>
  <si>
    <t>0616</t>
  </si>
  <si>
    <t>Type of Print :</t>
  </si>
  <si>
    <t>Position Eyes AR:</t>
  </si>
  <si>
    <t>0032</t>
  </si>
  <si>
    <t>0494</t>
  </si>
  <si>
    <t>Repeat:</t>
  </si>
  <si>
    <t>Clear</t>
  </si>
  <si>
    <t>0572</t>
  </si>
  <si>
    <t>0344</t>
  </si>
  <si>
    <t>Pkg cent'd on Web:</t>
  </si>
  <si>
    <t>0362</t>
  </si>
  <si>
    <t>0046</t>
  </si>
  <si>
    <t>Movex #
(for layout):</t>
  </si>
  <si>
    <t>0542</t>
  </si>
  <si>
    <t>Pt to Pt incl. trim?</t>
  </si>
  <si>
    <t>0669</t>
  </si>
  <si>
    <t>0661</t>
  </si>
  <si>
    <t>Print Cent'd on Pkg:</t>
  </si>
  <si>
    <t>Pkg Cent'd on Web:</t>
  </si>
  <si>
    <t>0561</t>
  </si>
  <si>
    <t>0526</t>
  </si>
  <si>
    <t>Wetoska Packaging</t>
  </si>
  <si>
    <t>0827</t>
  </si>
  <si>
    <t>0808</t>
  </si>
  <si>
    <t>0368</t>
  </si>
  <si>
    <t>0499</t>
  </si>
  <si>
    <t>Northern Star</t>
  </si>
  <si>
    <t>0663</t>
  </si>
  <si>
    <t>0563</t>
  </si>
  <si>
    <t>C.O. #:</t>
  </si>
  <si>
    <t>DATE, REVISIONS, REMARKS</t>
  </si>
  <si>
    <t>ROLLSTOCK CHECKLIST</t>
  </si>
  <si>
    <t>Date Submitted:</t>
  </si>
  <si>
    <t># Colours Changing:</t>
  </si>
  <si>
    <t>0487</t>
  </si>
  <si>
    <t>Haversack, Jeff</t>
  </si>
  <si>
    <t>Laser Scored:</t>
  </si>
  <si>
    <t>Die Cavity #'s:</t>
  </si>
  <si>
    <t>0803</t>
  </si>
  <si>
    <t>0335</t>
  </si>
  <si>
    <t>0507</t>
  </si>
  <si>
    <t>Customer Acct. #:</t>
  </si>
  <si>
    <t># Sides:</t>
  </si>
  <si>
    <t>Combo Step:</t>
  </si>
  <si>
    <t>0452</t>
  </si>
  <si>
    <t>UPC #:</t>
  </si>
  <si>
    <t>Other Distance:</t>
  </si>
  <si>
    <t>Jenkins, Sid</t>
  </si>
  <si>
    <t>0023</t>
  </si>
  <si>
    <t>19 x 7</t>
  </si>
  <si>
    <t>0496</t>
  </si>
  <si>
    <t>Baker, Andrea LTD US$</t>
  </si>
  <si>
    <t>0502</t>
  </si>
  <si>
    <t>0609</t>
  </si>
  <si>
    <t>Design Name:</t>
  </si>
  <si>
    <t>Design Desc.:</t>
  </si>
  <si>
    <t>0005</t>
  </si>
  <si>
    <t>Pellerin, Phillippe</t>
  </si>
  <si>
    <t>Time Req'd:</t>
  </si>
  <si>
    <t>S+R SPECIFICATIONS</t>
  </si>
  <si>
    <t>0805</t>
  </si>
  <si>
    <t>0500</t>
  </si>
  <si>
    <t># Pkgs AC / Web:</t>
  </si>
  <si>
    <t># Pkgs AR (Index):</t>
  </si>
  <si>
    <t>0643</t>
  </si>
  <si>
    <t>Kuhn, Vance</t>
  </si>
  <si>
    <t># Impr. Up:</t>
  </si>
  <si>
    <t>0606</t>
  </si>
  <si>
    <t>0607</t>
  </si>
  <si>
    <t>0593</t>
  </si>
  <si>
    <t>LET'S TALK</t>
  </si>
  <si>
    <t>0821</t>
  </si>
  <si>
    <t>0562</t>
  </si>
  <si>
    <t>N/A</t>
  </si>
  <si>
    <t>Eyespot Size:</t>
  </si>
  <si>
    <t>Medical Appl.:</t>
  </si>
  <si>
    <t># Webs Across:</t>
  </si>
  <si>
    <t>Die Cavity #'s?</t>
  </si>
  <si>
    <t>0588</t>
  </si>
  <si>
    <t>Multivac Mexico</t>
  </si>
  <si>
    <t>12 x 6</t>
  </si>
  <si>
    <t>Horn, Justin</t>
  </si>
  <si>
    <t>0668</t>
  </si>
  <si>
    <t>0672</t>
  </si>
  <si>
    <t>0680</t>
  </si>
  <si>
    <t>0811</t>
  </si>
  <si>
    <t>Gach, Greg</t>
  </si>
  <si>
    <t>0810</t>
  </si>
  <si>
    <t>Coleman, Tom</t>
  </si>
  <si>
    <t>0072</t>
  </si>
  <si>
    <t>0804</t>
  </si>
  <si>
    <t>Eyespot  Colour:</t>
  </si>
  <si>
    <t>Eyespots Req'd?</t>
  </si>
  <si>
    <t>G/L Code:</t>
  </si>
  <si>
    <t>Polgardi, Nick</t>
  </si>
  <si>
    <t>0503</t>
  </si>
  <si>
    <t>0807</t>
  </si>
  <si>
    <t>0660</t>
  </si>
  <si>
    <t>6916/100</t>
  </si>
  <si>
    <t>0200</t>
  </si>
  <si>
    <t>0812</t>
  </si>
  <si>
    <r>
      <t xml:space="preserve">Image Length </t>
    </r>
    <r>
      <rPr>
        <b/>
        <sz val="8"/>
        <rFont val="Arial"/>
        <family val="2"/>
      </rPr>
      <t>(F)</t>
    </r>
    <r>
      <rPr>
        <sz val="8"/>
        <rFont val="Arial"/>
        <family val="2"/>
      </rPr>
      <t>:</t>
    </r>
  </si>
  <si>
    <t>RWC or New?</t>
  </si>
  <si>
    <t>Print Index (in):</t>
  </si>
  <si>
    <t>Print Index (mm):</t>
  </si>
  <si>
    <t>Slit Roll Width (in):</t>
  </si>
  <si>
    <t>Customer Index:</t>
  </si>
  <si>
    <t>0508</t>
  </si>
  <si>
    <t>1-UP LAYOUT</t>
  </si>
  <si>
    <t>0533</t>
  </si>
  <si>
    <t>Print Cylinder:</t>
  </si>
  <si>
    <t>Eyespot  Size:</t>
  </si>
  <si>
    <t>0064</t>
  </si>
  <si>
    <t>PRINTED INFORMATION / TEXT</t>
  </si>
  <si>
    <t>0505</t>
  </si>
  <si>
    <t>0646</t>
  </si>
  <si>
    <t>Forming or Non?</t>
  </si>
  <si>
    <t>0574</t>
  </si>
  <si>
    <t>DATE, CHANGES, REMARKS</t>
  </si>
  <si>
    <t>Point to Point:</t>
  </si>
  <si>
    <t>0553</t>
  </si>
  <si>
    <t>Eyespot Colour:</t>
  </si>
  <si>
    <t>Reference PO:</t>
  </si>
  <si>
    <t>Plates:</t>
  </si>
  <si>
    <t>0554</t>
  </si>
  <si>
    <t>See Layout</t>
  </si>
  <si>
    <t>West Coast Foodpak</t>
  </si>
  <si>
    <t>0011</t>
  </si>
  <si>
    <t>Parsons, Keith</t>
  </si>
  <si>
    <t>0659</t>
  </si>
  <si>
    <t>0806</t>
  </si>
  <si>
    <t>0411</t>
  </si>
  <si>
    <t>INTERNAL CHANGE MEMO - ROLLSTOCK</t>
  </si>
  <si>
    <t>Hohensinner, Scott</t>
  </si>
  <si>
    <t>0506</t>
  </si>
  <si>
    <t>Laser Score Pos:</t>
  </si>
  <si>
    <t>0683</t>
  </si>
  <si>
    <t>Richardson, Eric</t>
  </si>
  <si>
    <t>0685</t>
  </si>
  <si>
    <t>Last ammended:</t>
  </si>
  <si>
    <t>0551</t>
  </si>
  <si>
    <t>Movex #
(if applicable):</t>
  </si>
  <si>
    <t>Riekes Material Handling</t>
  </si>
  <si>
    <t xml:space="preserve"> Checker:</t>
  </si>
  <si>
    <t>0015</t>
  </si>
  <si>
    <t>0809</t>
  </si>
  <si>
    <t>Print Direction Chart</t>
  </si>
  <si>
    <t xml:space="preserve">Duerbig, Bill </t>
  </si>
  <si>
    <t>0604</t>
  </si>
  <si>
    <t>Stagger?</t>
  </si>
  <si>
    <t>Slit Roll Width (mm):</t>
  </si>
  <si>
    <t>Laminated to:</t>
  </si>
  <si>
    <t>0444</t>
  </si>
  <si>
    <t>0013</t>
  </si>
  <si>
    <t>0513</t>
  </si>
  <si>
    <t>0524</t>
  </si>
  <si>
    <t>0525</t>
  </si>
  <si>
    <t>Design layout
as per:</t>
  </si>
  <si>
    <t>Machine Model:</t>
  </si>
  <si>
    <t>0514</t>
  </si>
  <si>
    <t>0626</t>
  </si>
  <si>
    <t>0584</t>
  </si>
  <si>
    <t>Art as per:</t>
  </si>
  <si>
    <t>Rondeau, Rick</t>
  </si>
  <si>
    <t># of Colours:</t>
  </si>
  <si>
    <t>0047</t>
  </si>
  <si>
    <t>0559</t>
  </si>
  <si>
    <t>Kelly, Roger</t>
  </si>
  <si>
    <t>COLOURS</t>
  </si>
  <si>
    <t>Duerbig, Bill-Nelson PKG</t>
  </si>
  <si>
    <t>Billable Keys:</t>
  </si>
  <si>
    <t>0645</t>
  </si>
  <si>
    <t>Close &amp; Inovice?</t>
  </si>
  <si>
    <t>Cust. Item Desc.:</t>
  </si>
  <si>
    <r>
      <t xml:space="preserve">Pkg Length </t>
    </r>
    <r>
      <rPr>
        <b/>
        <sz val="8"/>
        <rFont val="Arial"/>
        <family val="2"/>
      </rPr>
      <t>(ar)</t>
    </r>
    <r>
      <rPr>
        <sz val="8"/>
        <rFont val="Arial"/>
        <family val="2"/>
      </rPr>
      <t>:</t>
    </r>
  </si>
  <si>
    <t>TRAPPING / STEP &amp; REPEAT</t>
  </si>
  <si>
    <t>0493</t>
  </si>
  <si>
    <t>0573</t>
  </si>
  <si>
    <t>0010</t>
  </si>
  <si>
    <t>0826</t>
  </si>
  <si>
    <t>Customer Print Direction #:</t>
  </si>
  <si>
    <t>0625</t>
  </si>
  <si>
    <t>0637</t>
  </si>
  <si>
    <t>0068</t>
  </si>
  <si>
    <t>Sharpless, Bill (WHS)</t>
  </si>
  <si>
    <t>0079</t>
  </si>
  <si>
    <t>Carman, Ted</t>
  </si>
  <si>
    <t>McNeil, Don</t>
  </si>
  <si>
    <t>0658</t>
  </si>
  <si>
    <t>0686</t>
  </si>
  <si>
    <t>0675</t>
  </si>
  <si>
    <t>Wilson, Leslie (WFI)</t>
  </si>
  <si>
    <t>Continuous?</t>
  </si>
  <si>
    <t>1-UP SPECIFICATIONS</t>
  </si>
  <si>
    <t>0000</t>
  </si>
  <si>
    <t>Inter Co</t>
  </si>
  <si>
    <t>Box, Brian</t>
  </si>
  <si>
    <t>PROOF REQUIRED:</t>
  </si>
  <si>
    <t>C.O.#:</t>
  </si>
  <si>
    <t>0082</t>
  </si>
  <si>
    <t>Bennett, Kevin</t>
  </si>
  <si>
    <t>Sales Rep #:</t>
  </si>
  <si>
    <t>Besant, Steve - MB</t>
  </si>
  <si>
    <t>Graham, Robert (WPP-ON)</t>
  </si>
  <si>
    <t>Hurley, Steven</t>
  </si>
  <si>
    <t>Besant, Steve - AB, SK</t>
  </si>
  <si>
    <t>Hamill, David - LTD US$</t>
  </si>
  <si>
    <t>Carman, Ted - LTD US$</t>
  </si>
  <si>
    <t>Carman, Ted - LTD $CAD</t>
  </si>
  <si>
    <t>0076</t>
  </si>
  <si>
    <t>Cutler, Dave (WPP)</t>
  </si>
  <si>
    <t>McCormac, Frank</t>
  </si>
  <si>
    <t>0084</t>
  </si>
  <si>
    <t>Cameron, Herman (WFI)</t>
  </si>
  <si>
    <t>0333</t>
  </si>
  <si>
    <t>Romig, Bill</t>
  </si>
  <si>
    <t>Matthews, Mike</t>
  </si>
  <si>
    <t>McCormick, Kevin</t>
  </si>
  <si>
    <t>Johnson, Eric (WPP)</t>
  </si>
  <si>
    <t>Abernethy, Chip</t>
  </si>
  <si>
    <t>Fiedler, David (WFI)</t>
  </si>
  <si>
    <t>Cote, Jeff - Direct</t>
  </si>
  <si>
    <t>Jones, Greg - Dist</t>
  </si>
  <si>
    <t>Scheiller, Al</t>
  </si>
  <si>
    <t>Harrison, Ron - Dist</t>
  </si>
  <si>
    <t>Klips, Ryan - Dist</t>
  </si>
  <si>
    <t>House Texas Direct</t>
  </si>
  <si>
    <t>House Texas Distributors</t>
  </si>
  <si>
    <t>Cote, Jess - Dist</t>
  </si>
  <si>
    <t>Harrison, Ron - Direct</t>
  </si>
  <si>
    <t>House - Inc.</t>
  </si>
  <si>
    <t>Guerrerro, Bobby - Dist</t>
  </si>
  <si>
    <t>Sayad, David</t>
  </si>
  <si>
    <t>Briggs, Bob (WPP)</t>
  </si>
  <si>
    <t>Gregg, Darin</t>
  </si>
  <si>
    <t>Sattler, Barbara (WPP)</t>
  </si>
  <si>
    <t>Guerrerro, Bobby - Direct</t>
  </si>
  <si>
    <t>Vista International</t>
  </si>
  <si>
    <t>Smith, Matthew</t>
  </si>
  <si>
    <t>Woelfel, Terry</t>
  </si>
  <si>
    <t>Prena, Dan</t>
  </si>
  <si>
    <t>Rondeau, Rick - US$</t>
  </si>
  <si>
    <t>Lauck, Jacob</t>
  </si>
  <si>
    <t>Gustashaw, Ben - Direct</t>
  </si>
  <si>
    <t>Gustashaw, Ben - Dist</t>
  </si>
  <si>
    <t>Advanced Packaging</t>
  </si>
  <si>
    <t>Miller, Clyde Red</t>
  </si>
  <si>
    <t>Butcher &amp; Packer</t>
  </si>
  <si>
    <t>Bobbs, Kathy (WFI)</t>
  </si>
  <si>
    <t>Davis, Glenn</t>
  </si>
  <si>
    <t>Manley, Tom</t>
  </si>
  <si>
    <t>Topps, Chris</t>
  </si>
  <si>
    <t>0656</t>
  </si>
  <si>
    <t>Fenske, Kathy (WPP)</t>
  </si>
  <si>
    <t>Ruggiero, Peterson &amp; Assoc</t>
  </si>
  <si>
    <t>McMacken, Paul</t>
  </si>
  <si>
    <t>Packaging Resource LLC</t>
  </si>
  <si>
    <t>Cyrus, Jim</t>
  </si>
  <si>
    <t>Jones, Greg</t>
  </si>
  <si>
    <t>Toilette, Bud</t>
  </si>
  <si>
    <t>0673</t>
  </si>
  <si>
    <t>0676</t>
  </si>
  <si>
    <t>Johnson, Lance</t>
  </si>
  <si>
    <t>0677</t>
  </si>
  <si>
    <t>Wetoska Sales &amp; Service</t>
  </si>
  <si>
    <t>Colpack / Elore</t>
  </si>
  <si>
    <t>0684</t>
  </si>
  <si>
    <t>Bender, Greg 9WPP)</t>
  </si>
  <si>
    <t>McNeil-Papetti, Don</t>
  </si>
  <si>
    <t>Wheeler, Britton</t>
  </si>
  <si>
    <t>0688</t>
  </si>
  <si>
    <t>0689</t>
  </si>
  <si>
    <t>Wheeler, Britton (Southwest)</t>
  </si>
  <si>
    <t>0690</t>
  </si>
  <si>
    <t>Anderson, Chad</t>
  </si>
  <si>
    <t>0691</t>
  </si>
  <si>
    <t>Luciano, Sandra</t>
  </si>
  <si>
    <t xml:space="preserve"> Argentina</t>
  </si>
  <si>
    <t xml:space="preserve"> Brazil</t>
  </si>
  <si>
    <t>Central America</t>
  </si>
  <si>
    <t>Columbia</t>
  </si>
  <si>
    <t>Costa Rica</t>
  </si>
  <si>
    <t>Equador</t>
  </si>
  <si>
    <t>Resendez - Sigma</t>
  </si>
  <si>
    <t>Peru</t>
  </si>
  <si>
    <t>South America</t>
  </si>
  <si>
    <t>Venezuela</t>
  </si>
  <si>
    <t>Foodtek Car (PR)</t>
  </si>
  <si>
    <t>Chile</t>
  </si>
  <si>
    <t>Garcia, Ian - Mexico</t>
  </si>
  <si>
    <t>Resendez</t>
  </si>
  <si>
    <t>0830</t>
  </si>
  <si>
    <t>Dominiccan Republic</t>
  </si>
  <si>
    <t>0832</t>
  </si>
  <si>
    <t>Swartz, Todd (WHS)</t>
  </si>
  <si>
    <t>June 9, 2014</t>
  </si>
  <si>
    <t>Dunne, Keith</t>
  </si>
  <si>
    <t>Foodtek - Carib. CDN$</t>
  </si>
  <si>
    <t>Prena, Dan CDN$</t>
  </si>
  <si>
    <t>Charlebois, MJ - CDN$</t>
  </si>
  <si>
    <t>0086</t>
  </si>
  <si>
    <t>Guerrerro, Bobby - Dist LTD US$</t>
  </si>
  <si>
    <t>Foodtek - Carib. US$</t>
  </si>
  <si>
    <t>Export Ltd.  - US$</t>
  </si>
  <si>
    <t>Bennett, Kevin - US$</t>
  </si>
  <si>
    <t>Hurley, Steven - US$</t>
  </si>
  <si>
    <t>Pellerin, Phillippe - US$</t>
  </si>
  <si>
    <t>Bennett, Kevin - LTD / US$</t>
  </si>
  <si>
    <t>Hurley, Steven - LTD  / US$</t>
  </si>
  <si>
    <t>Klips, Ryan US$</t>
  </si>
  <si>
    <t>Norm Rowe Distributors</t>
  </si>
  <si>
    <t>Bergsma, MarK -  US$</t>
  </si>
  <si>
    <t>Besant, Steve - US$</t>
  </si>
  <si>
    <t>Andrea, Baker - Dist - LTD / US$</t>
  </si>
  <si>
    <t>Charlebois, MJ - US$</t>
  </si>
  <si>
    <t>Maxwell, Colleen - INC / US$</t>
  </si>
  <si>
    <t>0692</t>
  </si>
  <si>
    <t>Averwater, Lee</t>
  </si>
  <si>
    <r>
      <t xml:space="preserve">mm from left edge
</t>
    </r>
    <r>
      <rPr>
        <sz val="7.5"/>
        <rFont val="Arial"/>
        <family val="2"/>
      </rPr>
      <t>(based artwork only, not eyespots)</t>
    </r>
  </si>
  <si>
    <t>PO#</t>
  </si>
  <si>
    <t>INV#</t>
  </si>
  <si>
    <t>SO#</t>
  </si>
  <si>
    <t>Quote Date:</t>
  </si>
  <si>
    <t>Quoted By:</t>
  </si>
  <si>
    <t>Design:</t>
  </si>
  <si>
    <t>New or RWC?</t>
  </si>
  <si>
    <t>Movex # (if applic.):</t>
  </si>
  <si>
    <t>Random or Registered:</t>
  </si>
  <si>
    <t>Pouch Size (if applic.):</t>
  </si>
  <si>
    <t>OD or ID?:</t>
  </si>
  <si>
    <t>Mac Time:</t>
  </si>
  <si>
    <t>Proofs:</t>
  </si>
  <si>
    <t>Sleeves:</t>
  </si>
  <si>
    <t>Regular
Quote</t>
  </si>
  <si>
    <t>Rev Quote or
Additional Time</t>
  </si>
  <si>
    <t>Manual
Quote</t>
  </si>
  <si>
    <r>
      <rPr>
        <b/>
        <sz val="8"/>
        <color indexed="8"/>
        <rFont val="Arial"/>
        <family val="2"/>
      </rPr>
      <t>Plates Only</t>
    </r>
    <r>
      <rPr>
        <b/>
        <sz val="10"/>
        <color indexed="8"/>
        <rFont val="Arial"/>
        <family val="2"/>
      </rPr>
      <t xml:space="preserve"> </t>
    </r>
    <r>
      <rPr>
        <b/>
        <sz val="8"/>
        <color indexed="8"/>
        <rFont val="Arial"/>
        <family val="2"/>
      </rPr>
      <t>(plus
ext. charges if applic.)</t>
    </r>
  </si>
  <si>
    <t>Eyespot
Trial</t>
  </si>
  <si>
    <t>Dieline</t>
  </si>
  <si>
    <t>Select Art Option:</t>
  </si>
  <si>
    <t>Total # Change-overs:</t>
  </si>
  <si>
    <t># Items</t>
  </si>
  <si>
    <t># Assmts</t>
  </si>
  <si>
    <t># Plates</t>
  </si>
  <si>
    <t>Web Width</t>
  </si>
  <si>
    <t># Webs Ac</t>
  </si>
  <si>
    <t>Repeat</t>
  </si>
  <si>
    <t>Cyl Size</t>
  </si>
  <si>
    <t>Stagger Size</t>
  </si>
  <si>
    <t># Content Proofs</t>
  </si>
  <si>
    <t># Keys</t>
  </si>
  <si>
    <t># Items that require CC</t>
  </si>
  <si>
    <t># Contract Proofs</t>
  </si>
  <si>
    <r>
      <t xml:space="preserve">Design Category:
</t>
    </r>
    <r>
      <rPr>
        <sz val="9"/>
        <color indexed="8"/>
        <rFont val="Arial"/>
        <family val="2"/>
      </rPr>
      <t>Select</t>
    </r>
    <r>
      <rPr>
        <b/>
        <sz val="9"/>
        <color indexed="8"/>
        <rFont val="Arial"/>
        <family val="2"/>
      </rPr>
      <t xml:space="preserve"> </t>
    </r>
    <r>
      <rPr>
        <sz val="9"/>
        <color indexed="8"/>
        <rFont val="Arial"/>
        <family val="2"/>
      </rPr>
      <t>only</t>
    </r>
    <r>
      <rPr>
        <b/>
        <sz val="9"/>
        <color indexed="8"/>
        <rFont val="Arial"/>
        <family val="2"/>
      </rPr>
      <t xml:space="preserve"> ONE
</t>
    </r>
    <r>
      <rPr>
        <sz val="9"/>
        <color indexed="8"/>
        <rFont val="Arial"/>
        <family val="2"/>
      </rPr>
      <t>of the 9 categories
based on print type
and level of difficulty.</t>
    </r>
  </si>
  <si>
    <r>
      <rPr>
        <b/>
        <sz val="10"/>
        <color indexed="8"/>
        <rFont val="Arial"/>
        <family val="2"/>
      </rPr>
      <t>1 Colour</t>
    </r>
  </si>
  <si>
    <r>
      <rPr>
        <b/>
        <sz val="10"/>
        <color indexed="8"/>
        <rFont val="Arial"/>
        <family val="2"/>
      </rPr>
      <t>1 Colour</t>
    </r>
    <r>
      <rPr>
        <sz val="10"/>
        <color indexed="8"/>
        <rFont val="Arial"/>
        <family val="2"/>
      </rPr>
      <t xml:space="preserve">
Continuous</t>
    </r>
  </si>
  <si>
    <r>
      <rPr>
        <b/>
        <sz val="10"/>
        <color indexed="8"/>
        <rFont val="Arial"/>
        <family val="2"/>
      </rPr>
      <t>Eyespot Trial or Dieline Drawing</t>
    </r>
  </si>
  <si>
    <r>
      <rPr>
        <b/>
        <sz val="10"/>
        <color indexed="8"/>
        <rFont val="Arial"/>
        <family val="2"/>
      </rPr>
      <t>Spot</t>
    </r>
    <r>
      <rPr>
        <sz val="10"/>
        <color indexed="8"/>
        <rFont val="Arial"/>
        <family val="2"/>
      </rPr>
      <t xml:space="preserve"> - Level 1</t>
    </r>
  </si>
  <si>
    <r>
      <rPr>
        <b/>
        <sz val="10"/>
        <color indexed="8"/>
        <rFont val="Arial"/>
        <family val="2"/>
      </rPr>
      <t>Spot</t>
    </r>
    <r>
      <rPr>
        <sz val="10"/>
        <color indexed="8"/>
        <rFont val="Arial"/>
        <family val="2"/>
      </rPr>
      <t xml:space="preserve"> - Level 2</t>
    </r>
  </si>
  <si>
    <r>
      <rPr>
        <b/>
        <sz val="10"/>
        <color indexed="8"/>
        <rFont val="Arial"/>
        <family val="2"/>
      </rPr>
      <t>Spot</t>
    </r>
    <r>
      <rPr>
        <sz val="10"/>
        <color indexed="8"/>
        <rFont val="Arial"/>
        <family val="2"/>
      </rPr>
      <t xml:space="preserve"> - Level 3</t>
    </r>
  </si>
  <si>
    <r>
      <rPr>
        <b/>
        <sz val="10"/>
        <color indexed="8"/>
        <rFont val="Arial"/>
        <family val="2"/>
      </rPr>
      <t>Process</t>
    </r>
    <r>
      <rPr>
        <sz val="10"/>
        <color indexed="8"/>
        <rFont val="Arial"/>
        <family val="2"/>
      </rPr>
      <t xml:space="preserve"> - Level 1</t>
    </r>
  </si>
  <si>
    <r>
      <rPr>
        <b/>
        <sz val="10"/>
        <color indexed="8"/>
        <rFont val="Arial"/>
        <family val="2"/>
      </rPr>
      <t>Process</t>
    </r>
    <r>
      <rPr>
        <sz val="10"/>
        <color indexed="8"/>
        <rFont val="Arial"/>
        <family val="2"/>
      </rPr>
      <t xml:space="preserve"> - Level 2</t>
    </r>
  </si>
  <si>
    <r>
      <rPr>
        <b/>
        <sz val="10"/>
        <color indexed="8"/>
        <rFont val="Arial"/>
        <family val="2"/>
      </rPr>
      <t>Process</t>
    </r>
    <r>
      <rPr>
        <sz val="10"/>
        <color indexed="8"/>
        <rFont val="Arial"/>
        <family val="2"/>
      </rPr>
      <t xml:space="preserve"> - Level 3</t>
    </r>
  </si>
  <si>
    <t>Common Elements?</t>
  </si>
  <si>
    <t>Description</t>
  </si>
  <si>
    <t>Cost Per Unit</t>
  </si>
  <si>
    <t>Amount</t>
  </si>
  <si>
    <t>Assessment(s)</t>
  </si>
  <si>
    <t>Assessment Proof(s)</t>
  </si>
  <si>
    <t>Preflight Time (PDF)</t>
  </si>
  <si>
    <t>Content Proof(s)</t>
  </si>
  <si>
    <t>Colour Correction Time</t>
  </si>
  <si>
    <t>Contract Proof(s)</t>
  </si>
  <si>
    <t>Trap Time</t>
  </si>
  <si>
    <t>Keys (Mylar/Paper)</t>
  </si>
  <si>
    <t>Step and Repeat Time</t>
  </si>
  <si>
    <t>Plates (sq inches)</t>
  </si>
  <si>
    <t>Total:</t>
  </si>
  <si>
    <t>Add Disclaimer</t>
  </si>
  <si>
    <t>Per Plate:</t>
  </si>
  <si>
    <r>
      <t xml:space="preserve">Close &amp; Invoice Cost to Date
</t>
    </r>
    <r>
      <rPr>
        <b/>
        <sz val="8.5"/>
        <color indexed="10"/>
        <rFont val="Arial"/>
        <family val="2"/>
      </rPr>
      <t>JOB CANCELLED</t>
    </r>
  </si>
  <si>
    <r>
      <t xml:space="preserve">Close &amp; Invoice
</t>
    </r>
    <r>
      <rPr>
        <b/>
        <sz val="8.5"/>
        <color indexed="10"/>
        <rFont val="Arial"/>
        <family val="2"/>
      </rPr>
      <t>QUOTED</t>
    </r>
  </si>
  <si>
    <t>COMMENTS:</t>
  </si>
  <si>
    <t>Price is subject to change if further changes to original instructions are required. This quote is valid for 30 days.</t>
  </si>
  <si>
    <t>GRAPHICS QUOTE</t>
  </si>
  <si>
    <t>Sales Rep. #:</t>
  </si>
  <si>
    <t>Design Description:</t>
  </si>
  <si>
    <t>Mac Time</t>
  </si>
  <si>
    <t>100% Proof(s)</t>
  </si>
  <si>
    <t>Key Overlays</t>
  </si>
  <si>
    <t>Plates</t>
  </si>
  <si>
    <t>Total # of Change-overs</t>
  </si>
  <si>
    <t>Comments:</t>
  </si>
  <si>
    <t>Price is subject to change if further changes to original
instructions are required. This quote is valid for 30 days.</t>
  </si>
  <si>
    <t>New File Assessment</t>
  </si>
  <si>
    <t>Original Date:</t>
  </si>
  <si>
    <t>Next Date:</t>
  </si>
  <si>
    <t>Item:</t>
  </si>
  <si>
    <t>Number of Items:</t>
  </si>
  <si>
    <t>Mac Operator:</t>
  </si>
  <si>
    <t>Image Size:</t>
  </si>
  <si>
    <t>Package Size(if given):</t>
  </si>
  <si>
    <t>Supplied Colours from Customer: #</t>
  </si>
  <si>
    <t>Files are Good to Go?</t>
  </si>
  <si>
    <t>WINDOW Shown?</t>
  </si>
  <si>
    <t>WHITE Shown?</t>
  </si>
  <si>
    <t>CLEAR Shown?</t>
  </si>
  <si>
    <t>ATTN Mac Operator:</t>
  </si>
  <si>
    <t xml:space="preserve"> </t>
  </si>
  <si>
    <t>ITEM NUMBER</t>
  </si>
  <si>
    <t>ROLLSTOCK</t>
  </si>
  <si>
    <t>SIZE</t>
  </si>
  <si>
    <t>MATERIAL</t>
  </si>
  <si>
    <t>USDA / EST#</t>
  </si>
  <si>
    <t>UPC #</t>
  </si>
  <si>
    <t>A.</t>
  </si>
  <si>
    <t>B.</t>
  </si>
  <si>
    <t>C.</t>
  </si>
  <si>
    <t>TOLERANCE</t>
  </si>
  <si>
    <t>OVER</t>
  </si>
  <si>
    <t>PRINT REPEATS OF</t>
  </si>
  <si>
    <t xml:space="preserve">REPEAT JOB </t>
  </si>
  <si>
    <t>NEW JOB</t>
  </si>
  <si>
    <t>REPEAT / CHANGE</t>
  </si>
  <si>
    <t>CHANGE TO:</t>
  </si>
  <si>
    <t>TEXT</t>
  </si>
  <si>
    <t>POSITION</t>
  </si>
  <si>
    <t>COLOUR</t>
  </si>
  <si>
    <t>IMAGE SIZE</t>
  </si>
  <si>
    <t>TEXT / IMAGE AS:</t>
  </si>
  <si>
    <t>PROOF</t>
  </si>
  <si>
    <t>COLOUR KEY</t>
  </si>
  <si>
    <t>PHOTOCOPY</t>
  </si>
  <si>
    <t>SAMPLE</t>
  </si>
  <si>
    <t>POSITION AS:</t>
  </si>
  <si>
    <t xml:space="preserve">LAY-OUT </t>
  </si>
  <si>
    <t>COLOUR AS:</t>
  </si>
  <si>
    <t>CONTRACT PROOF</t>
  </si>
  <si>
    <t>DRAWDOWNS</t>
  </si>
  <si>
    <t>SEQUENCE</t>
  </si>
  <si>
    <t>REF FILE</t>
  </si>
  <si>
    <t>INK COLOUR</t>
  </si>
  <si>
    <t>INK TYPE</t>
  </si>
  <si>
    <t>NOTES:</t>
  </si>
  <si>
    <t>* COMMON WITH</t>
  </si>
  <si>
    <t>CHECKED BY:</t>
  </si>
  <si>
    <t>DATE:</t>
  </si>
  <si>
    <t>WINPAK</t>
  </si>
  <si>
    <t>Approved by Jim Macklin - April 30/13</t>
  </si>
  <si>
    <t>MOUNTER INFORMATION</t>
  </si>
  <si>
    <t>PRINT</t>
  </si>
  <si>
    <t>PLAIN</t>
  </si>
  <si>
    <t>SLEEVE#</t>
  </si>
  <si>
    <t>CYLINDER</t>
  </si>
  <si>
    <t>WEB WIDTH</t>
  </si>
  <si>
    <t>A</t>
  </si>
  <si>
    <t>B</t>
  </si>
  <si>
    <t>C</t>
  </si>
  <si>
    <t>D</t>
  </si>
  <si>
    <t>DIGITAL</t>
  </si>
  <si>
    <t>#</t>
  </si>
  <si>
    <t>E</t>
  </si>
  <si>
    <t>F</t>
  </si>
  <si>
    <t>G</t>
  </si>
  <si>
    <t>H</t>
  </si>
  <si>
    <t>PRINT PLATES ACROSS / AROUND PER COLOUR</t>
  </si>
  <si>
    <t>EYE SPOTS
EDGE GUIDE 
COLOUR</t>
  </si>
  <si>
    <t>X</t>
  </si>
  <si>
    <t>EYESPOT SIZE</t>
  </si>
  <si>
    <t>EYE ACROSS =</t>
  </si>
  <si>
    <t>EACH WEB</t>
  </si>
  <si>
    <t xml:space="preserve">EYE AROUND - EVERY  </t>
  </si>
  <si>
    <t>PRINT REPEAT</t>
  </si>
  <si>
    <t>REMARKS:</t>
  </si>
  <si>
    <t>Built in guideline with 5+5 added</t>
  </si>
  <si>
    <t>Digital Plate Storage Sheet</t>
  </si>
  <si>
    <t xml:space="preserve">Dates Used </t>
  </si>
  <si>
    <t>Full Set Of Plates:</t>
  </si>
  <si>
    <t>Missing Plates:</t>
  </si>
  <si>
    <t>PRESS SPEC SHEET</t>
  </si>
  <si>
    <t>PC1</t>
  </si>
  <si>
    <t>PC2</t>
  </si>
  <si>
    <t>PC3</t>
  </si>
  <si>
    <t>PT1</t>
  </si>
  <si>
    <t>PW2</t>
  </si>
  <si>
    <t>PW3</t>
  </si>
  <si>
    <t>Material Description</t>
  </si>
  <si>
    <t>Date</t>
  </si>
  <si>
    <t>Operator</t>
  </si>
  <si>
    <t>M.O. Number</t>
  </si>
  <si>
    <t>Item Number</t>
  </si>
  <si>
    <t>Customer Number</t>
  </si>
  <si>
    <t>Deck</t>
  </si>
  <si>
    <t>Colour</t>
  </si>
  <si>
    <t>PMS #</t>
  </si>
  <si>
    <t>Density</t>
  </si>
  <si>
    <t>Viscosity</t>
  </si>
  <si>
    <t>Anilox#
Roller #</t>
  </si>
  <si>
    <t>Solvent</t>
  </si>
  <si>
    <t>Backing</t>
  </si>
  <si>
    <t>Ink 
Type</t>
  </si>
  <si>
    <t>Comments</t>
  </si>
  <si>
    <t>Sales Corrd:</t>
  </si>
  <si>
    <t>Bar Code</t>
  </si>
  <si>
    <t>Print Corrd:</t>
  </si>
  <si>
    <t>Print Type:</t>
  </si>
  <si>
    <t>ATTN PC Comments:</t>
  </si>
  <si>
    <t>PDF Supplied?</t>
  </si>
  <si>
    <t>Common colours?</t>
  </si>
  <si>
    <t>Roll-overs?</t>
  </si>
  <si>
    <t>File Cleanup</t>
  </si>
  <si>
    <t>MAC LEVEL:</t>
  </si>
  <si>
    <t>-</t>
  </si>
  <si>
    <t>Number of Plates Washed:</t>
  </si>
  <si>
    <t xml:space="preserve">Washed By: </t>
  </si>
  <si>
    <t>FILED BY SIGNATURE</t>
  </si>
  <si>
    <t>Location:</t>
  </si>
  <si>
    <t xml:space="preserve"> Date:</t>
  </si>
  <si>
    <t>Item Number:</t>
  </si>
  <si>
    <t>P.O. Number:</t>
  </si>
  <si>
    <t>One Up PDF</t>
  </si>
  <si>
    <t>S+R PDF</t>
  </si>
  <si>
    <t>Adriana Aramayo</t>
  </si>
  <si>
    <t>Leo Rios</t>
  </si>
  <si>
    <t>Angie Boyes</t>
  </si>
  <si>
    <t>Leona Robertson</t>
  </si>
  <si>
    <t>Anna Duffy</t>
  </si>
  <si>
    <t>Maria Rosales</t>
  </si>
  <si>
    <t>Charlene Osadchuk</t>
  </si>
  <si>
    <t>Maya Sampson</t>
  </si>
  <si>
    <t>Debbie Lesage</t>
  </si>
  <si>
    <t>Michelle Wilker</t>
  </si>
  <si>
    <t>Evelyn Beilman</t>
  </si>
  <si>
    <t>Michelle Rothery</t>
  </si>
  <si>
    <t>Holly Parker</t>
  </si>
  <si>
    <t>Ray Kazuk</t>
  </si>
  <si>
    <t>Shelly Brezinsky</t>
  </si>
  <si>
    <t>Jerilyn San Miguel</t>
  </si>
  <si>
    <t>Sheree Manchulenko</t>
  </si>
  <si>
    <t>Joanne Nisbet</t>
  </si>
  <si>
    <t>Tina Ray</t>
  </si>
  <si>
    <t xml:space="preserve">Kathy Lewis </t>
  </si>
  <si>
    <t>Travis Toderian</t>
  </si>
  <si>
    <t>Kim Bates</t>
  </si>
  <si>
    <t>Tracey Lee</t>
  </si>
  <si>
    <t>Ally Robertson</t>
  </si>
  <si>
    <t>Sandie Lukie</t>
  </si>
  <si>
    <t>Thaylin Ciupak</t>
  </si>
  <si>
    <t>Leann Chastko</t>
  </si>
  <si>
    <t>Steven Tang</t>
  </si>
  <si>
    <t>Branden Mandap</t>
  </si>
  <si>
    <t>Lynn Huzyk</t>
  </si>
  <si>
    <t>Isa Warren</t>
  </si>
  <si>
    <t>Jason Reid</t>
  </si>
  <si>
    <t>Victoria Haines</t>
  </si>
  <si>
    <t>Preet Bhamra</t>
  </si>
  <si>
    <t>Bruce Heywood</t>
  </si>
  <si>
    <t>\\W15LAN12\Graphics\1Customers\T\Tillamook\Tillamook_PO20626\working\Customer PDF_PO20626\18 Black Pepper Steak Cuts 3oz.pdf</t>
  </si>
  <si>
    <t>\\W15LAN12\Graphics\1Customers\T\Tillamook\Tillamook_PO20626\working\PO20626_Item 18\Normalized PDF\18 Black Pepper_SR_Dist.pdf</t>
  </si>
  <si>
    <t>180 - 12</t>
  </si>
  <si>
    <t>220 - 8.6</t>
  </si>
  <si>
    <t>300 - 6.5</t>
  </si>
  <si>
    <t>360 - 5.2</t>
  </si>
  <si>
    <t>400 - 4.4</t>
  </si>
  <si>
    <t>500 - 3.2</t>
  </si>
  <si>
    <t>600 - 2.8</t>
  </si>
  <si>
    <t>700 - 2</t>
  </si>
  <si>
    <t>800 - 1.8</t>
  </si>
  <si>
    <t>900 - 1.5</t>
  </si>
  <si>
    <t>1000 - 1.0</t>
  </si>
  <si>
    <t>Printing Sequence - Surface     Reverse</t>
  </si>
  <si>
    <t>Winpak Printing colours: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</si>
</sst>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9">
    <numFmt numFmtId="8" formatCode="&quot;$&quot;#,##0.00_);[Red]\(&quot;$&quot;#,##0.00\)"/>
    <numFmt numFmtId="44" formatCode="_(&quot;$&quot;* #,##0.00_);_(&quot;$&quot;* \(#,##0.00\);_(&quot;$&quot;* &quot;-&quot;??_);_(@_)"/>
    <numFmt numFmtId="164" formatCode="mmmm\ d\,\ yyyy"/>
    <numFmt numFmtId="165" formatCode="d\-mmm\-yyyy"/>
    <numFmt numFmtId="166" formatCode="0.000"/>
    <numFmt numFmtId="167" formatCode="[$-1009]mmmm\ d\,\ yyyy;@"/>
    <numFmt numFmtId="168" formatCode=";;;"/>
    <numFmt numFmtId="169" formatCode="[$-409]mmmm\ d\,\ yyyy;@"/>
    <numFmt numFmtId="170" formatCode="[$-1009]d/mmm/yy;@"/>
  </numFmts>
  <fonts count="108">
    <font>
      <sz val="10"/>
      <name val="Arial"/>
    </font>
    <font>
      <sz val="11"/>
      <color theme="1"/>
      <name val="Calibri"/>
      <family val="2"/>
      <scheme val="minor"/>
    </font>
    <font>
      <sz val="11"/>
      <color theme="1"/>
      <name val="Calibri"/>
      <family val="2"/>
      <scheme val="minor"/>
    </font>
    <font>
      <sz val="10"/>
      <name val="Arial"/>
      <family val="2"/>
    </font>
    <font>
      <sz val="12"/>
      <name val="Arial"/>
      <family val="2"/>
    </font>
    <font>
      <b/>
      <sz val="12"/>
      <name val="Arial"/>
      <family val="2"/>
    </font>
    <font>
      <sz val="8"/>
      <name val="Arial"/>
      <family val="2"/>
    </font>
    <font>
      <u/>
      <sz val="15"/>
      <color indexed="12"/>
      <name val="Arial"/>
      <family val="2"/>
    </font>
    <font>
      <b/>
      <sz val="10"/>
      <name val="Arial"/>
      <family val="2"/>
    </font>
    <font>
      <sz val="9"/>
      <name val="Arial"/>
      <family val="2"/>
    </font>
    <font>
      <b/>
      <sz val="10"/>
      <color indexed="9"/>
      <name val="Arial"/>
      <family val="2"/>
    </font>
    <font>
      <sz val="10"/>
      <color indexed="9"/>
      <name val="Arial"/>
      <family val="2"/>
    </font>
    <font>
      <b/>
      <sz val="11"/>
      <color indexed="9"/>
      <name val="Arial"/>
      <family val="2"/>
    </font>
    <font>
      <b/>
      <sz val="14"/>
      <name val="Arial"/>
      <family val="2"/>
    </font>
    <font>
      <b/>
      <sz val="9"/>
      <name val="Arial"/>
      <family val="2"/>
    </font>
    <font>
      <b/>
      <sz val="8"/>
      <name val="Arial"/>
      <family val="2"/>
    </font>
    <font>
      <sz val="10"/>
      <name val="Arial Black"/>
      <family val="2"/>
    </font>
    <font>
      <sz val="8"/>
      <name val="Verdana"/>
      <family val="2"/>
    </font>
    <font>
      <b/>
      <sz val="10"/>
      <name val="Arial"/>
      <family val="2"/>
    </font>
    <font>
      <b/>
      <sz val="14"/>
      <color indexed="13"/>
      <name val="Arial"/>
      <family val="2"/>
    </font>
    <font>
      <sz val="7.5"/>
      <name val="Arial"/>
      <family val="2"/>
    </font>
    <font>
      <b/>
      <sz val="14"/>
      <color indexed="43"/>
      <name val="Arial"/>
      <family val="2"/>
    </font>
    <font>
      <sz val="7.75"/>
      <name val="Arial"/>
      <family val="2"/>
    </font>
    <font>
      <b/>
      <u/>
      <sz val="8"/>
      <color indexed="24"/>
      <name val="Arial Bold"/>
    </font>
    <font>
      <i/>
      <sz val="9"/>
      <name val="Arial"/>
      <family val="2"/>
    </font>
    <font>
      <sz val="9.5"/>
      <name val="Arial Black"/>
      <family val="2"/>
    </font>
    <font>
      <sz val="12"/>
      <name val="Arial Black"/>
      <family val="2"/>
    </font>
    <font>
      <b/>
      <sz val="8.5"/>
      <name val="Arial"/>
      <family val="2"/>
    </font>
    <font>
      <b/>
      <sz val="7.5"/>
      <color rgb="FFFF0000"/>
      <name val="Arial"/>
      <family val="2"/>
    </font>
    <font>
      <sz val="8"/>
      <color rgb="FF000000"/>
      <name val="Tahoma"/>
      <family val="2"/>
    </font>
    <font>
      <sz val="10"/>
      <color rgb="FF000000"/>
      <name val="Geneva"/>
    </font>
    <font>
      <sz val="11"/>
      <color rgb="FFFF0000"/>
      <name val="Calibri"/>
      <family val="2"/>
      <scheme val="minor"/>
    </font>
    <font>
      <sz val="10"/>
      <color theme="1"/>
      <name val="Arial"/>
      <family val="2"/>
    </font>
    <font>
      <sz val="12"/>
      <color theme="1"/>
      <name val="Calibri"/>
      <family val="2"/>
      <scheme val="minor"/>
    </font>
    <font>
      <b/>
      <sz val="12"/>
      <color theme="1"/>
      <name val="Arial"/>
      <family val="2"/>
    </font>
    <font>
      <b/>
      <sz val="20"/>
      <color theme="1"/>
      <name val="Arial"/>
      <family val="2"/>
    </font>
    <font>
      <b/>
      <sz val="18"/>
      <color theme="1"/>
      <name val="Arial"/>
      <family val="2"/>
    </font>
    <font>
      <b/>
      <sz val="12"/>
      <color rgb="FFFF0000"/>
      <name val="Arial"/>
      <family val="2"/>
    </font>
    <font>
      <b/>
      <sz val="10"/>
      <color theme="1"/>
      <name val="Arial"/>
      <family val="2"/>
    </font>
    <font>
      <b/>
      <sz val="10"/>
      <color rgb="FFFF0000"/>
      <name val="Arial"/>
      <family val="2"/>
    </font>
    <font>
      <b/>
      <sz val="10"/>
      <color rgb="FF000000"/>
      <name val="Arial"/>
      <family val="2"/>
    </font>
    <font>
      <sz val="12"/>
      <name val="Calibri"/>
      <family val="2"/>
      <scheme val="minor"/>
    </font>
    <font>
      <b/>
      <sz val="9"/>
      <color theme="1"/>
      <name val="Arial"/>
      <family val="2"/>
    </font>
    <font>
      <sz val="9"/>
      <color theme="1"/>
      <name val="Arial"/>
      <family val="2"/>
    </font>
    <font>
      <b/>
      <sz val="8"/>
      <color theme="1"/>
      <name val="Arial"/>
      <family val="2"/>
    </font>
    <font>
      <b/>
      <sz val="8"/>
      <color indexed="8"/>
      <name val="Arial"/>
      <family val="2"/>
    </font>
    <font>
      <b/>
      <sz val="10"/>
      <color indexed="8"/>
      <name val="Arial"/>
      <family val="2"/>
    </font>
    <font>
      <b/>
      <sz val="12"/>
      <name val="Calibri"/>
      <family val="2"/>
      <scheme val="minor"/>
    </font>
    <font>
      <b/>
      <sz val="9"/>
      <color indexed="8"/>
      <name val="Arial"/>
      <family val="2"/>
    </font>
    <font>
      <sz val="11"/>
      <color theme="1"/>
      <name val="Arial"/>
      <family val="2"/>
    </font>
    <font>
      <sz val="9"/>
      <color indexed="8"/>
      <name val="Arial"/>
      <family val="2"/>
    </font>
    <font>
      <sz val="10"/>
      <color theme="1"/>
      <name val="Calibri"/>
      <family val="2"/>
      <scheme val="minor"/>
    </font>
    <font>
      <sz val="10"/>
      <color indexed="8"/>
      <name val="Arial"/>
      <family val="2"/>
    </font>
    <font>
      <b/>
      <sz val="12"/>
      <color rgb="FFFF0000"/>
      <name val="Calibri"/>
      <family val="2"/>
      <scheme val="minor"/>
    </font>
    <font>
      <sz val="10"/>
      <color rgb="FFFF0000"/>
      <name val="Arial"/>
      <family val="2"/>
    </font>
    <font>
      <b/>
      <sz val="12"/>
      <color theme="1"/>
      <name val="Calibri"/>
      <family val="2"/>
      <scheme val="minor"/>
    </font>
    <font>
      <b/>
      <sz val="8.5"/>
      <color theme="1"/>
      <name val="Arial"/>
      <family val="2"/>
    </font>
    <font>
      <b/>
      <sz val="8.5"/>
      <color indexed="10"/>
      <name val="Arial"/>
      <family val="2"/>
    </font>
    <font>
      <sz val="8.5"/>
      <color theme="1"/>
      <name val="Arial"/>
      <family val="2"/>
    </font>
    <font>
      <b/>
      <sz val="11"/>
      <color rgb="FFFF0000"/>
      <name val="Arial"/>
      <family val="2"/>
    </font>
    <font>
      <b/>
      <sz val="9"/>
      <color indexed="81"/>
      <name val="Calibri"/>
      <family val="2"/>
    </font>
    <font>
      <b/>
      <sz val="20"/>
      <color rgb="FF000000"/>
      <name val="Arial"/>
      <family val="2"/>
    </font>
    <font>
      <sz val="10"/>
      <color rgb="FF000000"/>
      <name val="Arial"/>
      <family val="2"/>
    </font>
    <font>
      <sz val="16"/>
      <name val="Arial Narrow"/>
      <family val="2"/>
    </font>
    <font>
      <b/>
      <sz val="24"/>
      <color theme="0"/>
      <name val="Arial Narrow"/>
      <family val="2"/>
    </font>
    <font>
      <b/>
      <sz val="16"/>
      <name val="Arial Narrow"/>
      <family val="2"/>
    </font>
    <font>
      <b/>
      <sz val="15"/>
      <name val="Arial Narrow"/>
      <family val="2"/>
    </font>
    <font>
      <b/>
      <sz val="14"/>
      <color theme="1"/>
      <name val="Times New Roman"/>
      <family val="1"/>
    </font>
    <font>
      <b/>
      <sz val="11"/>
      <color theme="1"/>
      <name val="Times New Roman"/>
      <family val="1"/>
    </font>
    <font>
      <b/>
      <sz val="36"/>
      <color theme="1"/>
      <name val="Times New Roman"/>
      <family val="1"/>
    </font>
    <font>
      <sz val="16"/>
      <color theme="1"/>
      <name val="Times New Roman"/>
      <family val="1"/>
    </font>
    <font>
      <b/>
      <sz val="28"/>
      <color theme="1"/>
      <name val="Times New Roman"/>
      <family val="1"/>
    </font>
    <font>
      <b/>
      <sz val="28"/>
      <color theme="0"/>
      <name val="Times New Roman"/>
      <family val="1"/>
    </font>
    <font>
      <sz val="14"/>
      <color theme="1"/>
      <name val="Times New Roman"/>
      <family val="1"/>
    </font>
    <font>
      <sz val="20"/>
      <color theme="1"/>
      <name val="Times New Roman"/>
      <family val="1"/>
    </font>
    <font>
      <b/>
      <sz val="16"/>
      <color theme="1"/>
      <name val="Times New Roman"/>
      <family val="1"/>
    </font>
    <font>
      <sz val="11"/>
      <color theme="1"/>
      <name val="Times New Roman"/>
      <family val="1"/>
    </font>
    <font>
      <b/>
      <sz val="72"/>
      <color theme="1"/>
      <name val="Times New Roman"/>
      <family val="1"/>
    </font>
    <font>
      <sz val="72"/>
      <color theme="1"/>
      <name val="Calibri"/>
      <family val="2"/>
      <scheme val="minor"/>
    </font>
    <font>
      <sz val="12"/>
      <color theme="1"/>
      <name val="Arial"/>
      <family val="2"/>
    </font>
    <font>
      <b/>
      <sz val="22"/>
      <color theme="1"/>
      <name val="Times New Roman"/>
      <family val="1"/>
    </font>
    <font>
      <b/>
      <sz val="9"/>
      <color theme="1"/>
      <name val="Times New Roman"/>
      <family val="1"/>
    </font>
    <font>
      <sz val="18"/>
      <color theme="1"/>
      <name val="Times New Roman"/>
      <family val="1"/>
    </font>
    <font>
      <sz val="9"/>
      <color theme="1"/>
      <name val="Times New Roman"/>
      <family val="1"/>
    </font>
    <font>
      <b/>
      <sz val="11"/>
      <name val="Times New Roman"/>
      <family val="1"/>
    </font>
    <font>
      <b/>
      <sz val="10"/>
      <color theme="1"/>
      <name val="Times New Roman"/>
      <family val="1"/>
    </font>
    <font>
      <b/>
      <sz val="20"/>
      <color theme="1"/>
      <name val="Times New Roman"/>
      <family val="1"/>
    </font>
    <font>
      <sz val="10"/>
      <color theme="1"/>
      <name val="Times New Roman"/>
      <family val="1"/>
    </font>
    <font>
      <sz val="24"/>
      <name val="Arial"/>
      <family val="2"/>
    </font>
    <font>
      <sz val="22"/>
      <name val="Arial"/>
      <family val="2"/>
    </font>
    <font>
      <b/>
      <sz val="26"/>
      <name val="Arial"/>
      <family val="2"/>
    </font>
    <font>
      <b/>
      <sz val="18"/>
      <color indexed="10"/>
      <name val="Arial"/>
      <family val="2"/>
    </font>
    <font>
      <b/>
      <sz val="18"/>
      <name val="Arial"/>
      <family val="2"/>
    </font>
    <font>
      <sz val="10"/>
      <name val="Tahoma"/>
      <family val="2"/>
    </font>
    <font>
      <sz val="14"/>
      <name val="Tahoma"/>
      <family val="2"/>
    </font>
    <font>
      <sz val="18"/>
      <name val="Tahoma"/>
      <family val="2"/>
    </font>
    <font>
      <b/>
      <sz val="16"/>
      <color theme="0"/>
      <name val="Arial Narrow"/>
      <family val="2"/>
    </font>
    <font>
      <b/>
      <sz val="12"/>
      <name val="Arial Narrow"/>
      <family val="2"/>
    </font>
    <font>
      <b/>
      <sz val="11"/>
      <name val="Arial Narrow"/>
      <family val="2"/>
    </font>
    <font>
      <sz val="12"/>
      <name val="Arial Narrow"/>
      <family val="2"/>
    </font>
    <font>
      <sz val="14"/>
      <name val="Arial"/>
      <family val="2"/>
    </font>
    <font>
      <sz val="18"/>
      <name val="Arial"/>
      <family val="2"/>
    </font>
    <font>
      <sz val="10"/>
      <name val="Times New Roman"/>
      <family val="1"/>
    </font>
    <font>
      <sz val="11"/>
      <color rgb="FF000000"/>
      <name val="Calibri"/>
      <family val="2"/>
    </font>
    <font>
      <sz val="11"/>
      <color rgb="FF1F497D"/>
      <name val="Calibri"/>
      <family val="2"/>
    </font>
    <font>
      <sz val="12"/>
      <name val="Calibri"/>
      <family val="2"/>
    </font>
    <font>
      <sz val="12"/>
      <color rgb="FF000000"/>
      <name val="Calibri"/>
      <family val="2"/>
    </font>
    <font>
      <b/>
      <sz val="18"/>
      <color theme="1"/>
      <name val="Times New Roman"/>
      <family val="1"/>
    </font>
  </fonts>
  <fills count="26">
    <fill>
      <patternFill patternType="none"/>
    </fill>
    <fill>
      <patternFill patternType="gray125"/>
    </fill>
    <fill>
      <patternFill patternType="solid">
        <fgColor indexed="8"/>
        <bgColor indexed="64"/>
      </patternFill>
    </fill>
    <fill>
      <patternFill patternType="solid">
        <fgColor indexed="9"/>
        <bgColor indexed="64"/>
      </patternFill>
    </fill>
    <fill>
      <patternFill patternType="solid">
        <fgColor indexed="27"/>
        <bgColor indexed="64"/>
      </patternFill>
    </fill>
    <fill>
      <patternFill patternType="solid">
        <fgColor indexed="24"/>
        <bgColor indexed="64"/>
      </patternFill>
    </fill>
    <fill>
      <patternFill patternType="solid">
        <fgColor indexed="43"/>
        <bgColor indexed="64"/>
      </patternFill>
    </fill>
    <fill>
      <patternFill patternType="solid">
        <fgColor indexed="13"/>
        <bgColor indexed="64"/>
      </patternFill>
    </fill>
    <fill>
      <patternFill patternType="solid">
        <fgColor theme="8" tint="0.59999389629810485"/>
        <bgColor indexed="64"/>
      </patternFill>
    </fill>
    <fill>
      <patternFill patternType="solid">
        <fgColor rgb="FFFFFF00"/>
        <bgColor indexed="64"/>
      </patternFill>
    </fill>
    <fill>
      <patternFill patternType="solid">
        <fgColor indexed="65"/>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8" tint="0.39997558519241921"/>
        <bgColor indexed="64"/>
      </patternFill>
    </fill>
    <fill>
      <patternFill patternType="solid">
        <fgColor rgb="FFD9D9D9"/>
        <bgColor rgb="FF000000"/>
      </patternFill>
    </fill>
    <fill>
      <patternFill patternType="solid">
        <fgColor rgb="FFFFF25A"/>
        <bgColor indexed="64"/>
      </patternFill>
    </fill>
    <fill>
      <patternFill patternType="solid">
        <fgColor indexed="65"/>
        <bgColor theme="0"/>
      </patternFill>
    </fill>
    <fill>
      <patternFill patternType="solid">
        <fgColor theme="0" tint="-4.9989318521683403E-2"/>
        <bgColor theme="0"/>
      </patternFill>
    </fill>
    <fill>
      <patternFill patternType="solid">
        <fgColor indexed="65"/>
        <bgColor rgb="FF000000"/>
      </patternFill>
    </fill>
    <fill>
      <patternFill patternType="solid">
        <fgColor rgb="FFBCD9DE"/>
        <bgColor rgb="FF000000"/>
      </patternFill>
    </fill>
    <fill>
      <patternFill patternType="solid">
        <fgColor rgb="FFDDECEE"/>
        <bgColor rgb="FF000000"/>
      </patternFill>
    </fill>
    <fill>
      <patternFill patternType="solid">
        <fgColor theme="4" tint="0.79998168889431442"/>
        <bgColor theme="0"/>
      </patternFill>
    </fill>
    <fill>
      <patternFill patternType="solid">
        <fgColor rgb="FFFF0000"/>
        <bgColor indexed="64"/>
      </patternFill>
    </fill>
    <fill>
      <patternFill patternType="solid">
        <fgColor theme="1"/>
        <bgColor indexed="64"/>
      </patternFill>
    </fill>
    <fill>
      <patternFill patternType="solid">
        <fgColor theme="0"/>
        <bgColor indexed="64"/>
      </patternFill>
    </fill>
  </fills>
  <borders count="79">
    <border>
      <left/>
      <right/>
      <top/>
      <bottom/>
      <diagonal/>
    </border>
    <border>
      <left style="thin">
        <color indexed="55"/>
      </left>
      <right/>
      <top style="thin">
        <color indexed="55"/>
      </top>
      <bottom style="thin">
        <color indexed="55"/>
      </bottom>
      <diagonal/>
    </border>
    <border>
      <left style="thin">
        <color indexed="55"/>
      </left>
      <right/>
      <top/>
      <bottom/>
      <diagonal/>
    </border>
    <border>
      <left style="thin">
        <color indexed="55"/>
      </left>
      <right style="thin">
        <color indexed="55"/>
      </right>
      <top/>
      <bottom/>
      <diagonal/>
    </border>
    <border>
      <left style="thin">
        <color indexed="55"/>
      </left>
      <right style="thin">
        <color indexed="55"/>
      </right>
      <top style="thin">
        <color indexed="55"/>
      </top>
      <bottom style="thin">
        <color indexed="55"/>
      </bottom>
      <diagonal/>
    </border>
    <border>
      <left/>
      <right/>
      <top style="thin">
        <color indexed="55"/>
      </top>
      <bottom style="thin">
        <color indexed="55"/>
      </bottom>
      <diagonal/>
    </border>
    <border>
      <left/>
      <right/>
      <top/>
      <bottom style="thin">
        <color indexed="55"/>
      </bottom>
      <diagonal/>
    </border>
    <border>
      <left/>
      <right/>
      <top style="thin">
        <color indexed="55"/>
      </top>
      <bottom/>
      <diagonal/>
    </border>
    <border>
      <left/>
      <right style="thin">
        <color indexed="55"/>
      </right>
      <top/>
      <bottom/>
      <diagonal/>
    </border>
    <border>
      <left/>
      <right/>
      <top style="dotted">
        <color indexed="55"/>
      </top>
      <bottom/>
      <diagonal/>
    </border>
    <border>
      <left/>
      <right/>
      <top style="dotted">
        <color indexed="22"/>
      </top>
      <bottom style="dotted">
        <color indexed="22"/>
      </bottom>
      <diagonal/>
    </border>
    <border>
      <left/>
      <right/>
      <top/>
      <bottom style="dotted">
        <color indexed="22"/>
      </bottom>
      <diagonal/>
    </border>
    <border>
      <left style="thin">
        <color indexed="55"/>
      </left>
      <right style="thin">
        <color indexed="55"/>
      </right>
      <top style="thin">
        <color indexed="55"/>
      </top>
      <bottom/>
      <diagonal/>
    </border>
    <border>
      <left style="thin">
        <color indexed="64"/>
      </left>
      <right style="thin">
        <color indexed="64"/>
      </right>
      <top style="thin">
        <color indexed="64"/>
      </top>
      <bottom style="thin">
        <color indexed="64"/>
      </bottom>
      <diagonal/>
    </border>
    <border>
      <left/>
      <right style="thin">
        <color indexed="55"/>
      </right>
      <top style="thin">
        <color indexed="55"/>
      </top>
      <bottom style="thin">
        <color indexed="55"/>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top style="dotted">
        <color indexed="22"/>
      </top>
      <bottom/>
      <diagonal/>
    </border>
    <border>
      <left style="thin">
        <color indexed="55"/>
      </left>
      <right style="thin">
        <color indexed="55"/>
      </right>
      <top/>
      <bottom style="thin">
        <color indexed="55"/>
      </bottom>
      <diagonal/>
    </border>
    <border>
      <left style="thin">
        <color indexed="55"/>
      </left>
      <right/>
      <top/>
      <bottom style="thin">
        <color indexed="55"/>
      </bottom>
      <diagonal/>
    </border>
    <border>
      <left/>
      <right style="thin">
        <color indexed="55"/>
      </right>
      <top/>
      <bottom style="thin">
        <color indexed="55"/>
      </bottom>
      <diagonal/>
    </border>
    <border>
      <left style="thin">
        <color indexed="55"/>
      </left>
      <right/>
      <top style="thin">
        <color indexed="55"/>
      </top>
      <bottom/>
      <diagonal/>
    </border>
    <border>
      <left/>
      <right style="thin">
        <color indexed="55"/>
      </right>
      <top style="thin">
        <color indexed="55"/>
      </top>
      <bottom/>
      <diagonal/>
    </border>
    <border>
      <left/>
      <right style="medium">
        <color indexed="64"/>
      </right>
      <top style="medium">
        <color indexed="64"/>
      </top>
      <bottom style="medium">
        <color indexed="64"/>
      </bottom>
      <diagonal/>
    </border>
    <border>
      <left style="thin">
        <color theme="8" tint="-0.249977111117893"/>
      </left>
      <right/>
      <top style="thin">
        <color theme="8" tint="-0.249977111117893"/>
      </top>
      <bottom style="thin">
        <color theme="8" tint="-0.249977111117893"/>
      </bottom>
      <diagonal/>
    </border>
    <border>
      <left/>
      <right style="thin">
        <color theme="8" tint="-0.249977111117893"/>
      </right>
      <top style="thin">
        <color theme="8" tint="-0.249977111117893"/>
      </top>
      <bottom style="thin">
        <color theme="8" tint="-0.249977111117893"/>
      </bottom>
      <diagonal/>
    </border>
    <border>
      <left style="thin">
        <color theme="8" tint="-0.249977111117893"/>
      </left>
      <right/>
      <top/>
      <bottom/>
      <diagonal/>
    </border>
    <border>
      <left/>
      <right/>
      <top style="thin">
        <color theme="8" tint="-0.249977111117893"/>
      </top>
      <bottom style="thin">
        <color theme="8" tint="-0.249977111117893"/>
      </bottom>
      <diagonal/>
    </border>
    <border>
      <left/>
      <right/>
      <top/>
      <bottom style="medium">
        <color theme="8" tint="-0.249977111117893"/>
      </bottom>
      <diagonal/>
    </border>
    <border>
      <left/>
      <right/>
      <top style="medium">
        <color theme="8" tint="-0.249977111117893"/>
      </top>
      <bottom style="thin">
        <color theme="8" tint="-0.249977111117893"/>
      </bottom>
      <diagonal/>
    </border>
    <border>
      <left/>
      <right/>
      <top style="thin">
        <color theme="8" tint="-0.249977111117893"/>
      </top>
      <bottom/>
      <diagonal/>
    </border>
    <border>
      <left/>
      <right/>
      <top style="thin">
        <color theme="8" tint="-0.249977111117893"/>
      </top>
      <bottom style="medium">
        <color theme="8" tint="-0.249977111117893"/>
      </bottom>
      <diagonal/>
    </border>
    <border>
      <left style="thin">
        <color theme="8" tint="-0.249977111117893"/>
      </left>
      <right style="thin">
        <color theme="8" tint="-0.249977111117893"/>
      </right>
      <top style="thin">
        <color theme="8" tint="-0.249977111117893"/>
      </top>
      <bottom style="thin">
        <color theme="8" tint="-0.249977111117893"/>
      </bottom>
      <diagonal/>
    </border>
    <border>
      <left/>
      <right/>
      <top style="medium">
        <color theme="8" tint="-0.249977111117893"/>
      </top>
      <bottom style="medium">
        <color theme="8" tint="-0.249977111117893"/>
      </bottom>
      <diagonal/>
    </border>
    <border>
      <left/>
      <right/>
      <top style="medium">
        <color theme="8" tint="-0.249977111117893"/>
      </top>
      <bottom/>
      <diagonal/>
    </border>
    <border>
      <left/>
      <right style="thin">
        <color theme="8" tint="-0.249977111117893"/>
      </right>
      <top style="medium">
        <color theme="8" tint="-0.249977111117893"/>
      </top>
      <bottom style="thin">
        <color theme="8" tint="-0.249977111117893"/>
      </bottom>
      <diagonal/>
    </border>
    <border>
      <left style="thin">
        <color theme="8" tint="-0.249977111117893"/>
      </left>
      <right style="thin">
        <color theme="8" tint="-0.249977111117893"/>
      </right>
      <top style="medium">
        <color theme="8" tint="-0.249977111117893"/>
      </top>
      <bottom style="thin">
        <color theme="8" tint="-0.249977111117893"/>
      </bottom>
      <diagonal/>
    </border>
    <border>
      <left style="thin">
        <color theme="8" tint="-0.249977111117893"/>
      </left>
      <right/>
      <top style="medium">
        <color theme="8" tint="-0.249977111117893"/>
      </top>
      <bottom style="thin">
        <color theme="8" tint="-0.249977111117893"/>
      </bottom>
      <diagonal/>
    </border>
    <border>
      <left/>
      <right style="thin">
        <color theme="8" tint="-0.249977111117893"/>
      </right>
      <top style="thin">
        <color theme="8" tint="-0.249977111117893"/>
      </top>
      <bottom style="medium">
        <color theme="8" tint="-0.249977111117893"/>
      </bottom>
      <diagonal/>
    </border>
    <border>
      <left style="thin">
        <color theme="8" tint="-0.249977111117893"/>
      </left>
      <right style="thin">
        <color theme="8" tint="-0.249977111117893"/>
      </right>
      <top style="thin">
        <color theme="8" tint="-0.249977111117893"/>
      </top>
      <bottom style="medium">
        <color theme="8" tint="-0.249977111117893"/>
      </bottom>
      <diagonal/>
    </border>
    <border>
      <left style="thin">
        <color theme="8" tint="-0.249977111117893"/>
      </left>
      <right/>
      <top style="thin">
        <color theme="8" tint="-0.249977111117893"/>
      </top>
      <bottom style="medium">
        <color theme="8" tint="-0.249977111117893"/>
      </bottom>
      <diagonal/>
    </border>
    <border>
      <left style="thin">
        <color theme="8" tint="-0.249977111117893"/>
      </left>
      <right style="thin">
        <color theme="8" tint="-0.249977111117893"/>
      </right>
      <top style="medium">
        <color theme="8" tint="-0.249977111117893"/>
      </top>
      <bottom style="medium">
        <color theme="8" tint="-0.249977111117893"/>
      </bottom>
      <diagonal/>
    </border>
    <border>
      <left/>
      <right/>
      <top/>
      <bottom style="thin">
        <color theme="8" tint="-0.249977111117893"/>
      </bottom>
      <diagonal/>
    </border>
    <border>
      <left style="thin">
        <color theme="8" tint="-0.249977111117893"/>
      </left>
      <right style="thin">
        <color theme="8" tint="-0.249977111117893"/>
      </right>
      <top/>
      <bottom style="thin">
        <color theme="8" tint="-0.249977111117893"/>
      </bottom>
      <diagonal/>
    </border>
    <border>
      <left style="thin">
        <color theme="8" tint="-0.249977111117893"/>
      </left>
      <right style="thin">
        <color theme="8" tint="-0.249977111117893"/>
      </right>
      <top style="thin">
        <color theme="8" tint="-0.249977111117893"/>
      </top>
      <bottom/>
      <diagonal/>
    </border>
    <border>
      <left/>
      <right style="thin">
        <color theme="8" tint="-0.249977111117893"/>
      </right>
      <top style="thin">
        <color theme="8" tint="-0.249977111117893"/>
      </top>
      <bottom/>
      <diagonal/>
    </border>
    <border>
      <left/>
      <right style="thin">
        <color theme="8" tint="-0.249977111117893"/>
      </right>
      <top/>
      <bottom style="thin">
        <color theme="8" tint="-0.249977111117893"/>
      </bottom>
      <diagonal/>
    </border>
    <border>
      <left/>
      <right style="thin">
        <color theme="8" tint="-0.249977111117893"/>
      </right>
      <top/>
      <bottom style="medium">
        <color theme="8" tint="-0.249977111117893"/>
      </bottom>
      <diagonal/>
    </border>
    <border>
      <left style="thin">
        <color theme="8" tint="-0.249977111117893"/>
      </left>
      <right style="thin">
        <color theme="8" tint="-0.249977111117893"/>
      </right>
      <top/>
      <bottom style="medium">
        <color theme="8" tint="-0.249977111117893"/>
      </bottom>
      <diagonal/>
    </border>
    <border>
      <left/>
      <right/>
      <top style="medium">
        <color rgb="FF417A85"/>
      </top>
      <bottom style="medium">
        <color rgb="FF417A85"/>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5">
    <xf numFmtId="0" fontId="0" fillId="0" borderId="0"/>
    <xf numFmtId="0" fontId="7" fillId="0" borderId="0" applyNumberFormat="0" applyFill="0" applyBorder="0" applyAlignment="0" applyProtection="0">
      <alignment vertical="top"/>
      <protection locked="0"/>
    </xf>
    <xf numFmtId="0" fontId="33" fillId="0" borderId="0"/>
    <xf numFmtId="0" fontId="3" fillId="0" borderId="0"/>
    <xf numFmtId="0" fontId="2" fillId="0" borderId="0"/>
  </cellStyleXfs>
  <cellXfs count="936">
    <xf numFmtId="0" fontId="0" fillId="0" borderId="0" xfId="0"/>
    <xf numFmtId="0" fontId="5" fillId="0" borderId="0" xfId="0" applyFont="1"/>
    <xf numFmtId="0" fontId="4" fillId="0" borderId="0" xfId="0" applyFont="1"/>
    <xf numFmtId="0" fontId="12" fillId="2" borderId="0" xfId="0" applyFont="1" applyFill="1" applyAlignment="1" applyProtection="1">
      <alignment vertical="center"/>
    </xf>
    <xf numFmtId="0" fontId="10" fillId="2" borderId="0" xfId="0" applyFont="1" applyFill="1" applyAlignment="1" applyProtection="1">
      <alignment vertical="center"/>
    </xf>
    <xf numFmtId="0" fontId="8" fillId="0" borderId="0" xfId="0" applyFont="1" applyAlignment="1" applyProtection="1">
      <alignment vertical="center"/>
    </xf>
    <xf numFmtId="0" fontId="0" fillId="0" borderId="0" xfId="0" applyAlignment="1" applyProtection="1">
      <alignment vertical="center"/>
    </xf>
    <xf numFmtId="0" fontId="0" fillId="0" borderId="0" xfId="0" applyFill="1" applyBorder="1" applyAlignment="1" applyProtection="1">
      <alignment vertical="center"/>
    </xf>
    <xf numFmtId="0" fontId="11" fillId="2" borderId="0" xfId="0" applyFont="1" applyFill="1" applyAlignment="1" applyProtection="1">
      <alignment vertical="center"/>
    </xf>
    <xf numFmtId="0" fontId="0" fillId="0" borderId="0" xfId="0" applyFill="1" applyBorder="1" applyAlignment="1" applyProtection="1">
      <alignment horizontal="left" vertical="center"/>
    </xf>
    <xf numFmtId="0" fontId="9" fillId="0" borderId="0" xfId="0" applyFont="1"/>
    <xf numFmtId="0" fontId="0" fillId="3" borderId="0" xfId="0" applyFill="1" applyAlignment="1" applyProtection="1">
      <alignment vertical="center"/>
    </xf>
    <xf numFmtId="0" fontId="9" fillId="3" borderId="0" xfId="0" applyFont="1" applyFill="1" applyAlignment="1" applyProtection="1">
      <alignment vertical="center"/>
    </xf>
    <xf numFmtId="0" fontId="9" fillId="3" borderId="0" xfId="0" applyFont="1" applyFill="1" applyBorder="1" applyAlignment="1" applyProtection="1">
      <alignment vertical="center"/>
    </xf>
    <xf numFmtId="0" fontId="9" fillId="0" borderId="0" xfId="0" applyFont="1" applyFill="1" applyBorder="1" applyAlignment="1" applyProtection="1">
      <alignment vertical="center"/>
    </xf>
    <xf numFmtId="0" fontId="9" fillId="0" borderId="0" xfId="0" applyFont="1" applyAlignment="1" applyProtection="1">
      <alignment vertical="center"/>
    </xf>
    <xf numFmtId="0" fontId="9" fillId="0" borderId="0" xfId="0" applyFont="1" applyFill="1" applyAlignment="1" applyProtection="1">
      <alignment vertical="center"/>
    </xf>
    <xf numFmtId="0" fontId="10" fillId="0" borderId="0" xfId="0" applyFont="1" applyFill="1" applyBorder="1" applyAlignment="1" applyProtection="1">
      <alignment horizontal="center" vertical="center"/>
    </xf>
    <xf numFmtId="0" fontId="0" fillId="2" borderId="0" xfId="0" applyFill="1" applyAlignment="1" applyProtection="1">
      <alignment vertical="center"/>
    </xf>
    <xf numFmtId="0" fontId="0" fillId="0" borderId="0" xfId="0" applyFill="1" applyAlignment="1" applyProtection="1">
      <alignment vertical="center"/>
    </xf>
    <xf numFmtId="0" fontId="8" fillId="0" borderId="0" xfId="0" applyFont="1" applyFill="1" applyBorder="1" applyAlignment="1" applyProtection="1">
      <alignment vertical="center"/>
    </xf>
    <xf numFmtId="0" fontId="6" fillId="0" borderId="1" xfId="0" applyFont="1" applyBorder="1" applyAlignment="1" applyProtection="1">
      <alignment vertical="center" wrapText="1"/>
    </xf>
    <xf numFmtId="0" fontId="6" fillId="0" borderId="1" xfId="0" applyFont="1" applyBorder="1" applyAlignment="1" applyProtection="1">
      <alignment vertical="center"/>
    </xf>
    <xf numFmtId="0" fontId="6" fillId="3" borderId="1" xfId="0" applyFont="1" applyFill="1" applyBorder="1" applyAlignment="1" applyProtection="1">
      <alignment vertical="center"/>
    </xf>
    <xf numFmtId="0" fontId="6" fillId="0" borderId="0" xfId="0" applyFont="1" applyAlignment="1" applyProtection="1">
      <alignment vertical="center"/>
    </xf>
    <xf numFmtId="0" fontId="6" fillId="0" borderId="1" xfId="0" applyFont="1" applyBorder="1" applyAlignment="1" applyProtection="1">
      <alignment horizontal="left" vertical="center"/>
    </xf>
    <xf numFmtId="0" fontId="6" fillId="0" borderId="0" xfId="0" applyFont="1" applyFill="1" applyBorder="1" applyAlignment="1" applyProtection="1">
      <alignment vertical="center"/>
    </xf>
    <xf numFmtId="0" fontId="6" fillId="3" borderId="0" xfId="0" applyFont="1" applyFill="1" applyAlignment="1" applyProtection="1">
      <alignment vertical="center"/>
    </xf>
    <xf numFmtId="0" fontId="6" fillId="3" borderId="1" xfId="0" applyFont="1" applyFill="1" applyBorder="1" applyAlignment="1" applyProtection="1">
      <alignment vertical="center" wrapText="1"/>
    </xf>
    <xf numFmtId="0" fontId="6" fillId="3" borderId="0" xfId="0" applyFont="1" applyFill="1" applyBorder="1" applyAlignment="1" applyProtection="1">
      <alignment vertical="center"/>
    </xf>
    <xf numFmtId="0" fontId="6" fillId="0" borderId="0" xfId="0" applyFont="1" applyBorder="1" applyAlignment="1" applyProtection="1">
      <alignment vertical="center"/>
    </xf>
    <xf numFmtId="0" fontId="14" fillId="0" borderId="0" xfId="0" applyFont="1" applyAlignment="1" applyProtection="1">
      <alignment vertical="center"/>
    </xf>
    <xf numFmtId="0" fontId="6" fillId="0" borderId="0" xfId="0" applyFont="1" applyFill="1" applyBorder="1" applyAlignment="1" applyProtection="1">
      <alignment vertical="center" wrapText="1"/>
    </xf>
    <xf numFmtId="15" fontId="14" fillId="0" borderId="2" xfId="0" applyNumberFormat="1" applyFont="1" applyFill="1" applyBorder="1" applyAlignment="1" applyProtection="1">
      <alignment horizontal="left" vertical="center"/>
    </xf>
    <xf numFmtId="0" fontId="14" fillId="0" borderId="0" xfId="0" applyFont="1" applyFill="1" applyBorder="1" applyAlignment="1" applyProtection="1">
      <alignment horizontal="left" vertical="center" shrinkToFit="1"/>
    </xf>
    <xf numFmtId="1" fontId="14" fillId="0" borderId="0" xfId="0" applyNumberFormat="1" applyFont="1" applyFill="1" applyBorder="1" applyAlignment="1" applyProtection="1">
      <alignment horizontal="left" vertical="center"/>
    </xf>
    <xf numFmtId="0" fontId="15" fillId="0" borderId="3" xfId="0" applyFont="1" applyFill="1" applyBorder="1" applyAlignment="1" applyProtection="1">
      <alignment horizontal="left" vertical="center" shrinkToFit="1"/>
    </xf>
    <xf numFmtId="0" fontId="13" fillId="3" borderId="1" xfId="0" applyFont="1" applyFill="1" applyBorder="1" applyAlignment="1" applyProtection="1">
      <alignment vertical="center"/>
    </xf>
    <xf numFmtId="0" fontId="15" fillId="0" borderId="0" xfId="0" applyFont="1" applyFill="1" applyBorder="1" applyAlignment="1" applyProtection="1">
      <alignment horizontal="left" vertical="center" shrinkToFit="1"/>
    </xf>
    <xf numFmtId="0" fontId="8" fillId="0" borderId="0" xfId="0" applyFont="1" applyFill="1" applyBorder="1" applyAlignment="1" applyProtection="1">
      <alignment horizontal="left" vertical="center" shrinkToFit="1"/>
    </xf>
    <xf numFmtId="0" fontId="6" fillId="0" borderId="4" xfId="0" applyFont="1" applyFill="1" applyBorder="1" applyAlignment="1" applyProtection="1">
      <alignment horizontal="left" vertical="top" shrinkToFit="1"/>
    </xf>
    <xf numFmtId="0" fontId="8" fillId="0" borderId="5" xfId="0" applyNumberFormat="1" applyFont="1" applyFill="1" applyBorder="1" applyAlignment="1" applyProtection="1">
      <alignment horizontal="left" vertical="center" shrinkToFit="1"/>
    </xf>
    <xf numFmtId="0" fontId="8" fillId="0" borderId="0" xfId="0" applyNumberFormat="1" applyFont="1" applyFill="1" applyBorder="1" applyAlignment="1" applyProtection="1">
      <alignment horizontal="left" vertical="center" shrinkToFit="1"/>
    </xf>
    <xf numFmtId="0" fontId="15" fillId="0" borderId="2" xfId="0" applyNumberFormat="1" applyFont="1" applyFill="1" applyBorder="1" applyAlignment="1" applyProtection="1">
      <alignment horizontal="left" vertical="center" shrinkToFit="1"/>
    </xf>
    <xf numFmtId="0" fontId="15" fillId="0" borderId="0" xfId="0" applyNumberFormat="1" applyFont="1" applyFill="1" applyBorder="1" applyAlignment="1" applyProtection="1">
      <alignment horizontal="left" vertical="center" shrinkToFit="1"/>
    </xf>
    <xf numFmtId="0" fontId="0" fillId="0" borderId="0" xfId="0" applyNumberFormat="1" applyFill="1" applyBorder="1" applyAlignment="1" applyProtection="1">
      <alignment vertical="center"/>
    </xf>
    <xf numFmtId="0" fontId="14" fillId="0" borderId="0" xfId="0" applyFont="1" applyFill="1" applyBorder="1" applyAlignment="1" applyProtection="1">
      <alignment horizontal="center" vertical="center" textRotation="90"/>
    </xf>
    <xf numFmtId="0" fontId="8" fillId="0" borderId="0" xfId="0" applyFont="1" applyFill="1" applyBorder="1" applyAlignment="1" applyProtection="1">
      <alignment horizontal="left" vertical="center"/>
    </xf>
    <xf numFmtId="0" fontId="6" fillId="0" borderId="0" xfId="0" applyFont="1" applyFill="1" applyBorder="1" applyAlignment="1" applyProtection="1">
      <alignment horizontal="left" vertical="top" shrinkToFit="1"/>
    </xf>
    <xf numFmtId="0" fontId="6" fillId="0" borderId="0" xfId="0" applyFont="1" applyFill="1" applyBorder="1" applyAlignment="1" applyProtection="1">
      <alignment horizontal="left" vertical="top" wrapText="1" shrinkToFit="1"/>
    </xf>
    <xf numFmtId="0" fontId="6" fillId="0" borderId="1" xfId="0" applyFont="1" applyFill="1" applyBorder="1" applyAlignment="1" applyProtection="1">
      <alignment vertical="center"/>
    </xf>
    <xf numFmtId="0" fontId="8" fillId="0" borderId="0" xfId="0" applyFont="1" applyFill="1" applyBorder="1" applyAlignment="1" applyProtection="1">
      <alignment horizontal="left" vertical="center"/>
      <protection locked="0"/>
    </xf>
    <xf numFmtId="0" fontId="6" fillId="0" borderId="1" xfId="0" applyFont="1" applyFill="1" applyBorder="1" applyAlignment="1" applyProtection="1">
      <alignment vertical="center" wrapText="1"/>
    </xf>
    <xf numFmtId="0" fontId="6" fillId="0" borderId="6" xfId="0" applyFont="1" applyFill="1" applyBorder="1" applyAlignment="1" applyProtection="1">
      <alignment vertical="center"/>
    </xf>
    <xf numFmtId="0" fontId="6" fillId="0" borderId="7" xfId="0" applyFont="1" applyFill="1" applyBorder="1" applyAlignment="1" applyProtection="1">
      <alignment vertical="center"/>
    </xf>
    <xf numFmtId="0" fontId="8" fillId="0" borderId="8" xfId="0" applyFont="1" applyFill="1" applyBorder="1" applyAlignment="1" applyProtection="1">
      <alignment horizontal="left" vertical="center"/>
    </xf>
    <xf numFmtId="0" fontId="8" fillId="0" borderId="6" xfId="0" applyFont="1" applyFill="1" applyBorder="1" applyAlignment="1" applyProtection="1">
      <alignment horizontal="left" vertical="center"/>
    </xf>
    <xf numFmtId="0" fontId="8" fillId="0" borderId="7" xfId="0" applyFont="1" applyFill="1" applyBorder="1" applyAlignment="1" applyProtection="1">
      <alignment vertical="center"/>
    </xf>
    <xf numFmtId="0" fontId="6" fillId="0" borderId="1" xfId="0" applyFont="1" applyFill="1" applyBorder="1" applyAlignment="1" applyProtection="1">
      <alignment horizontal="left" vertical="center"/>
    </xf>
    <xf numFmtId="0" fontId="6" fillId="0" borderId="1" xfId="0" applyFont="1" applyFill="1" applyBorder="1" applyAlignment="1" applyProtection="1">
      <alignment horizontal="left" vertical="center" shrinkToFit="1"/>
    </xf>
    <xf numFmtId="164" fontId="8" fillId="0" borderId="8" xfId="0" applyNumberFormat="1" applyFont="1" applyFill="1" applyBorder="1" applyAlignment="1" applyProtection="1">
      <alignment horizontal="left" vertical="center"/>
    </xf>
    <xf numFmtId="0" fontId="6" fillId="0" borderId="4" xfId="0" applyFont="1" applyFill="1" applyBorder="1" applyAlignment="1" applyProtection="1">
      <alignment horizontal="left" vertical="top"/>
    </xf>
    <xf numFmtId="0" fontId="6" fillId="0" borderId="0" xfId="0" applyFont="1" applyFill="1" applyBorder="1" applyAlignment="1" applyProtection="1">
      <alignment horizontal="left" vertical="top"/>
    </xf>
    <xf numFmtId="0" fontId="0" fillId="0" borderId="0" xfId="0" applyAlignment="1" applyProtection="1">
      <alignment horizontal="left" vertical="top" wrapText="1"/>
    </xf>
    <xf numFmtId="0" fontId="6" fillId="0" borderId="4" xfId="0" applyFont="1" applyBorder="1" applyAlignment="1">
      <alignment horizontal="left" vertical="top" shrinkToFit="1"/>
    </xf>
    <xf numFmtId="0" fontId="6" fillId="0" borderId="4" xfId="0" applyFont="1" applyBorder="1" applyAlignment="1">
      <alignment horizontal="left" vertical="top"/>
    </xf>
    <xf numFmtId="0" fontId="8" fillId="0" borderId="0" xfId="0" applyNumberFormat="1" applyFont="1" applyFill="1" applyBorder="1" applyAlignment="1" applyProtection="1">
      <alignment horizontal="center" vertical="center" shrinkToFit="1"/>
    </xf>
    <xf numFmtId="0" fontId="6" fillId="0" borderId="1" xfId="0" applyFont="1" applyBorder="1" applyAlignment="1" applyProtection="1">
      <alignment horizontal="left" vertical="center" wrapText="1"/>
    </xf>
    <xf numFmtId="0" fontId="8" fillId="0" borderId="2" xfId="0" applyFont="1" applyFill="1" applyBorder="1" applyAlignment="1" applyProtection="1">
      <alignment horizontal="left" vertical="center" shrinkToFit="1"/>
    </xf>
    <xf numFmtId="0" fontId="6" fillId="0" borderId="1" xfId="0" applyFont="1" applyBorder="1" applyAlignment="1">
      <alignment vertical="center" wrapText="1"/>
    </xf>
    <xf numFmtId="0" fontId="0" fillId="0" borderId="0" xfId="0" applyAlignment="1" applyProtection="1">
      <alignment horizontal="left" vertical="center"/>
    </xf>
    <xf numFmtId="0" fontId="14" fillId="0" borderId="0" xfId="0" applyNumberFormat="1" applyFont="1" applyFill="1" applyBorder="1" applyAlignment="1" applyProtection="1">
      <alignment horizontal="left" vertical="center" textRotation="90" shrinkToFit="1"/>
    </xf>
    <xf numFmtId="0" fontId="15" fillId="0" borderId="0" xfId="0" applyFont="1" applyFill="1" applyBorder="1" applyAlignment="1" applyProtection="1">
      <alignment vertical="center" shrinkToFit="1"/>
    </xf>
    <xf numFmtId="0" fontId="0" fillId="0" borderId="0" xfId="0" applyBorder="1"/>
    <xf numFmtId="0" fontId="3" fillId="0" borderId="0" xfId="0" applyFont="1" applyAlignment="1" applyProtection="1">
      <alignment horizontal="left" vertical="center"/>
      <protection locked="0"/>
    </xf>
    <xf numFmtId="0" fontId="0" fillId="0" borderId="0" xfId="0" applyFill="1" applyAlignment="1" applyProtection="1">
      <alignment horizontal="left" vertical="center"/>
    </xf>
    <xf numFmtId="0" fontId="0" fillId="0" borderId="0" xfId="0" applyAlignment="1">
      <alignment horizontal="left"/>
    </xf>
    <xf numFmtId="0" fontId="8" fillId="0" borderId="5" xfId="0" applyFont="1" applyFill="1" applyBorder="1" applyAlignment="1" applyProtection="1">
      <alignment horizontal="left" vertical="center" wrapText="1" shrinkToFit="1"/>
    </xf>
    <xf numFmtId="0" fontId="3" fillId="0" borderId="9" xfId="0" applyFont="1" applyBorder="1" applyAlignment="1" applyProtection="1">
      <alignment horizontal="left" vertical="top" wrapText="1"/>
    </xf>
    <xf numFmtId="0" fontId="3" fillId="0" borderId="10" xfId="0" applyFont="1" applyBorder="1" applyAlignment="1" applyProtection="1">
      <alignment horizontal="left" vertical="top" wrapText="1"/>
    </xf>
    <xf numFmtId="0" fontId="0" fillId="0" borderId="0" xfId="0" applyBorder="1" applyAlignment="1" applyProtection="1">
      <alignment horizontal="left" vertical="top" wrapText="1"/>
    </xf>
    <xf numFmtId="0" fontId="0" fillId="0" borderId="8" xfId="0" applyBorder="1" applyAlignment="1" applyProtection="1">
      <alignment horizontal="left" vertical="top" wrapText="1"/>
    </xf>
    <xf numFmtId="0" fontId="6" fillId="0" borderId="0" xfId="0" applyFont="1" applyBorder="1" applyAlignment="1" applyProtection="1">
      <alignment horizontal="right" vertical="center" wrapText="1"/>
    </xf>
    <xf numFmtId="0" fontId="6" fillId="0" borderId="1" xfId="0" applyFont="1" applyBorder="1" applyAlignment="1">
      <alignment vertical="center"/>
    </xf>
    <xf numFmtId="0" fontId="19" fillId="0" borderId="0" xfId="0" applyFont="1" applyFill="1" applyAlignment="1" applyProtection="1">
      <alignment horizontal="center" vertical="center"/>
    </xf>
    <xf numFmtId="0" fontId="0" fillId="0" borderId="0" xfId="0" applyBorder="1" applyAlignment="1" applyProtection="1">
      <alignment vertical="center"/>
    </xf>
    <xf numFmtId="0" fontId="3" fillId="0" borderId="11" xfId="0" applyFont="1" applyBorder="1" applyAlignment="1" applyProtection="1">
      <alignment horizontal="left" vertical="top" wrapText="1"/>
    </xf>
    <xf numFmtId="0" fontId="0" fillId="0" borderId="2" xfId="0" applyBorder="1" applyAlignment="1" applyProtection="1">
      <alignment vertical="center"/>
    </xf>
    <xf numFmtId="0" fontId="0" fillId="0" borderId="8" xfId="0" applyBorder="1" applyAlignment="1" applyProtection="1">
      <alignment vertical="center"/>
    </xf>
    <xf numFmtId="15" fontId="6" fillId="0" borderId="1" xfId="0" applyNumberFormat="1" applyFont="1" applyFill="1" applyBorder="1" applyAlignment="1" applyProtection="1">
      <alignment horizontal="left" vertical="center"/>
    </xf>
    <xf numFmtId="0" fontId="6" fillId="3" borderId="1" xfId="0" applyFont="1" applyFill="1" applyBorder="1" applyAlignment="1" applyProtection="1">
      <alignment horizontal="left" vertical="center"/>
    </xf>
    <xf numFmtId="8" fontId="0" fillId="0" borderId="0" xfId="0" applyNumberFormat="1" applyAlignment="1" applyProtection="1">
      <alignment vertical="center"/>
    </xf>
    <xf numFmtId="0" fontId="8" fillId="0" borderId="0" xfId="0" applyFont="1" applyAlignment="1">
      <alignment horizontal="center" vertical="center"/>
    </xf>
    <xf numFmtId="0" fontId="22" fillId="0" borderId="1" xfId="0" applyFont="1" applyBorder="1" applyAlignment="1" applyProtection="1">
      <alignment horizontal="left" vertical="center" wrapText="1"/>
    </xf>
    <xf numFmtId="0" fontId="6" fillId="0" borderId="12" xfId="0" applyFont="1" applyBorder="1" applyAlignment="1" applyProtection="1">
      <alignment vertical="center"/>
    </xf>
    <xf numFmtId="0" fontId="0" fillId="0" borderId="7" xfId="0" applyBorder="1" applyAlignment="1" applyProtection="1">
      <alignment vertical="center"/>
    </xf>
    <xf numFmtId="0" fontId="0" fillId="0" borderId="0" xfId="0" applyFill="1" applyAlignment="1" applyProtection="1">
      <alignment horizontal="left" vertical="top" wrapText="1"/>
    </xf>
    <xf numFmtId="0" fontId="6" fillId="0" borderId="12" xfId="0" applyFont="1" applyBorder="1" applyAlignment="1" applyProtection="1">
      <alignment horizontal="left" vertical="center"/>
    </xf>
    <xf numFmtId="0" fontId="0" fillId="0" borderId="0" xfId="0" applyBorder="1" applyAlignment="1">
      <alignment horizontal="left" indent="1"/>
    </xf>
    <xf numFmtId="0" fontId="0" fillId="0" borderId="13" xfId="0" quotePrefix="1" applyFill="1" applyBorder="1" applyAlignment="1">
      <alignment horizontal="center" vertical="center"/>
    </xf>
    <xf numFmtId="0" fontId="0" fillId="0" borderId="13" xfId="0" applyFill="1" applyBorder="1" applyAlignment="1">
      <alignment horizontal="left" vertical="center" indent="1"/>
    </xf>
    <xf numFmtId="0" fontId="0" fillId="0" borderId="0" xfId="0" applyAlignment="1">
      <alignment vertical="center"/>
    </xf>
    <xf numFmtId="0" fontId="8" fillId="4" borderId="5" xfId="0" applyFont="1" applyFill="1" applyBorder="1" applyAlignment="1" applyProtection="1">
      <alignment horizontal="left" vertical="center" wrapText="1" shrinkToFit="1"/>
      <protection locked="0"/>
    </xf>
    <xf numFmtId="0" fontId="23" fillId="2" borderId="4" xfId="1" applyFont="1" applyFill="1" applyBorder="1" applyAlignment="1" applyProtection="1">
      <alignment horizontal="center" vertical="center" wrapText="1"/>
    </xf>
    <xf numFmtId="0" fontId="8" fillId="4" borderId="14" xfId="0" applyFont="1" applyFill="1" applyBorder="1" applyAlignment="1" applyProtection="1">
      <alignment horizontal="left" vertical="center"/>
    </xf>
    <xf numFmtId="49" fontId="8" fillId="5" borderId="14" xfId="0" applyNumberFormat="1" applyFont="1" applyFill="1" applyBorder="1" applyAlignment="1" applyProtection="1">
      <alignment horizontal="left" vertical="center" shrinkToFit="1"/>
      <protection locked="0"/>
    </xf>
    <xf numFmtId="0" fontId="8" fillId="5" borderId="14" xfId="0" applyFont="1" applyFill="1" applyBorder="1" applyAlignment="1" applyProtection="1">
      <alignment horizontal="left" vertical="center" shrinkToFit="1"/>
      <protection locked="0"/>
    </xf>
    <xf numFmtId="0" fontId="8" fillId="5" borderId="14" xfId="0" applyFont="1" applyFill="1" applyBorder="1" applyAlignment="1" applyProtection="1">
      <alignment horizontal="left" vertical="center"/>
      <protection locked="0"/>
    </xf>
    <xf numFmtId="1" fontId="8" fillId="5" borderId="14" xfId="0" applyNumberFormat="1" applyFont="1" applyFill="1" applyBorder="1" applyAlignment="1" applyProtection="1">
      <alignment horizontal="left" vertical="center"/>
      <protection locked="0"/>
    </xf>
    <xf numFmtId="0" fontId="8" fillId="5" borderId="14" xfId="0" applyFont="1" applyFill="1" applyBorder="1" applyAlignment="1" applyProtection="1">
      <alignment horizontal="left" vertical="center" wrapText="1"/>
      <protection locked="0"/>
    </xf>
    <xf numFmtId="166" fontId="8" fillId="5" borderId="14" xfId="0" applyNumberFormat="1" applyFont="1" applyFill="1" applyBorder="1" applyAlignment="1" applyProtection="1">
      <alignment horizontal="left" vertical="center"/>
      <protection locked="0"/>
    </xf>
    <xf numFmtId="0" fontId="0" fillId="0" borderId="13" xfId="0" applyFont="1" applyFill="1" applyBorder="1" applyAlignment="1">
      <alignment horizontal="left" vertical="center" indent="1"/>
    </xf>
    <xf numFmtId="0" fontId="0" fillId="0" borderId="13" xfId="0" applyFill="1" applyBorder="1" applyAlignment="1">
      <alignment horizontal="center" vertical="center"/>
    </xf>
    <xf numFmtId="0" fontId="20" fillId="0" borderId="1" xfId="0" applyFont="1" applyBorder="1" applyAlignment="1" applyProtection="1">
      <alignment horizontal="left" vertical="center" wrapText="1"/>
    </xf>
    <xf numFmtId="18" fontId="16" fillId="6" borderId="14" xfId="0" applyNumberFormat="1" applyFont="1" applyFill="1" applyBorder="1" applyAlignment="1" applyProtection="1">
      <alignment horizontal="left" vertical="center"/>
      <protection locked="0"/>
    </xf>
    <xf numFmtId="18" fontId="16" fillId="7" borderId="14" xfId="0" applyNumberFormat="1" applyFont="1" applyFill="1" applyBorder="1" applyAlignment="1" applyProtection="1">
      <alignment horizontal="left" vertical="center"/>
      <protection locked="0"/>
    </xf>
    <xf numFmtId="165" fontId="25" fillId="5" borderId="14" xfId="0" applyNumberFormat="1" applyFont="1" applyFill="1" applyBorder="1" applyAlignment="1" applyProtection="1">
      <alignment horizontal="left" vertical="center"/>
      <protection locked="0"/>
    </xf>
    <xf numFmtId="0" fontId="6" fillId="5" borderId="14" xfId="0" applyFont="1" applyFill="1" applyBorder="1" applyAlignment="1" applyProtection="1">
      <alignment horizontal="left" vertical="center"/>
    </xf>
    <xf numFmtId="15" fontId="16" fillId="5" borderId="14" xfId="0" applyNumberFormat="1" applyFont="1" applyFill="1" applyBorder="1" applyAlignment="1" applyProtection="1">
      <alignment horizontal="left" vertical="center"/>
      <protection locked="0"/>
    </xf>
    <xf numFmtId="0" fontId="6" fillId="3" borderId="1" xfId="0" applyFont="1" applyFill="1" applyBorder="1" applyAlignment="1" applyProtection="1">
      <alignment vertical="center" shrinkToFit="1"/>
    </xf>
    <xf numFmtId="164" fontId="6" fillId="0" borderId="5" xfId="0" applyNumberFormat="1" applyFont="1" applyFill="1" applyBorder="1" applyAlignment="1" applyProtection="1">
      <alignment horizontal="left" vertical="center" shrinkToFit="1"/>
    </xf>
    <xf numFmtId="37" fontId="27" fillId="5" borderId="5" xfId="0" applyNumberFormat="1" applyFont="1" applyFill="1" applyBorder="1" applyAlignment="1" applyProtection="1">
      <alignment horizontal="left" vertical="center" wrapText="1"/>
    </xf>
    <xf numFmtId="37" fontId="14" fillId="5" borderId="5" xfId="0" applyNumberFormat="1" applyFont="1" applyFill="1" applyBorder="1" applyAlignment="1" applyProtection="1">
      <alignment horizontal="left" vertical="center" shrinkToFit="1"/>
      <protection locked="0"/>
    </xf>
    <xf numFmtId="0" fontId="12" fillId="2" borderId="15" xfId="0" applyFont="1" applyFill="1" applyBorder="1" applyAlignment="1" applyProtection="1">
      <alignment vertical="center"/>
    </xf>
    <xf numFmtId="0" fontId="12" fillId="2" borderId="16" xfId="0" applyFont="1" applyFill="1" applyBorder="1" applyAlignment="1" applyProtection="1">
      <alignment vertical="center"/>
    </xf>
    <xf numFmtId="0" fontId="11" fillId="2" borderId="16" xfId="0" applyFont="1" applyFill="1" applyBorder="1" applyAlignment="1" applyProtection="1">
      <alignment vertical="center"/>
    </xf>
    <xf numFmtId="0" fontId="0" fillId="0" borderId="0" xfId="0" applyBorder="1" applyAlignment="1" applyProtection="1">
      <alignment horizontal="left" vertical="center"/>
    </xf>
    <xf numFmtId="0" fontId="3" fillId="0" borderId="0" xfId="0" applyFont="1" applyBorder="1" applyAlignment="1" applyProtection="1">
      <alignment horizontal="left" vertical="top" wrapText="1"/>
    </xf>
    <xf numFmtId="0" fontId="3" fillId="0" borderId="17" xfId="0" applyFont="1" applyBorder="1" applyAlignment="1" applyProtection="1">
      <alignment horizontal="left" vertical="top" wrapText="1"/>
    </xf>
    <xf numFmtId="0" fontId="3" fillId="0" borderId="2" xfId="0" applyFont="1" applyBorder="1" applyAlignment="1" applyProtection="1">
      <alignment horizontal="left" vertical="top" wrapText="1"/>
    </xf>
    <xf numFmtId="1" fontId="8" fillId="8" borderId="14" xfId="0" applyNumberFormat="1" applyFont="1" applyFill="1" applyBorder="1" applyAlignment="1" applyProtection="1">
      <alignment horizontal="left" vertical="center"/>
    </xf>
    <xf numFmtId="166" fontId="8" fillId="8" borderId="14" xfId="0" applyNumberFormat="1" applyFont="1" applyFill="1" applyBorder="1" applyAlignment="1" applyProtection="1">
      <alignment horizontal="left" vertical="center"/>
    </xf>
    <xf numFmtId="0" fontId="8" fillId="8" borderId="14" xfId="0" applyFont="1" applyFill="1" applyBorder="1" applyAlignment="1" applyProtection="1">
      <alignment horizontal="left" vertical="center"/>
    </xf>
    <xf numFmtId="2" fontId="8" fillId="8" borderId="14" xfId="0" applyNumberFormat="1" applyFont="1" applyFill="1" applyBorder="1" applyAlignment="1" applyProtection="1">
      <alignment horizontal="left" vertical="center"/>
    </xf>
    <xf numFmtId="0" fontId="8" fillId="8" borderId="5" xfId="0" applyFont="1" applyFill="1" applyBorder="1" applyAlignment="1" applyProtection="1">
      <alignment horizontal="left" vertical="center" shrinkToFit="1"/>
    </xf>
    <xf numFmtId="49" fontId="8" fillId="8" borderId="14" xfId="0" applyNumberFormat="1" applyFont="1" applyFill="1" applyBorder="1" applyAlignment="1" applyProtection="1">
      <alignment horizontal="left" vertical="center" shrinkToFit="1"/>
    </xf>
    <xf numFmtId="0" fontId="8" fillId="8" borderId="14" xfId="0" applyFont="1" applyFill="1" applyBorder="1" applyAlignment="1" applyProtection="1">
      <alignment horizontal="left" vertical="center" shrinkToFit="1"/>
    </xf>
    <xf numFmtId="49" fontId="8" fillId="8" borderId="14" xfId="0" applyNumberFormat="1" applyFont="1" applyFill="1" applyBorder="1" applyAlignment="1" applyProtection="1">
      <alignment horizontal="center" vertical="center" shrinkToFit="1"/>
    </xf>
    <xf numFmtId="1" fontId="8" fillId="8" borderId="14" xfId="0" applyNumberFormat="1" applyFont="1" applyFill="1" applyBorder="1" applyAlignment="1" applyProtection="1">
      <alignment horizontal="left" vertical="center" shrinkToFit="1"/>
    </xf>
    <xf numFmtId="0" fontId="6" fillId="9" borderId="1" xfId="0" applyFont="1" applyFill="1" applyBorder="1" applyAlignment="1" applyProtection="1">
      <alignment vertical="center" wrapText="1"/>
    </xf>
    <xf numFmtId="0" fontId="8" fillId="8" borderId="14" xfId="0" applyNumberFormat="1" applyFont="1" applyFill="1" applyBorder="1" applyAlignment="1" applyProtection="1">
      <alignment horizontal="left" vertical="center" wrapText="1"/>
    </xf>
    <xf numFmtId="37" fontId="14" fillId="8" borderId="5" xfId="0" applyNumberFormat="1" applyFont="1" applyFill="1" applyBorder="1" applyAlignment="1" applyProtection="1">
      <alignment horizontal="left" vertical="center" shrinkToFit="1"/>
    </xf>
    <xf numFmtId="0" fontId="8" fillId="8" borderId="14" xfId="0" applyFont="1" applyFill="1" applyBorder="1" applyAlignment="1">
      <alignment horizontal="left" vertical="center"/>
    </xf>
    <xf numFmtId="166" fontId="8" fillId="8" borderId="14" xfId="0" applyNumberFormat="1" applyFont="1" applyFill="1" applyBorder="1" applyAlignment="1" applyProtection="1">
      <alignment horizontal="left" vertical="center" wrapText="1"/>
    </xf>
    <xf numFmtId="0" fontId="8" fillId="8" borderId="14" xfId="0" applyNumberFormat="1" applyFont="1" applyFill="1" applyBorder="1" applyAlignment="1" applyProtection="1">
      <alignment horizontal="left" vertical="center"/>
    </xf>
    <xf numFmtId="49" fontId="26" fillId="5" borderId="14" xfId="0" applyNumberFormat="1" applyFont="1" applyFill="1" applyBorder="1" applyAlignment="1" applyProtection="1">
      <alignment horizontal="left" vertical="center"/>
      <protection locked="0"/>
    </xf>
    <xf numFmtId="49" fontId="26" fillId="8" borderId="14" xfId="0" applyNumberFormat="1" applyFont="1" applyFill="1" applyBorder="1" applyAlignment="1" applyProtection="1">
      <alignment horizontal="left" vertical="center"/>
    </xf>
    <xf numFmtId="0" fontId="8" fillId="8" borderId="14" xfId="0" applyFont="1" applyFill="1" applyBorder="1" applyAlignment="1" applyProtection="1">
      <alignment horizontal="left" vertical="center" wrapText="1" shrinkToFit="1"/>
      <protection locked="0"/>
    </xf>
    <xf numFmtId="2" fontId="8" fillId="8" borderId="18" xfId="0" applyNumberFormat="1" applyFont="1" applyFill="1" applyBorder="1" applyAlignment="1" applyProtection="1">
      <alignment horizontal="left" vertical="center"/>
      <protection locked="0"/>
    </xf>
    <xf numFmtId="0" fontId="8" fillId="8" borderId="4" xfId="0" applyFont="1" applyFill="1" applyBorder="1" applyAlignment="1" applyProtection="1">
      <alignment horizontal="left" vertical="center"/>
      <protection locked="0"/>
    </xf>
    <xf numFmtId="0" fontId="8" fillId="8" borderId="14" xfId="0" applyFont="1" applyFill="1" applyBorder="1" applyAlignment="1" applyProtection="1">
      <alignment horizontal="left" vertical="center"/>
      <protection locked="0"/>
    </xf>
    <xf numFmtId="0" fontId="24" fillId="8" borderId="2" xfId="0" applyFont="1" applyFill="1" applyBorder="1" applyAlignment="1" applyProtection="1">
      <alignment vertical="center"/>
    </xf>
    <xf numFmtId="0" fontId="24" fillId="8" borderId="0" xfId="0" applyFont="1" applyFill="1" applyBorder="1" applyAlignment="1" applyProtection="1">
      <alignment vertical="center"/>
    </xf>
    <xf numFmtId="0" fontId="24" fillId="8" borderId="8" xfId="0" applyFont="1" applyFill="1" applyBorder="1" applyAlignment="1" applyProtection="1">
      <alignment vertical="center"/>
    </xf>
    <xf numFmtId="0" fontId="24" fillId="8" borderId="19" xfId="0" applyFont="1" applyFill="1" applyBorder="1" applyAlignment="1" applyProtection="1">
      <alignment vertical="center"/>
    </xf>
    <xf numFmtId="0" fontId="24" fillId="8" borderId="6" xfId="0" applyFont="1" applyFill="1" applyBorder="1" applyAlignment="1" applyProtection="1">
      <alignment vertical="center"/>
    </xf>
    <xf numFmtId="0" fontId="24" fillId="8" borderId="20" xfId="0" applyFont="1" applyFill="1" applyBorder="1" applyAlignment="1" applyProtection="1">
      <alignment vertical="center"/>
    </xf>
    <xf numFmtId="0" fontId="14" fillId="5" borderId="14" xfId="0" applyFont="1" applyFill="1" applyBorder="1" applyAlignment="1" applyProtection="1">
      <alignment horizontal="left" vertical="center"/>
      <protection locked="0"/>
    </xf>
    <xf numFmtId="0" fontId="14" fillId="5" borderId="14" xfId="0" applyFont="1" applyFill="1" applyBorder="1" applyAlignment="1" applyProtection="1">
      <alignment horizontal="left" vertical="center" shrinkToFit="1"/>
      <protection locked="0"/>
    </xf>
    <xf numFmtId="49" fontId="14" fillId="5" borderId="14" xfId="0" applyNumberFormat="1" applyFont="1" applyFill="1" applyBorder="1" applyAlignment="1" applyProtection="1">
      <alignment horizontal="left" vertical="center"/>
      <protection locked="0"/>
    </xf>
    <xf numFmtId="0" fontId="14" fillId="5" borderId="14" xfId="0" applyFont="1" applyFill="1" applyBorder="1" applyAlignment="1" applyProtection="1">
      <alignment vertical="center" shrinkToFit="1"/>
      <protection locked="0"/>
    </xf>
    <xf numFmtId="0" fontId="14" fillId="8" borderId="14" xfId="0" applyFont="1" applyFill="1" applyBorder="1" applyAlignment="1" applyProtection="1">
      <alignment horizontal="left" vertical="center"/>
    </xf>
    <xf numFmtId="0" fontId="0" fillId="0" borderId="0" xfId="0" applyFill="1" applyAlignment="1">
      <alignment vertical="center"/>
    </xf>
    <xf numFmtId="0" fontId="0" fillId="0" borderId="0" xfId="0" applyFill="1"/>
    <xf numFmtId="0" fontId="0" fillId="8" borderId="13" xfId="0" quotePrefix="1" applyFill="1" applyBorder="1" applyAlignment="1">
      <alignment horizontal="center" vertical="center"/>
    </xf>
    <xf numFmtId="0" fontId="0" fillId="8" borderId="13" xfId="0" applyFill="1" applyBorder="1" applyAlignment="1">
      <alignment horizontal="left" vertical="center" indent="1"/>
    </xf>
    <xf numFmtId="0" fontId="0" fillId="8" borderId="13" xfId="0" applyFill="1" applyBorder="1" applyAlignment="1">
      <alignment horizontal="center" vertical="center"/>
    </xf>
    <xf numFmtId="0" fontId="0" fillId="8" borderId="0" xfId="0" applyFill="1" applyAlignment="1">
      <alignment vertical="center"/>
    </xf>
    <xf numFmtId="0" fontId="0" fillId="8" borderId="13" xfId="0" applyFont="1" applyFill="1" applyBorder="1" applyAlignment="1">
      <alignment horizontal="left" vertical="center" indent="1"/>
    </xf>
    <xf numFmtId="0" fontId="14" fillId="8" borderId="14" xfId="0" applyFont="1" applyFill="1" applyBorder="1" applyAlignment="1" applyProtection="1">
      <alignment horizontal="left" vertical="center" wrapText="1"/>
      <protection locked="0"/>
    </xf>
    <xf numFmtId="0" fontId="14" fillId="8" borderId="4" xfId="0" applyFont="1" applyFill="1" applyBorder="1" applyAlignment="1" applyProtection="1">
      <alignment horizontal="left" vertical="center" wrapText="1"/>
      <protection locked="0"/>
    </xf>
    <xf numFmtId="0" fontId="33" fillId="0" borderId="0" xfId="2" applyProtection="1"/>
    <xf numFmtId="0" fontId="33" fillId="0" borderId="0" xfId="2" applyAlignment="1"/>
    <xf numFmtId="0" fontId="34" fillId="10" borderId="0" xfId="2" applyFont="1" applyFill="1" applyBorder="1" applyAlignment="1" applyProtection="1">
      <alignment horizontal="right" vertical="center"/>
    </xf>
    <xf numFmtId="0" fontId="35" fillId="10" borderId="0" xfId="2" applyFont="1" applyFill="1" applyBorder="1" applyAlignment="1" applyProtection="1">
      <alignment vertical="center"/>
    </xf>
    <xf numFmtId="0" fontId="34" fillId="11" borderId="26" xfId="2" applyFont="1" applyFill="1" applyBorder="1" applyAlignment="1" applyProtection="1">
      <alignment horizontal="left" vertical="center" shrinkToFit="1"/>
      <protection locked="0"/>
    </xf>
    <xf numFmtId="0" fontId="33" fillId="0" borderId="26" xfId="2" applyBorder="1" applyAlignment="1">
      <alignment horizontal="left" vertical="center" shrinkToFit="1"/>
    </xf>
    <xf numFmtId="0" fontId="33" fillId="0" borderId="28" xfId="2" applyBorder="1" applyAlignment="1"/>
    <xf numFmtId="167" fontId="37" fillId="0" borderId="0" xfId="2" applyNumberFormat="1" applyFont="1" applyFill="1" applyAlignment="1" applyProtection="1">
      <alignment horizontal="center" vertical="center"/>
    </xf>
    <xf numFmtId="0" fontId="38" fillId="12" borderId="29" xfId="2" applyFont="1" applyFill="1" applyBorder="1" applyAlignment="1" applyProtection="1">
      <alignment vertical="center" shrinkToFit="1"/>
    </xf>
    <xf numFmtId="49" fontId="39" fillId="13" borderId="29" xfId="2" applyNumberFormat="1" applyFont="1" applyFill="1" applyBorder="1" applyAlignment="1" applyProtection="1">
      <alignment horizontal="left" vertical="center" shrinkToFit="1"/>
      <protection locked="0"/>
    </xf>
    <xf numFmtId="0" fontId="38" fillId="14" borderId="29" xfId="2" applyFont="1" applyFill="1" applyBorder="1" applyAlignment="1" applyProtection="1">
      <alignment horizontal="left" vertical="center" shrinkToFit="1"/>
    </xf>
    <xf numFmtId="0" fontId="38" fillId="12" borderId="27" xfId="2" applyFont="1" applyFill="1" applyBorder="1" applyAlignment="1" applyProtection="1">
      <alignment vertical="center" shrinkToFit="1"/>
    </xf>
    <xf numFmtId="0" fontId="38" fillId="0" borderId="30" xfId="2" applyFont="1" applyFill="1" applyBorder="1" applyAlignment="1" applyProtection="1">
      <alignment vertical="center"/>
    </xf>
    <xf numFmtId="0" fontId="38" fillId="12" borderId="0" xfId="2" applyFont="1" applyFill="1" applyAlignment="1" applyProtection="1">
      <alignment horizontal="left" vertical="center"/>
    </xf>
    <xf numFmtId="0" fontId="40" fillId="15" borderId="0" xfId="2" applyFont="1" applyFill="1" applyBorder="1" applyAlignment="1">
      <alignment vertical="center" shrinkToFit="1"/>
    </xf>
    <xf numFmtId="0" fontId="38" fillId="13" borderId="0" xfId="2" applyFont="1" applyFill="1" applyBorder="1" applyAlignment="1" applyProtection="1">
      <alignment horizontal="left" vertical="center" shrinkToFit="1"/>
      <protection locked="0"/>
    </xf>
    <xf numFmtId="0" fontId="33" fillId="0" borderId="0" xfId="2"/>
    <xf numFmtId="0" fontId="38" fillId="13" borderId="31" xfId="2" applyFont="1" applyFill="1" applyBorder="1" applyAlignment="1" applyProtection="1">
      <alignment vertical="center" shrinkToFit="1"/>
      <protection locked="0"/>
    </xf>
    <xf numFmtId="0" fontId="38" fillId="12" borderId="31" xfId="2" applyFont="1" applyFill="1" applyBorder="1" applyAlignment="1" applyProtection="1">
      <alignment vertical="center"/>
    </xf>
    <xf numFmtId="0" fontId="38" fillId="13" borderId="31" xfId="2" applyFont="1" applyFill="1" applyBorder="1" applyAlignment="1" applyProtection="1">
      <alignment horizontal="left" vertical="center" shrinkToFit="1"/>
      <protection locked="0"/>
    </xf>
    <xf numFmtId="0" fontId="40" fillId="15" borderId="31" xfId="2" applyFont="1" applyFill="1" applyBorder="1" applyAlignment="1">
      <alignment vertical="center" shrinkToFit="1"/>
    </xf>
    <xf numFmtId="0" fontId="33" fillId="0" borderId="31" xfId="2" applyBorder="1" applyAlignment="1" applyProtection="1">
      <alignment horizontal="left" vertical="center" shrinkToFit="1"/>
      <protection locked="0"/>
    </xf>
    <xf numFmtId="0" fontId="33" fillId="0" borderId="31" xfId="2" applyBorder="1" applyAlignment="1" applyProtection="1">
      <alignment horizontal="left" vertical="center" shrinkToFit="1"/>
    </xf>
    <xf numFmtId="44" fontId="38" fillId="13" borderId="27" xfId="2" applyNumberFormat="1" applyFont="1" applyFill="1" applyBorder="1" applyAlignment="1" applyProtection="1">
      <alignment horizontal="right" vertical="center" shrinkToFit="1"/>
    </xf>
    <xf numFmtId="44" fontId="43" fillId="11" borderId="32" xfId="2" applyNumberFormat="1" applyFont="1" applyFill="1" applyBorder="1" applyAlignment="1" applyProtection="1">
      <alignment vertical="center" shrinkToFit="1"/>
      <protection locked="0"/>
    </xf>
    <xf numFmtId="0" fontId="38" fillId="0" borderId="27" xfId="2" applyFont="1" applyFill="1" applyBorder="1" applyAlignment="1" applyProtection="1">
      <alignment horizontal="right" vertical="center" shrinkToFit="1"/>
    </xf>
    <xf numFmtId="0" fontId="33" fillId="0" borderId="0" xfId="2" applyBorder="1"/>
    <xf numFmtId="0" fontId="33" fillId="11" borderId="0" xfId="2" applyFill="1" applyProtection="1">
      <protection locked="0"/>
    </xf>
    <xf numFmtId="0" fontId="44" fillId="14" borderId="33" xfId="2" applyFont="1" applyFill="1" applyBorder="1" applyAlignment="1" applyProtection="1">
      <alignment horizontal="left" vertical="center" wrapText="1" shrinkToFit="1"/>
    </xf>
    <xf numFmtId="0" fontId="44" fillId="14" borderId="33" xfId="2" applyFont="1" applyFill="1" applyBorder="1" applyAlignment="1" applyProtection="1">
      <alignment horizontal="left" vertical="center" wrapText="1" indent="2" shrinkToFit="1"/>
    </xf>
    <xf numFmtId="0" fontId="38" fillId="14" borderId="33" xfId="2" applyFont="1" applyFill="1" applyBorder="1" applyAlignment="1" applyProtection="1">
      <alignment horizontal="left" vertical="center" indent="2" shrinkToFit="1"/>
    </xf>
    <xf numFmtId="0" fontId="44" fillId="14" borderId="33" xfId="2" applyFont="1" applyFill="1" applyBorder="1" applyAlignment="1" applyProtection="1">
      <alignment horizontal="left" vertical="center" wrapText="1" indent="1" shrinkToFit="1"/>
    </xf>
    <xf numFmtId="0" fontId="38" fillId="14" borderId="33" xfId="2" applyFont="1" applyFill="1" applyBorder="1" applyAlignment="1" applyProtection="1">
      <alignment horizontal="left" vertical="center" indent="3" shrinkToFit="1"/>
    </xf>
    <xf numFmtId="0" fontId="38" fillId="0" borderId="34" xfId="2" applyFont="1" applyFill="1" applyBorder="1" applyAlignment="1" applyProtection="1">
      <alignment horizontal="center" vertical="center" wrapText="1"/>
    </xf>
    <xf numFmtId="0" fontId="32" fillId="0" borderId="0" xfId="2" applyFont="1" applyFill="1" applyBorder="1" applyAlignment="1" applyProtection="1">
      <alignment vertical="center"/>
    </xf>
    <xf numFmtId="0" fontId="14" fillId="12" borderId="35" xfId="2" applyFont="1" applyFill="1" applyBorder="1" applyAlignment="1" applyProtection="1">
      <alignment horizontal="center" vertical="center" shrinkToFit="1"/>
    </xf>
    <xf numFmtId="0" fontId="14" fillId="14" borderId="35" xfId="2" applyFont="1" applyFill="1" applyBorder="1" applyAlignment="1" applyProtection="1">
      <alignment horizontal="center" vertical="center" shrinkToFit="1"/>
    </xf>
    <xf numFmtId="0" fontId="14" fillId="14" borderId="36" xfId="2" applyFont="1" applyFill="1" applyBorder="1" applyAlignment="1" applyProtection="1">
      <alignment horizontal="center" vertical="center" shrinkToFit="1"/>
    </xf>
    <xf numFmtId="0" fontId="14" fillId="12" borderId="36" xfId="2" applyFont="1" applyFill="1" applyBorder="1" applyAlignment="1" applyProtection="1">
      <alignment horizontal="center" vertical="center" shrinkToFit="1"/>
    </xf>
    <xf numFmtId="0" fontId="48" fillId="14" borderId="36" xfId="2" applyFont="1" applyFill="1" applyBorder="1" applyAlignment="1" applyProtection="1">
      <alignment horizontal="center" vertical="center" shrinkToFit="1"/>
    </xf>
    <xf numFmtId="0" fontId="15" fillId="14" borderId="35" xfId="2" applyFont="1" applyFill="1" applyBorder="1" applyAlignment="1" applyProtection="1">
      <alignment horizontal="center" vertical="center" wrapText="1"/>
    </xf>
    <xf numFmtId="0" fontId="14" fillId="14" borderId="37" xfId="2" applyFont="1" applyFill="1" applyBorder="1" applyAlignment="1" applyProtection="1">
      <alignment horizontal="center" vertical="center" shrinkToFit="1"/>
    </xf>
    <xf numFmtId="0" fontId="15" fillId="14" borderId="36" xfId="2" applyFont="1" applyFill="1" applyBorder="1" applyAlignment="1" applyProtection="1">
      <alignment horizontal="center" vertical="center" wrapText="1"/>
    </xf>
    <xf numFmtId="0" fontId="15" fillId="14" borderId="37" xfId="2" applyFont="1" applyFill="1" applyBorder="1" applyAlignment="1" applyProtection="1">
      <alignment horizontal="center" vertical="center" wrapText="1"/>
    </xf>
    <xf numFmtId="0" fontId="49" fillId="0" borderId="0" xfId="2" applyFont="1" applyProtection="1">
      <protection locked="0"/>
    </xf>
    <xf numFmtId="168" fontId="49" fillId="0" borderId="0" xfId="2" applyNumberFormat="1" applyFont="1" applyProtection="1"/>
    <xf numFmtId="0" fontId="49" fillId="0" borderId="0" xfId="2" applyFont="1" applyProtection="1"/>
    <xf numFmtId="0" fontId="39" fillId="13" borderId="38" xfId="2" applyFont="1" applyFill="1" applyBorder="1" applyAlignment="1" applyProtection="1">
      <alignment horizontal="center" vertical="center" shrinkToFit="1"/>
      <protection locked="0"/>
    </xf>
    <xf numFmtId="0" fontId="39" fillId="13" borderId="39" xfId="2" applyFont="1" applyFill="1" applyBorder="1" applyAlignment="1" applyProtection="1">
      <alignment horizontal="center" vertical="center" shrinkToFit="1"/>
      <protection locked="0"/>
    </xf>
    <xf numFmtId="0" fontId="39" fillId="13" borderId="40" xfId="2" applyFont="1" applyFill="1" applyBorder="1" applyAlignment="1" applyProtection="1">
      <alignment horizontal="center" vertical="center" shrinkToFit="1"/>
      <protection locked="0"/>
    </xf>
    <xf numFmtId="0" fontId="49" fillId="0" borderId="0" xfId="2" applyFont="1" applyFill="1" applyProtection="1"/>
    <xf numFmtId="0" fontId="39" fillId="0" borderId="0" xfId="2" applyFont="1" applyFill="1" applyBorder="1" applyAlignment="1" applyProtection="1">
      <alignment horizontal="center" vertical="center"/>
    </xf>
    <xf numFmtId="0" fontId="39" fillId="0" borderId="0" xfId="2" applyFont="1" applyFill="1" applyBorder="1" applyAlignment="1" applyProtection="1">
      <alignment horizontal="center" vertical="center" wrapText="1"/>
    </xf>
    <xf numFmtId="0" fontId="39" fillId="0" borderId="0" xfId="2" applyNumberFormat="1" applyFont="1" applyFill="1" applyBorder="1" applyAlignment="1" applyProtection="1">
      <alignment horizontal="center" vertical="center" wrapText="1"/>
    </xf>
    <xf numFmtId="0" fontId="51" fillId="11" borderId="34" xfId="2" applyFont="1" applyFill="1" applyBorder="1" applyProtection="1"/>
    <xf numFmtId="0" fontId="51" fillId="0" borderId="0" xfId="2" applyFont="1" applyProtection="1"/>
    <xf numFmtId="0" fontId="51" fillId="11" borderId="0" xfId="2" applyFont="1" applyFill="1" applyBorder="1" applyProtection="1"/>
    <xf numFmtId="0" fontId="51" fillId="11" borderId="28" xfId="2" applyFont="1" applyFill="1" applyBorder="1" applyProtection="1"/>
    <xf numFmtId="0" fontId="32" fillId="10" borderId="34" xfId="2" applyFont="1" applyFill="1" applyBorder="1" applyAlignment="1" applyProtection="1">
      <alignment horizontal="left" vertical="center"/>
    </xf>
    <xf numFmtId="0" fontId="51" fillId="10" borderId="34" xfId="2" applyFont="1" applyFill="1" applyBorder="1" applyProtection="1"/>
    <xf numFmtId="0" fontId="51" fillId="10" borderId="0" xfId="2" applyFont="1" applyFill="1" applyBorder="1" applyProtection="1"/>
    <xf numFmtId="0" fontId="32" fillId="10" borderId="0" xfId="2" applyFont="1" applyFill="1" applyBorder="1" applyAlignment="1" applyProtection="1">
      <alignment horizontal="left" vertical="center"/>
    </xf>
    <xf numFmtId="0" fontId="38" fillId="14" borderId="33" xfId="2" applyFont="1" applyFill="1" applyBorder="1" applyAlignment="1" applyProtection="1">
      <alignment horizontal="left" vertical="center"/>
    </xf>
    <xf numFmtId="0" fontId="38" fillId="14" borderId="33" xfId="2" applyFont="1" applyFill="1" applyBorder="1" applyAlignment="1" applyProtection="1">
      <alignment horizontal="center" vertical="center"/>
    </xf>
    <xf numFmtId="0" fontId="38" fillId="14" borderId="41" xfId="2" applyFont="1" applyFill="1" applyBorder="1" applyAlignment="1" applyProtection="1">
      <alignment horizontal="center" vertical="center"/>
    </xf>
    <xf numFmtId="0" fontId="32" fillId="11" borderId="42" xfId="2" applyFont="1" applyFill="1" applyBorder="1" applyAlignment="1" applyProtection="1">
      <alignment horizontal="center" vertical="center"/>
    </xf>
    <xf numFmtId="0" fontId="3" fillId="11" borderId="43" xfId="2" applyFont="1" applyFill="1" applyBorder="1" applyAlignment="1" applyProtection="1">
      <alignment horizontal="center" vertical="center"/>
    </xf>
    <xf numFmtId="44" fontId="32" fillId="11" borderId="42" xfId="2" applyNumberFormat="1" applyFont="1" applyFill="1" applyBorder="1" applyAlignment="1" applyProtection="1">
      <alignment horizontal="left" vertical="center"/>
    </xf>
    <xf numFmtId="44" fontId="32" fillId="11" borderId="42" xfId="2" applyNumberFormat="1" applyFont="1" applyFill="1" applyBorder="1" applyAlignment="1" applyProtection="1">
      <alignment horizontal="left" vertical="center" shrinkToFit="1"/>
    </xf>
    <xf numFmtId="0" fontId="32" fillId="0" borderId="0" xfId="2" applyFont="1" applyAlignment="1" applyProtection="1">
      <alignment horizontal="left" vertical="center"/>
    </xf>
    <xf numFmtId="0" fontId="32" fillId="8" borderId="42" xfId="2" applyFont="1" applyFill="1" applyBorder="1" applyAlignment="1" applyProtection="1">
      <alignment horizontal="left" vertical="center"/>
    </xf>
    <xf numFmtId="0" fontId="32" fillId="8" borderId="42" xfId="2" applyFont="1" applyFill="1" applyBorder="1" applyAlignment="1" applyProtection="1">
      <alignment horizontal="center" vertical="center"/>
    </xf>
    <xf numFmtId="0" fontId="3" fillId="8" borderId="43" xfId="2" applyFont="1" applyFill="1" applyBorder="1" applyAlignment="1" applyProtection="1">
      <alignment horizontal="center" vertical="center"/>
    </xf>
    <xf numFmtId="44" fontId="32" fillId="8" borderId="42" xfId="2" applyNumberFormat="1" applyFont="1" applyFill="1" applyBorder="1" applyAlignment="1" applyProtection="1">
      <alignment horizontal="left" vertical="center"/>
    </xf>
    <xf numFmtId="44" fontId="32" fillId="8" borderId="42" xfId="2" applyNumberFormat="1" applyFont="1" applyFill="1" applyBorder="1" applyAlignment="1" applyProtection="1">
      <alignment horizontal="left" vertical="center" shrinkToFit="1"/>
    </xf>
    <xf numFmtId="0" fontId="32" fillId="11" borderId="27" xfId="2" applyFont="1" applyFill="1" applyBorder="1" applyAlignment="1" applyProtection="1">
      <alignment horizontal="center" vertical="center"/>
    </xf>
    <xf numFmtId="0" fontId="54" fillId="11" borderId="32" xfId="2" applyFont="1" applyFill="1" applyBorder="1" applyAlignment="1" applyProtection="1">
      <alignment horizontal="center" vertical="center"/>
      <protection locked="0"/>
    </xf>
    <xf numFmtId="44" fontId="32" fillId="11" borderId="27" xfId="2" applyNumberFormat="1" applyFont="1" applyFill="1" applyBorder="1" applyAlignment="1" applyProtection="1">
      <alignment horizontal="left" vertical="center"/>
    </xf>
    <xf numFmtId="0" fontId="54" fillId="8" borderId="27" xfId="2" applyFont="1" applyFill="1" applyBorder="1" applyAlignment="1" applyProtection="1">
      <alignment horizontal="left" vertical="center"/>
    </xf>
    <xf numFmtId="0" fontId="32" fillId="8" borderId="27" xfId="2" applyFont="1" applyFill="1" applyBorder="1" applyAlignment="1" applyProtection="1">
      <alignment horizontal="center" vertical="center"/>
    </xf>
    <xf numFmtId="0" fontId="54" fillId="8" borderId="32" xfId="2" applyFont="1" applyFill="1" applyBorder="1" applyAlignment="1" applyProtection="1">
      <alignment horizontal="center" vertical="center"/>
      <protection locked="0"/>
    </xf>
    <xf numFmtId="44" fontId="32" fillId="8" borderId="27" xfId="2" applyNumberFormat="1" applyFont="1" applyFill="1" applyBorder="1" applyAlignment="1" applyProtection="1">
      <alignment horizontal="left" vertical="center"/>
    </xf>
    <xf numFmtId="0" fontId="3" fillId="11" borderId="32" xfId="2" applyFont="1" applyFill="1" applyBorder="1" applyAlignment="1" applyProtection="1">
      <alignment horizontal="center" vertical="center"/>
    </xf>
    <xf numFmtId="0" fontId="32" fillId="8" borderId="32" xfId="2" applyFont="1" applyFill="1" applyBorder="1" applyAlignment="1" applyProtection="1">
      <alignment horizontal="center" vertical="center"/>
    </xf>
    <xf numFmtId="0" fontId="54" fillId="11" borderId="27" xfId="2" applyNumberFormat="1" applyFont="1" applyFill="1" applyBorder="1" applyAlignment="1" applyProtection="1">
      <alignment horizontal="left" vertical="center"/>
    </xf>
    <xf numFmtId="0" fontId="54" fillId="11" borderId="32" xfId="2" applyNumberFormat="1" applyFont="1" applyFill="1" applyBorder="1" applyAlignment="1" applyProtection="1">
      <alignment horizontal="center" vertical="center"/>
      <protection locked="0"/>
    </xf>
    <xf numFmtId="0" fontId="3" fillId="8" borderId="32" xfId="2" applyFont="1" applyFill="1" applyBorder="1" applyAlignment="1" applyProtection="1">
      <alignment horizontal="center" vertical="center"/>
    </xf>
    <xf numFmtId="0" fontId="32" fillId="11" borderId="30" xfId="2" applyFont="1" applyFill="1" applyBorder="1" applyAlignment="1" applyProtection="1">
      <alignment horizontal="center" vertical="center"/>
    </xf>
    <xf numFmtId="0" fontId="54" fillId="11" borderId="44" xfId="2" applyFont="1" applyFill="1" applyBorder="1" applyAlignment="1" applyProtection="1">
      <alignment horizontal="center" vertical="center"/>
      <protection locked="0"/>
    </xf>
    <xf numFmtId="44" fontId="32" fillId="11" borderId="30" xfId="2" applyNumberFormat="1" applyFont="1" applyFill="1" applyBorder="1" applyAlignment="1" applyProtection="1">
      <alignment horizontal="left" vertical="center"/>
    </xf>
    <xf numFmtId="0" fontId="32" fillId="8" borderId="30" xfId="2" applyFont="1" applyFill="1" applyBorder="1" applyAlignment="1" applyProtection="1">
      <alignment horizontal="center" vertical="center"/>
    </xf>
    <xf numFmtId="0" fontId="3" fillId="8" borderId="44" xfId="2" applyFont="1" applyFill="1" applyBorder="1" applyAlignment="1" applyProtection="1">
      <alignment horizontal="center" vertical="center"/>
    </xf>
    <xf numFmtId="44" fontId="32" fillId="8" borderId="30" xfId="2" applyNumberFormat="1" applyFont="1" applyFill="1" applyBorder="1" applyAlignment="1" applyProtection="1">
      <alignment horizontal="left" vertical="center"/>
    </xf>
    <xf numFmtId="44" fontId="32" fillId="8" borderId="27" xfId="2" applyNumberFormat="1" applyFont="1" applyFill="1" applyBorder="1" applyAlignment="1" applyProtection="1">
      <alignment horizontal="left" vertical="center" shrinkToFit="1"/>
    </xf>
    <xf numFmtId="0" fontId="54" fillId="11" borderId="30" xfId="2" applyFont="1" applyFill="1" applyBorder="1" applyAlignment="1" applyProtection="1">
      <alignment horizontal="left" vertical="center"/>
    </xf>
    <xf numFmtId="0" fontId="32" fillId="11" borderId="45" xfId="2" applyFont="1" applyFill="1" applyBorder="1" applyAlignment="1" applyProtection="1">
      <alignment horizontal="center" vertical="center"/>
    </xf>
    <xf numFmtId="0" fontId="32" fillId="11" borderId="44" xfId="2" applyFont="1" applyFill="1" applyBorder="1" applyAlignment="1" applyProtection="1">
      <alignment horizontal="center" vertical="center"/>
    </xf>
    <xf numFmtId="44" fontId="32" fillId="11" borderId="30" xfId="2" applyNumberFormat="1" applyFont="1" applyFill="1" applyBorder="1" applyAlignment="1" applyProtection="1">
      <alignment horizontal="left" vertical="center" shrinkToFit="1"/>
    </xf>
    <xf numFmtId="0" fontId="32" fillId="11" borderId="0" xfId="2" applyFont="1" applyFill="1" applyBorder="1" applyAlignment="1" applyProtection="1">
      <alignment horizontal="center" vertical="center"/>
    </xf>
    <xf numFmtId="0" fontId="32" fillId="8" borderId="25" xfId="2" applyFont="1" applyFill="1" applyBorder="1" applyAlignment="1" applyProtection="1">
      <alignment horizontal="center" vertical="center"/>
    </xf>
    <xf numFmtId="0" fontId="54" fillId="11" borderId="42" xfId="2" applyFont="1" applyFill="1" applyBorder="1" applyAlignment="1" applyProtection="1">
      <alignment horizontal="left" vertical="center"/>
    </xf>
    <xf numFmtId="0" fontId="33" fillId="11" borderId="42" xfId="2" applyFill="1" applyBorder="1" applyAlignment="1" applyProtection="1">
      <alignment horizontal="left" vertical="center"/>
    </xf>
    <xf numFmtId="0" fontId="32" fillId="11" borderId="46" xfId="2" applyFont="1" applyFill="1" applyBorder="1" applyAlignment="1" applyProtection="1">
      <alignment horizontal="center" vertical="center"/>
    </xf>
    <xf numFmtId="0" fontId="32" fillId="11" borderId="43" xfId="2" applyFont="1" applyFill="1" applyBorder="1" applyAlignment="1" applyProtection="1">
      <alignment horizontal="center" vertical="center"/>
    </xf>
    <xf numFmtId="0" fontId="54" fillId="8" borderId="28" xfId="2" applyFont="1" applyFill="1" applyBorder="1" applyAlignment="1" applyProtection="1">
      <alignment horizontal="left" vertical="center"/>
    </xf>
    <xf numFmtId="0" fontId="33" fillId="8" borderId="28" xfId="2" applyFill="1" applyBorder="1" applyAlignment="1" applyProtection="1">
      <alignment horizontal="left" vertical="center"/>
    </xf>
    <xf numFmtId="0" fontId="32" fillId="8" borderId="28" xfId="2" applyFont="1" applyFill="1" applyBorder="1" applyAlignment="1" applyProtection="1">
      <alignment horizontal="left" vertical="center"/>
    </xf>
    <xf numFmtId="0" fontId="32" fillId="8" borderId="47" xfId="2" applyFont="1" applyFill="1" applyBorder="1" applyAlignment="1" applyProtection="1">
      <alignment horizontal="center" vertical="center"/>
    </xf>
    <xf numFmtId="0" fontId="32" fillId="8" borderId="48" xfId="2" applyFont="1" applyFill="1" applyBorder="1" applyAlignment="1" applyProtection="1">
      <alignment horizontal="center" vertical="center"/>
    </xf>
    <xf numFmtId="44" fontId="32" fillId="8" borderId="28" xfId="2" applyNumberFormat="1" applyFont="1" applyFill="1" applyBorder="1" applyAlignment="1" applyProtection="1">
      <alignment horizontal="left" vertical="center"/>
    </xf>
    <xf numFmtId="44" fontId="32" fillId="8" borderId="28" xfId="2" applyNumberFormat="1" applyFont="1" applyFill="1" applyBorder="1" applyAlignment="1" applyProtection="1">
      <alignment horizontal="left" vertical="center" shrinkToFit="1"/>
    </xf>
    <xf numFmtId="0" fontId="34" fillId="0" borderId="28" xfId="2" applyFont="1" applyBorder="1" applyAlignment="1" applyProtection="1">
      <alignment horizontal="left" vertical="center"/>
    </xf>
    <xf numFmtId="44" fontId="38" fillId="14" borderId="28" xfId="2" applyNumberFormat="1" applyFont="1" applyFill="1" applyBorder="1" applyAlignment="1" applyProtection="1">
      <alignment horizontal="left" vertical="center" shrinkToFit="1"/>
    </xf>
    <xf numFmtId="0" fontId="55" fillId="0" borderId="0" xfId="2" applyFont="1" applyBorder="1" applyAlignment="1">
      <alignment vertical="center"/>
    </xf>
    <xf numFmtId="0" fontId="32" fillId="0" borderId="0" xfId="2" applyFont="1" applyFill="1" applyBorder="1" applyAlignment="1" applyProtection="1">
      <alignment horizontal="left" vertical="center" indent="2"/>
    </xf>
    <xf numFmtId="0" fontId="32" fillId="17" borderId="0" xfId="2" applyFont="1" applyFill="1" applyBorder="1" applyAlignment="1" applyProtection="1">
      <alignment horizontal="left" vertical="center"/>
    </xf>
    <xf numFmtId="0" fontId="34" fillId="0" borderId="33" xfId="2" applyFont="1" applyBorder="1" applyAlignment="1" applyProtection="1">
      <alignment horizontal="left" vertical="center"/>
    </xf>
    <xf numFmtId="44" fontId="38" fillId="14" borderId="33" xfId="2" applyNumberFormat="1" applyFont="1" applyFill="1" applyBorder="1" applyAlignment="1" applyProtection="1">
      <alignment horizontal="left" vertical="center" shrinkToFit="1"/>
    </xf>
    <xf numFmtId="0" fontId="32" fillId="11" borderId="0" xfId="2" applyFont="1" applyFill="1" applyAlignment="1" applyProtection="1">
      <alignment horizontal="center" vertical="center"/>
      <protection locked="0"/>
    </xf>
    <xf numFmtId="0" fontId="38" fillId="0" borderId="0" xfId="2" applyFont="1" applyFill="1" applyBorder="1" applyAlignment="1" applyProtection="1">
      <alignment vertical="center"/>
    </xf>
    <xf numFmtId="0" fontId="34" fillId="0" borderId="0" xfId="2" applyFont="1" applyBorder="1" applyAlignment="1" applyProtection="1">
      <alignment horizontal="left" vertical="center"/>
    </xf>
    <xf numFmtId="44" fontId="38" fillId="0" borderId="0" xfId="2" applyNumberFormat="1" applyFont="1" applyFill="1" applyBorder="1" applyAlignment="1" applyProtection="1">
      <alignment horizontal="left" vertical="center"/>
    </xf>
    <xf numFmtId="0" fontId="32" fillId="0" borderId="0" xfId="2" applyFont="1" applyFill="1" applyAlignment="1" applyProtection="1">
      <alignment horizontal="left" vertical="center"/>
    </xf>
    <xf numFmtId="0" fontId="38" fillId="0" borderId="0" xfId="2" applyFont="1" applyBorder="1" applyAlignment="1" applyProtection="1">
      <alignment horizontal="left" vertical="center" shrinkToFit="1"/>
    </xf>
    <xf numFmtId="44" fontId="38" fillId="0" borderId="0" xfId="2" applyNumberFormat="1" applyFont="1" applyFill="1" applyBorder="1" applyAlignment="1" applyProtection="1">
      <alignment horizontal="left" vertical="center" shrinkToFit="1"/>
    </xf>
    <xf numFmtId="44" fontId="38" fillId="14" borderId="33" xfId="2" applyNumberFormat="1" applyFont="1" applyFill="1" applyBorder="1" applyAlignment="1" applyProtection="1">
      <alignment horizontal="left" vertical="center" shrinkToFit="1"/>
      <protection locked="0"/>
    </xf>
    <xf numFmtId="0" fontId="32" fillId="0" borderId="28" xfId="2" applyFont="1" applyFill="1" applyBorder="1" applyAlignment="1" applyProtection="1">
      <alignment vertical="top" wrapText="1"/>
    </xf>
    <xf numFmtId="14" fontId="49" fillId="11" borderId="0" xfId="2" applyNumberFormat="1" applyFont="1" applyFill="1" applyAlignment="1" applyProtection="1">
      <alignment horizontal="center" vertical="center"/>
      <protection locked="0"/>
    </xf>
    <xf numFmtId="0" fontId="32" fillId="18" borderId="0" xfId="2" applyFont="1" applyFill="1" applyBorder="1" applyAlignment="1" applyProtection="1">
      <alignment vertical="top" wrapText="1"/>
    </xf>
    <xf numFmtId="14" fontId="49" fillId="0" borderId="0" xfId="2" applyNumberFormat="1" applyFont="1" applyFill="1" applyAlignment="1" applyProtection="1">
      <alignment horizontal="center" vertical="center"/>
      <protection locked="0"/>
    </xf>
    <xf numFmtId="0" fontId="32" fillId="18" borderId="28" xfId="2" applyFont="1" applyFill="1" applyBorder="1" applyAlignment="1" applyProtection="1">
      <alignment vertical="top" wrapText="1"/>
    </xf>
    <xf numFmtId="0" fontId="33" fillId="0" borderId="0" xfId="2" applyBorder="1" applyProtection="1"/>
    <xf numFmtId="49" fontId="39" fillId="11" borderId="27" xfId="2" applyNumberFormat="1" applyFont="1" applyFill="1" applyBorder="1" applyAlignment="1" applyProtection="1">
      <alignment horizontal="left" vertical="center" shrinkToFit="1"/>
    </xf>
    <xf numFmtId="0" fontId="38" fillId="8" borderId="33" xfId="2" applyFont="1" applyFill="1" applyBorder="1" applyAlignment="1" applyProtection="1">
      <alignment horizontal="left" vertical="center" shrinkToFit="1"/>
    </xf>
    <xf numFmtId="0" fontId="38" fillId="8" borderId="33" xfId="2" applyFont="1" applyFill="1" applyBorder="1" applyAlignment="1" applyProtection="1">
      <alignment horizontal="left" vertical="center"/>
    </xf>
    <xf numFmtId="0" fontId="38" fillId="8" borderId="33" xfId="2" applyFont="1" applyFill="1" applyBorder="1" applyAlignment="1" applyProtection="1">
      <alignment horizontal="center" vertical="center"/>
    </xf>
    <xf numFmtId="44" fontId="32" fillId="11" borderId="27" xfId="2" applyNumberFormat="1" applyFont="1" applyFill="1" applyBorder="1" applyAlignment="1" applyProtection="1">
      <alignment horizontal="left" vertical="center" shrinkToFit="1"/>
    </xf>
    <xf numFmtId="0" fontId="32" fillId="11" borderId="31" xfId="2" applyFont="1" applyFill="1" applyBorder="1" applyAlignment="1" applyProtection="1">
      <alignment horizontal="left" vertical="center"/>
    </xf>
    <xf numFmtId="0" fontId="32" fillId="11" borderId="31" xfId="2" applyFont="1" applyFill="1" applyBorder="1" applyAlignment="1" applyProtection="1">
      <alignment horizontal="center" vertical="center"/>
    </xf>
    <xf numFmtId="44" fontId="32" fillId="11" borderId="31" xfId="2" applyNumberFormat="1" applyFont="1" applyFill="1" applyBorder="1" applyAlignment="1" applyProtection="1">
      <alignment horizontal="left" vertical="center" shrinkToFit="1"/>
    </xf>
    <xf numFmtId="0" fontId="34" fillId="0" borderId="33" xfId="2" applyFont="1" applyBorder="1" applyAlignment="1" applyProtection="1">
      <alignment horizontal="left" vertical="center" shrinkToFit="1"/>
    </xf>
    <xf numFmtId="44" fontId="38" fillId="8" borderId="33" xfId="2" applyNumberFormat="1" applyFont="1" applyFill="1" applyBorder="1" applyAlignment="1" applyProtection="1">
      <alignment horizontal="left" vertical="center" shrinkToFit="1"/>
    </xf>
    <xf numFmtId="0" fontId="40" fillId="0" borderId="0" xfId="2" applyFont="1" applyFill="1" applyBorder="1" applyAlignment="1">
      <alignment horizontal="left" vertical="center" shrinkToFit="1"/>
    </xf>
    <xf numFmtId="0" fontId="62" fillId="0" borderId="0" xfId="2" applyFont="1" applyFill="1" applyBorder="1" applyAlignment="1">
      <alignment horizontal="left" vertical="center" shrinkToFit="1"/>
    </xf>
    <xf numFmtId="0" fontId="38" fillId="17" borderId="0" xfId="2" applyFont="1" applyFill="1" applyBorder="1" applyAlignment="1" applyProtection="1">
      <alignment horizontal="left" vertical="center" shrinkToFit="1"/>
    </xf>
    <xf numFmtId="0" fontId="32" fillId="0" borderId="0" xfId="2" applyFont="1" applyBorder="1" applyAlignment="1" applyProtection="1">
      <alignment horizontal="left" vertical="center"/>
    </xf>
    <xf numFmtId="0" fontId="32" fillId="18" borderId="0" xfId="2" applyFont="1" applyFill="1" applyBorder="1" applyAlignment="1" applyProtection="1">
      <alignment vertical="top" wrapText="1"/>
      <protection locked="0"/>
    </xf>
    <xf numFmtId="0" fontId="32" fillId="18" borderId="28" xfId="2" applyFont="1" applyFill="1" applyBorder="1" applyAlignment="1" applyProtection="1">
      <alignment vertical="top" wrapText="1"/>
      <protection locked="0"/>
    </xf>
    <xf numFmtId="0" fontId="42" fillId="17" borderId="0" xfId="2" applyFont="1" applyFill="1" applyBorder="1" applyAlignment="1" applyProtection="1">
      <alignment vertical="center"/>
    </xf>
    <xf numFmtId="0" fontId="63" fillId="0" borderId="50" xfId="3" applyFont="1" applyBorder="1" applyAlignment="1">
      <alignment shrinkToFit="1"/>
    </xf>
    <xf numFmtId="0" fontId="63" fillId="0" borderId="51" xfId="3" applyFont="1" applyBorder="1" applyAlignment="1">
      <alignment shrinkToFit="1"/>
    </xf>
    <xf numFmtId="0" fontId="63" fillId="0" borderId="52" xfId="3" applyFont="1" applyBorder="1" applyAlignment="1">
      <alignment shrinkToFit="1"/>
    </xf>
    <xf numFmtId="0" fontId="63" fillId="0" borderId="0" xfId="3" applyFont="1" applyBorder="1" applyAlignment="1">
      <alignment shrinkToFit="1"/>
    </xf>
    <xf numFmtId="0" fontId="63" fillId="0" borderId="0" xfId="3" applyFont="1" applyAlignment="1">
      <alignment shrinkToFit="1"/>
    </xf>
    <xf numFmtId="0" fontId="63" fillId="0" borderId="53" xfId="3" applyFont="1" applyBorder="1" applyAlignment="1">
      <alignment shrinkToFit="1"/>
    </xf>
    <xf numFmtId="0" fontId="63" fillId="0" borderId="54" xfId="3" applyFont="1" applyBorder="1" applyAlignment="1">
      <alignment shrinkToFit="1"/>
    </xf>
    <xf numFmtId="0" fontId="65" fillId="0" borderId="0" xfId="3" applyFont="1" applyBorder="1" applyAlignment="1">
      <alignment shrinkToFit="1"/>
    </xf>
    <xf numFmtId="0" fontId="65" fillId="0" borderId="0" xfId="3" applyFont="1" applyBorder="1" applyAlignment="1"/>
    <xf numFmtId="0" fontId="63" fillId="0" borderId="57" xfId="3" applyFont="1" applyBorder="1" applyAlignment="1">
      <alignment shrinkToFit="1"/>
    </xf>
    <xf numFmtId="0" fontId="63" fillId="0" borderId="0" xfId="3" applyFont="1" applyBorder="1" applyAlignment="1">
      <alignment horizontal="left" shrinkToFit="1"/>
    </xf>
    <xf numFmtId="0" fontId="65" fillId="0" borderId="0" xfId="3" applyFont="1" applyBorder="1" applyAlignment="1">
      <alignment horizontal="right" shrinkToFit="1"/>
    </xf>
    <xf numFmtId="0" fontId="63" fillId="0" borderId="58" xfId="3" applyFont="1" applyBorder="1" applyAlignment="1">
      <alignment shrinkToFit="1"/>
    </xf>
    <xf numFmtId="0" fontId="63" fillId="0" borderId="60" xfId="3" applyFont="1" applyBorder="1" applyAlignment="1">
      <alignment shrinkToFit="1"/>
    </xf>
    <xf numFmtId="0" fontId="3" fillId="0" borderId="0" xfId="3"/>
    <xf numFmtId="0" fontId="68" fillId="0" borderId="0" xfId="4" applyFont="1"/>
    <xf numFmtId="0" fontId="68" fillId="0" borderId="0" xfId="4" applyFont="1" applyAlignment="1">
      <alignment shrinkToFit="1"/>
    </xf>
    <xf numFmtId="0" fontId="68" fillId="0" borderId="0" xfId="4" applyFont="1" applyBorder="1" applyAlignment="1">
      <alignment shrinkToFit="1"/>
    </xf>
    <xf numFmtId="0" fontId="70" fillId="0" borderId="0" xfId="4" applyFont="1" applyBorder="1" applyAlignment="1">
      <alignment shrinkToFit="1"/>
    </xf>
    <xf numFmtId="0" fontId="75" fillId="0" borderId="56" xfId="4" applyFont="1" applyBorder="1" applyAlignment="1">
      <alignment vertical="center" shrinkToFit="1"/>
    </xf>
    <xf numFmtId="0" fontId="68" fillId="0" borderId="56" xfId="4" applyFont="1" applyBorder="1" applyAlignment="1">
      <alignment shrinkToFit="1"/>
    </xf>
    <xf numFmtId="0" fontId="76" fillId="0" borderId="0" xfId="4" applyFont="1"/>
    <xf numFmtId="0" fontId="68" fillId="0" borderId="0" xfId="4" applyFont="1" applyAlignment="1">
      <alignment horizontal="right" shrinkToFit="1"/>
    </xf>
    <xf numFmtId="0" fontId="68" fillId="0" borderId="0" xfId="4" applyFont="1" applyBorder="1" applyAlignment="1"/>
    <xf numFmtId="0" fontId="68" fillId="0" borderId="0" xfId="4" applyFont="1" applyBorder="1"/>
    <xf numFmtId="0" fontId="68" fillId="0" borderId="0" xfId="4" applyFont="1" applyAlignment="1">
      <alignment horizontal="right"/>
    </xf>
    <xf numFmtId="0" fontId="68" fillId="0" borderId="63" xfId="4" applyFont="1" applyBorder="1"/>
    <xf numFmtId="0" fontId="83" fillId="0" borderId="57" xfId="4" applyFont="1" applyBorder="1" applyAlignment="1">
      <alignment horizontal="center"/>
    </xf>
    <xf numFmtId="0" fontId="68" fillId="0" borderId="57" xfId="4" applyFont="1" applyBorder="1"/>
    <xf numFmtId="0" fontId="68" fillId="0" borderId="62" xfId="4" applyFont="1" applyBorder="1"/>
    <xf numFmtId="0" fontId="68" fillId="25" borderId="57" xfId="4" applyFont="1" applyFill="1" applyBorder="1"/>
    <xf numFmtId="0" fontId="68" fillId="25" borderId="62" xfId="4" applyFont="1" applyFill="1" applyBorder="1"/>
    <xf numFmtId="0" fontId="83" fillId="0" borderId="0" xfId="4" applyFont="1" applyBorder="1" applyAlignment="1">
      <alignment horizontal="center"/>
    </xf>
    <xf numFmtId="0" fontId="68" fillId="0" borderId="64" xfId="4" applyFont="1" applyBorder="1"/>
    <xf numFmtId="0" fontId="68" fillId="25" borderId="0" xfId="4" applyFont="1" applyFill="1" applyBorder="1"/>
    <xf numFmtId="0" fontId="68" fillId="25" borderId="64" xfId="4" applyFont="1" applyFill="1" applyBorder="1"/>
    <xf numFmtId="0" fontId="83" fillId="0" borderId="63" xfId="4" applyFont="1" applyBorder="1" applyAlignment="1">
      <alignment horizontal="center"/>
    </xf>
    <xf numFmtId="0" fontId="68" fillId="0" borderId="63" xfId="4" applyFont="1" applyBorder="1" applyAlignment="1">
      <alignment shrinkToFit="1"/>
    </xf>
    <xf numFmtId="0" fontId="2" fillId="0" borderId="0" xfId="4" applyAlignment="1">
      <alignment shrinkToFit="1"/>
    </xf>
    <xf numFmtId="0" fontId="2" fillId="0" borderId="0" xfId="4" applyBorder="1" applyAlignment="1">
      <alignment shrinkToFit="1"/>
    </xf>
    <xf numFmtId="0" fontId="31" fillId="25" borderId="63" xfId="4" applyFont="1" applyFill="1" applyBorder="1" applyAlignment="1">
      <alignment shrinkToFit="1"/>
    </xf>
    <xf numFmtId="0" fontId="31" fillId="25" borderId="0" xfId="4" applyFont="1" applyFill="1" applyAlignment="1">
      <alignment shrinkToFit="1"/>
    </xf>
    <xf numFmtId="0" fontId="31" fillId="25" borderId="0" xfId="4" applyFont="1" applyFill="1" applyBorder="1" applyAlignment="1">
      <alignment shrinkToFit="1"/>
    </xf>
    <xf numFmtId="0" fontId="68" fillId="0" borderId="63" xfId="4" applyFont="1" applyBorder="1" applyAlignment="1"/>
    <xf numFmtId="0" fontId="2" fillId="0" borderId="0" xfId="4" applyAlignment="1"/>
    <xf numFmtId="0" fontId="2" fillId="0" borderId="63" xfId="4" applyBorder="1" applyAlignment="1"/>
    <xf numFmtId="0" fontId="2" fillId="0" borderId="0" xfId="4" applyBorder="1" applyAlignment="1"/>
    <xf numFmtId="0" fontId="68" fillId="0" borderId="64" xfId="4" applyFont="1" applyBorder="1" applyAlignment="1"/>
    <xf numFmtId="0" fontId="2" fillId="0" borderId="64" xfId="4" applyBorder="1" applyAlignment="1"/>
    <xf numFmtId="0" fontId="2" fillId="0" borderId="65" xfId="4" applyBorder="1" applyAlignment="1"/>
    <xf numFmtId="0" fontId="2" fillId="0" borderId="55" xfId="4" applyBorder="1" applyAlignment="1"/>
    <xf numFmtId="0" fontId="68" fillId="0" borderId="55" xfId="4" applyFont="1" applyBorder="1"/>
    <xf numFmtId="0" fontId="2" fillId="0" borderId="66" xfId="4" applyBorder="1" applyAlignment="1"/>
    <xf numFmtId="0" fontId="68" fillId="0" borderId="65" xfId="4" applyFont="1" applyBorder="1"/>
    <xf numFmtId="0" fontId="68" fillId="0" borderId="66" xfId="4" applyFont="1" applyBorder="1"/>
    <xf numFmtId="0" fontId="68" fillId="0" borderId="0" xfId="4" applyFont="1" applyFill="1" applyBorder="1"/>
    <xf numFmtId="0" fontId="68" fillId="0" borderId="64" xfId="4" applyFont="1" applyFill="1" applyBorder="1"/>
    <xf numFmtId="0" fontId="68" fillId="0" borderId="63" xfId="4" applyFont="1" applyFill="1" applyBorder="1"/>
    <xf numFmtId="0" fontId="84" fillId="0" borderId="0" xfId="4" applyFont="1" applyFill="1" applyBorder="1"/>
    <xf numFmtId="0" fontId="68" fillId="25" borderId="63" xfId="4" applyFont="1" applyFill="1" applyBorder="1"/>
    <xf numFmtId="0" fontId="68" fillId="25" borderId="0" xfId="4" applyFont="1" applyFill="1"/>
    <xf numFmtId="0" fontId="68" fillId="0" borderId="61" xfId="4" applyFont="1" applyBorder="1"/>
    <xf numFmtId="0" fontId="68" fillId="0" borderId="0" xfId="4" applyFont="1" applyBorder="1" applyAlignment="1">
      <alignment vertical="center" shrinkToFit="1"/>
    </xf>
    <xf numFmtId="0" fontId="2" fillId="0" borderId="0" xfId="4" applyAlignment="1">
      <alignment vertical="center" shrinkToFit="1"/>
    </xf>
    <xf numFmtId="0" fontId="83" fillId="0" borderId="55" xfId="4" applyFont="1" applyBorder="1" applyAlignment="1">
      <alignment horizontal="center"/>
    </xf>
    <xf numFmtId="0" fontId="86" fillId="0" borderId="0" xfId="4" applyFont="1" applyAlignment="1">
      <alignment vertical="center"/>
    </xf>
    <xf numFmtId="0" fontId="86" fillId="0" borderId="63" xfId="4" applyFont="1" applyBorder="1" applyAlignment="1">
      <alignment vertical="center"/>
    </xf>
    <xf numFmtId="0" fontId="68" fillId="0" borderId="0" xfId="4" applyFont="1" applyAlignment="1">
      <alignment vertical="center"/>
    </xf>
    <xf numFmtId="0" fontId="68" fillId="0" borderId="70" xfId="4" applyFont="1" applyBorder="1"/>
    <xf numFmtId="0" fontId="86" fillId="0" borderId="70" xfId="4" applyFont="1" applyBorder="1" applyAlignment="1">
      <alignment vertical="center"/>
    </xf>
    <xf numFmtId="0" fontId="75" fillId="0" borderId="0" xfId="4" applyFont="1" applyAlignment="1">
      <alignment vertical="center"/>
    </xf>
    <xf numFmtId="0" fontId="49" fillId="0" borderId="0" xfId="4" applyFont="1" applyBorder="1" applyAlignment="1"/>
    <xf numFmtId="0" fontId="88" fillId="0" borderId="0" xfId="3" applyFont="1" applyAlignment="1">
      <alignment horizontal="centerContinuous"/>
    </xf>
    <xf numFmtId="0" fontId="89" fillId="0" borderId="0" xfId="3" applyFont="1" applyAlignment="1">
      <alignment horizontal="centerContinuous"/>
    </xf>
    <xf numFmtId="0" fontId="90" fillId="0" borderId="0" xfId="3" applyFont="1" applyAlignment="1">
      <alignment horizontal="centerContinuous"/>
    </xf>
    <xf numFmtId="0" fontId="3" fillId="0" borderId="0" xfId="3" applyAlignment="1">
      <alignment horizontal="centerContinuous"/>
    </xf>
    <xf numFmtId="0" fontId="89" fillId="0" borderId="0" xfId="3" applyFont="1"/>
    <xf numFmtId="0" fontId="3" fillId="0" borderId="50" xfId="3" applyBorder="1"/>
    <xf numFmtId="0" fontId="89" fillId="0" borderId="51" xfId="3" applyFont="1" applyBorder="1"/>
    <xf numFmtId="0" fontId="3" fillId="0" borderId="51" xfId="3" applyBorder="1"/>
    <xf numFmtId="0" fontId="3" fillId="0" borderId="52" xfId="3" applyBorder="1"/>
    <xf numFmtId="0" fontId="3" fillId="0" borderId="0" xfId="3" applyBorder="1"/>
    <xf numFmtId="0" fontId="89" fillId="0" borderId="0" xfId="3" applyFont="1" applyAlignment="1">
      <alignment horizontal="left"/>
    </xf>
    <xf numFmtId="0" fontId="91" fillId="0" borderId="0" xfId="3" applyFont="1" applyAlignment="1">
      <alignment horizontal="centerContinuous"/>
    </xf>
    <xf numFmtId="0" fontId="93" fillId="0" borderId="0" xfId="0" applyFont="1"/>
    <xf numFmtId="0" fontId="93" fillId="0" borderId="0" xfId="0" applyFont="1" applyBorder="1" applyAlignment="1">
      <alignment vertical="top"/>
    </xf>
    <xf numFmtId="0" fontId="93" fillId="0" borderId="55" xfId="0" applyFont="1" applyBorder="1" applyAlignment="1">
      <alignment vertical="top"/>
    </xf>
    <xf numFmtId="0" fontId="97" fillId="0" borderId="0" xfId="3" applyFont="1" applyBorder="1" applyAlignment="1">
      <alignment horizontal="left" vertical="center"/>
    </xf>
    <xf numFmtId="0" fontId="98" fillId="0" borderId="0" xfId="3" applyFont="1" applyBorder="1" applyAlignment="1">
      <alignment vertical="center"/>
    </xf>
    <xf numFmtId="0" fontId="97" fillId="0" borderId="0" xfId="3" applyFont="1" applyAlignment="1">
      <alignment vertical="center"/>
    </xf>
    <xf numFmtId="0" fontId="99" fillId="0" borderId="0" xfId="3" applyFont="1" applyBorder="1" applyAlignment="1">
      <alignment shrinkToFit="1"/>
    </xf>
    <xf numFmtId="0" fontId="63" fillId="0" borderId="55" xfId="3" applyFont="1" applyBorder="1" applyAlignment="1">
      <alignment horizontal="left" shrinkToFit="1"/>
    </xf>
    <xf numFmtId="0" fontId="63" fillId="0" borderId="55" xfId="3" applyFont="1" applyBorder="1" applyAlignment="1">
      <alignment horizontal="center" shrinkToFit="1"/>
    </xf>
    <xf numFmtId="49" fontId="74" fillId="0" borderId="0" xfId="4" applyNumberFormat="1" applyFont="1" applyBorder="1" applyAlignment="1">
      <alignment vertical="center" shrinkToFit="1"/>
    </xf>
    <xf numFmtId="0" fontId="74" fillId="0" borderId="0" xfId="4" applyFont="1" applyBorder="1" applyAlignment="1">
      <alignment vertical="center" shrinkToFit="1"/>
    </xf>
    <xf numFmtId="0" fontId="75" fillId="0" borderId="68" xfId="4" applyFont="1" applyBorder="1" applyAlignment="1">
      <alignment vertical="center" shrinkToFit="1"/>
    </xf>
    <xf numFmtId="0" fontId="88" fillId="0" borderId="0" xfId="3" applyFont="1"/>
    <xf numFmtId="0" fontId="89" fillId="0" borderId="0" xfId="3" applyFont="1" applyBorder="1"/>
    <xf numFmtId="0" fontId="100" fillId="0" borderId="59" xfId="3" applyFont="1" applyBorder="1" applyAlignment="1">
      <alignment horizontal="center" vertical="center"/>
    </xf>
    <xf numFmtId="0" fontId="101" fillId="0" borderId="50" xfId="3" applyFont="1" applyBorder="1" applyAlignment="1">
      <alignment horizontal="left"/>
    </xf>
    <xf numFmtId="0" fontId="101" fillId="0" borderId="50" xfId="3" applyFont="1" applyBorder="1" applyAlignment="1">
      <alignment horizontal="left" vertical="center"/>
    </xf>
    <xf numFmtId="0" fontId="103" fillId="0" borderId="0" xfId="0" applyFont="1" applyAlignment="1">
      <alignment vertical="center"/>
    </xf>
    <xf numFmtId="0" fontId="103" fillId="0" borderId="0" xfId="0" applyFont="1" applyAlignment="1">
      <alignment horizontal="right" vertical="center"/>
    </xf>
    <xf numFmtId="0" fontId="102" fillId="0" borderId="0" xfId="0" applyFont="1"/>
    <xf numFmtId="0" fontId="102" fillId="0" borderId="0" xfId="0" applyFont="1" applyAlignment="1">
      <alignment vertical="center"/>
    </xf>
    <xf numFmtId="0" fontId="104" fillId="0" borderId="0" xfId="0" applyFont="1" applyAlignment="1">
      <alignment horizontal="right" vertical="center"/>
    </xf>
    <xf numFmtId="0" fontId="105" fillId="0" borderId="0" xfId="0" applyFont="1"/>
    <xf numFmtId="0" fontId="104" fillId="0" borderId="0" xfId="0" applyFont="1" applyAlignment="1">
      <alignment vertical="center"/>
    </xf>
    <xf numFmtId="0" fontId="102" fillId="0" borderId="0" xfId="0" applyFont="1" applyAlignment="1"/>
    <xf numFmtId="0" fontId="106" fillId="0" borderId="0" xfId="0" applyFont="1" applyAlignment="1">
      <alignment horizontal="left" vertical="center"/>
    </xf>
    <xf numFmtId="0" fontId="4" fillId="0" borderId="0" xfId="0" applyFont="1" applyAlignment="1">
      <alignment horizontal="left"/>
    </xf>
    <xf numFmtId="0" fontId="3" fillId="0" borderId="0" xfId="0" applyFont="1"/>
    <xf numFmtId="0" fontId="107" fillId="0" borderId="0" xfId="4" applyFont="1"/>
    <xf numFmtId="0" fontId="8" fillId="8" borderId="5" xfId="0" applyFont="1" applyFill="1" applyBorder="1" applyAlignment="1" applyProtection="1">
      <alignment vertical="center"/>
    </xf>
    <xf numFmtId="0" fontId="8" fillId="8" borderId="14" xfId="0" applyFont="1" applyFill="1" applyBorder="1" applyAlignment="1" applyProtection="1">
      <alignment vertical="center"/>
    </xf>
    <xf numFmtId="0" fontId="32" fillId="8" borderId="30" xfId="2" applyFont="1" applyFill="1" applyBorder="1" applyAlignment="1" applyProtection="1">
      <alignment horizontal="left" vertical="center"/>
    </xf>
    <xf numFmtId="0" fontId="32" fillId="11" borderId="42" xfId="2" applyFont="1" applyFill="1" applyBorder="1" applyAlignment="1" applyProtection="1">
      <alignment horizontal="left" vertical="center"/>
    </xf>
    <xf numFmtId="0" fontId="32" fillId="11" borderId="27" xfId="2" applyFont="1" applyFill="1" applyBorder="1" applyAlignment="1" applyProtection="1">
      <alignment horizontal="left" vertical="center"/>
    </xf>
    <xf numFmtId="0" fontId="32" fillId="8" borderId="27" xfId="2" applyFont="1" applyFill="1" applyBorder="1" applyAlignment="1" applyProtection="1">
      <alignment horizontal="left" vertical="center"/>
    </xf>
    <xf numFmtId="0" fontId="33" fillId="8" borderId="27" xfId="2" applyFill="1" applyBorder="1" applyAlignment="1" applyProtection="1">
      <alignment horizontal="left" vertical="center"/>
    </xf>
    <xf numFmtId="0" fontId="32" fillId="11" borderId="30" xfId="2" applyFont="1" applyFill="1" applyBorder="1" applyAlignment="1" applyProtection="1">
      <alignment horizontal="left" vertical="center"/>
    </xf>
    <xf numFmtId="0" fontId="33" fillId="11" borderId="30" xfId="2" applyFill="1" applyBorder="1" applyAlignment="1" applyProtection="1">
      <alignment horizontal="left" vertical="center"/>
    </xf>
    <xf numFmtId="0" fontId="38" fillId="13" borderId="29" xfId="2" applyFont="1" applyFill="1" applyBorder="1" applyAlignment="1" applyProtection="1">
      <alignment horizontal="left" vertical="center" shrinkToFit="1"/>
      <protection locked="0"/>
    </xf>
    <xf numFmtId="0" fontId="34" fillId="10" borderId="0" xfId="2" applyFont="1" applyFill="1" applyBorder="1" applyAlignment="1" applyProtection="1">
      <alignment horizontal="center"/>
    </xf>
    <xf numFmtId="0" fontId="35" fillId="10" borderId="0" xfId="2" applyFont="1" applyFill="1" applyBorder="1" applyAlignment="1" applyProtection="1">
      <alignment horizontal="center" vertical="center"/>
    </xf>
    <xf numFmtId="0" fontId="38" fillId="8" borderId="27" xfId="2" applyFont="1" applyFill="1" applyBorder="1" applyAlignment="1" applyProtection="1">
      <alignment horizontal="left" vertical="center" shrinkToFit="1"/>
    </xf>
    <xf numFmtId="0" fontId="32" fillId="11" borderId="27" xfId="2" applyNumberFormat="1" applyFont="1" applyFill="1" applyBorder="1" applyAlignment="1" applyProtection="1">
      <alignment horizontal="left" vertical="center" shrinkToFit="1"/>
    </xf>
    <xf numFmtId="0" fontId="32" fillId="11" borderId="42" xfId="2" applyFont="1" applyFill="1" applyBorder="1" applyAlignment="1" applyProtection="1">
      <alignment horizontal="left" vertical="center" shrinkToFit="1"/>
    </xf>
    <xf numFmtId="0" fontId="1" fillId="0" borderId="0" xfId="2" applyFont="1" applyProtection="1"/>
    <xf numFmtId="0" fontId="1" fillId="0" borderId="0" xfId="2" applyFont="1" applyFill="1" applyAlignment="1" applyProtection="1">
      <alignment horizontal="center"/>
      <protection locked="0"/>
    </xf>
    <xf numFmtId="0" fontId="1" fillId="0" borderId="0" xfId="2" applyFont="1" applyFill="1" applyAlignment="1" applyProtection="1">
      <alignment horizontal="center"/>
    </xf>
    <xf numFmtId="167" fontId="1" fillId="0" borderId="0" xfId="2" applyNumberFormat="1" applyFont="1" applyProtection="1"/>
    <xf numFmtId="0" fontId="1" fillId="0" borderId="0" xfId="2" applyFont="1" applyProtection="1">
      <protection locked="0" hidden="1"/>
    </xf>
    <xf numFmtId="14" fontId="1" fillId="0" borderId="0" xfId="2" applyNumberFormat="1" applyFont="1" applyProtection="1"/>
    <xf numFmtId="0" fontId="1" fillId="11" borderId="0" xfId="2" applyFont="1" applyFill="1" applyAlignment="1" applyProtection="1">
      <alignment horizontal="center" vertical="center"/>
      <protection locked="0"/>
    </xf>
    <xf numFmtId="0" fontId="1" fillId="0" borderId="0" xfId="2" applyFont="1" applyFill="1" applyAlignment="1" applyProtection="1">
      <alignment horizontal="center" vertical="center"/>
    </xf>
    <xf numFmtId="0" fontId="1" fillId="0" borderId="0" xfId="2" applyFont="1" applyBorder="1" applyProtection="1"/>
    <xf numFmtId="0" fontId="1" fillId="11" borderId="0" xfId="2" applyFont="1" applyFill="1" applyBorder="1" applyProtection="1"/>
    <xf numFmtId="0" fontId="1" fillId="11" borderId="28" xfId="2" applyFont="1" applyFill="1" applyBorder="1" applyProtection="1"/>
    <xf numFmtId="8" fontId="1" fillId="0" borderId="0" xfId="2" applyNumberFormat="1" applyFont="1" applyProtection="1"/>
    <xf numFmtId="0" fontId="63" fillId="0" borderId="56" xfId="3" applyFont="1" applyBorder="1" applyAlignment="1">
      <alignment horizontal="left" shrinkToFit="1"/>
    </xf>
    <xf numFmtId="0" fontId="63" fillId="0" borderId="55" xfId="3" applyFont="1" applyBorder="1" applyAlignment="1">
      <alignment horizontal="left" shrinkToFit="1"/>
    </xf>
    <xf numFmtId="0" fontId="63" fillId="0" borderId="59" xfId="3" applyFont="1" applyBorder="1" applyAlignment="1">
      <alignment horizontal="left" shrinkToFit="1"/>
    </xf>
    <xf numFmtId="0" fontId="64" fillId="23" borderId="0" xfId="3" applyFont="1" applyFill="1" applyBorder="1" applyAlignment="1">
      <alignment horizontal="center" vertical="center" shrinkToFit="1"/>
    </xf>
    <xf numFmtId="0" fontId="63" fillId="0" borderId="56" xfId="3" applyFont="1" applyBorder="1" applyAlignment="1">
      <alignment horizontal="center" shrinkToFit="1"/>
    </xf>
    <xf numFmtId="0" fontId="65" fillId="0" borderId="55" xfId="3" applyFont="1" applyBorder="1" applyAlignment="1">
      <alignment horizontal="left" shrinkToFit="1"/>
    </xf>
    <xf numFmtId="0" fontId="7" fillId="0" borderId="51" xfId="1" applyBorder="1" applyAlignment="1" applyProtection="1">
      <alignment shrinkToFit="1"/>
    </xf>
    <xf numFmtId="0" fontId="63" fillId="0" borderId="55" xfId="3" applyFont="1" applyBorder="1" applyAlignment="1">
      <alignment horizontal="center" shrinkToFit="1"/>
    </xf>
    <xf numFmtId="0" fontId="65" fillId="0" borderId="0" xfId="3" applyFont="1" applyAlignment="1">
      <alignment horizontal="right" shrinkToFit="1"/>
    </xf>
    <xf numFmtId="0" fontId="96" fillId="23" borderId="57" xfId="3" applyFont="1" applyFill="1" applyBorder="1" applyAlignment="1">
      <alignment horizontal="center" shrinkToFit="1"/>
    </xf>
    <xf numFmtId="49" fontId="63" fillId="0" borderId="56" xfId="3" applyNumberFormat="1" applyFont="1" applyBorder="1" applyAlignment="1">
      <alignment horizontal="center" shrinkToFit="1"/>
    </xf>
    <xf numFmtId="0" fontId="65" fillId="0" borderId="56" xfId="3" applyFont="1" applyBorder="1" applyAlignment="1">
      <alignment horizontal="center" shrinkToFit="1"/>
    </xf>
    <xf numFmtId="0" fontId="99" fillId="0" borderId="55" xfId="3" applyFont="1" applyBorder="1" applyAlignment="1">
      <alignment horizontal="center" shrinkToFit="1"/>
    </xf>
    <xf numFmtId="0" fontId="96" fillId="23" borderId="0" xfId="3" applyFont="1" applyFill="1" applyAlignment="1">
      <alignment horizontal="center" shrinkToFit="1"/>
    </xf>
    <xf numFmtId="0" fontId="97" fillId="0" borderId="0" xfId="3" applyFont="1" applyFill="1" applyBorder="1" applyAlignment="1">
      <alignment horizontal="left" vertical="center" shrinkToFit="1"/>
    </xf>
    <xf numFmtId="169" fontId="63" fillId="0" borderId="55" xfId="3" applyNumberFormat="1" applyFont="1" applyBorder="1" applyAlignment="1">
      <alignment horizontal="center" shrinkToFit="1"/>
    </xf>
    <xf numFmtId="0" fontId="65" fillId="0" borderId="0" xfId="3" applyFont="1" applyBorder="1" applyAlignment="1">
      <alignment horizontal="right" shrinkToFit="1"/>
    </xf>
    <xf numFmtId="0" fontId="66" fillId="0" borderId="0" xfId="3" applyFont="1" applyBorder="1" applyAlignment="1">
      <alignment horizontal="left" shrinkToFit="1"/>
    </xf>
    <xf numFmtId="0" fontId="42" fillId="17" borderId="34" xfId="2" applyFont="1" applyFill="1" applyBorder="1" applyAlignment="1" applyProtection="1">
      <alignment horizontal="center" vertical="center"/>
    </xf>
    <xf numFmtId="0" fontId="38" fillId="8" borderId="27" xfId="2" applyFont="1" applyFill="1" applyBorder="1" applyAlignment="1" applyProtection="1">
      <alignment horizontal="left" vertical="center" indent="2"/>
    </xf>
    <xf numFmtId="0" fontId="56" fillId="14" borderId="27" xfId="2" applyFont="1" applyFill="1" applyBorder="1" applyAlignment="1" applyProtection="1">
      <alignment horizontal="left" vertical="center" wrapText="1" indent="2"/>
    </xf>
    <xf numFmtId="0" fontId="58" fillId="14" borderId="27" xfId="2" applyFont="1" applyFill="1" applyBorder="1" applyAlignment="1" applyProtection="1">
      <alignment horizontal="left" vertical="center" indent="2"/>
    </xf>
    <xf numFmtId="0" fontId="56" fillId="14" borderId="27" xfId="2" applyFont="1" applyFill="1" applyBorder="1" applyAlignment="1" applyProtection="1">
      <alignment horizontal="left" vertical="center" wrapText="1" indent="3" shrinkToFit="1"/>
    </xf>
    <xf numFmtId="0" fontId="56" fillId="14" borderId="27" xfId="2" applyFont="1" applyFill="1" applyBorder="1" applyAlignment="1" applyProtection="1">
      <alignment horizontal="left" vertical="center" wrapText="1" indent="2" shrinkToFit="1"/>
    </xf>
    <xf numFmtId="0" fontId="59" fillId="17" borderId="0" xfId="2" applyFont="1" applyFill="1" applyBorder="1" applyAlignment="1" applyProtection="1">
      <alignment horizontal="right" vertical="center" wrapText="1"/>
    </xf>
    <xf numFmtId="0" fontId="38" fillId="0" borderId="28" xfId="2" applyFont="1" applyFill="1" applyBorder="1" applyAlignment="1" applyProtection="1">
      <alignment shrinkToFit="1"/>
    </xf>
    <xf numFmtId="0" fontId="33" fillId="0" borderId="28" xfId="2" applyBorder="1" applyAlignment="1">
      <alignment shrinkToFit="1"/>
    </xf>
    <xf numFmtId="0" fontId="32" fillId="8" borderId="27" xfId="2" applyFont="1" applyFill="1" applyBorder="1" applyAlignment="1" applyProtection="1">
      <alignment horizontal="left" vertical="center"/>
    </xf>
    <xf numFmtId="0" fontId="33" fillId="8" borderId="27" xfId="2" applyFill="1" applyBorder="1" applyAlignment="1" applyProtection="1">
      <alignment horizontal="left" vertical="center"/>
    </xf>
    <xf numFmtId="0" fontId="32" fillId="11" borderId="27" xfId="2" applyFont="1" applyFill="1" applyBorder="1" applyAlignment="1" applyProtection="1">
      <alignment horizontal="left" vertical="center"/>
    </xf>
    <xf numFmtId="0" fontId="33" fillId="11" borderId="27" xfId="2" applyFill="1" applyBorder="1" applyAlignment="1" applyProtection="1">
      <alignment horizontal="left" vertical="center"/>
    </xf>
    <xf numFmtId="0" fontId="32" fillId="11" borderId="30" xfId="2" applyFont="1" applyFill="1" applyBorder="1" applyAlignment="1" applyProtection="1">
      <alignment horizontal="left" vertical="center"/>
    </xf>
    <xf numFmtId="0" fontId="33" fillId="11" borderId="30" xfId="2" applyFill="1" applyBorder="1" applyAlignment="1" applyProtection="1">
      <alignment horizontal="left" vertical="center"/>
    </xf>
    <xf numFmtId="0" fontId="32" fillId="8" borderId="30" xfId="2" applyFont="1" applyFill="1" applyBorder="1" applyAlignment="1" applyProtection="1">
      <alignment horizontal="left" vertical="center"/>
    </xf>
    <xf numFmtId="0" fontId="33" fillId="8" borderId="30" xfId="2" applyFill="1" applyBorder="1" applyAlignment="1" applyProtection="1">
      <alignment horizontal="left" vertical="center"/>
    </xf>
    <xf numFmtId="0" fontId="32" fillId="11" borderId="28" xfId="2" applyFont="1" applyFill="1" applyBorder="1" applyAlignment="1" applyProtection="1">
      <alignment horizontal="left" vertical="center" indent="2" shrinkToFit="1"/>
    </xf>
    <xf numFmtId="0" fontId="51" fillId="0" borderId="28" xfId="2" applyFont="1" applyBorder="1" applyAlignment="1">
      <alignment shrinkToFit="1"/>
    </xf>
    <xf numFmtId="0" fontId="38" fillId="14" borderId="27" xfId="2" applyFont="1" applyFill="1" applyBorder="1" applyAlignment="1" applyProtection="1">
      <alignment horizontal="left" vertical="center"/>
    </xf>
    <xf numFmtId="0" fontId="33" fillId="14" borderId="27" xfId="2" applyFill="1" applyBorder="1" applyAlignment="1">
      <alignment horizontal="left" vertical="center"/>
    </xf>
    <xf numFmtId="0" fontId="39" fillId="16" borderId="27" xfId="2" applyFont="1" applyFill="1" applyBorder="1" applyAlignment="1" applyProtection="1">
      <alignment horizontal="left" vertical="center"/>
      <protection locked="0"/>
    </xf>
    <xf numFmtId="0" fontId="53" fillId="16" borderId="27" xfId="2" applyFont="1" applyFill="1" applyBorder="1" applyAlignment="1" applyProtection="1">
      <alignment horizontal="left" vertical="center"/>
      <protection locked="0"/>
    </xf>
    <xf numFmtId="0" fontId="32" fillId="11" borderId="42" xfId="2" applyFont="1" applyFill="1" applyBorder="1" applyAlignment="1" applyProtection="1">
      <alignment horizontal="left" vertical="center"/>
    </xf>
    <xf numFmtId="0" fontId="38" fillId="16" borderId="27" xfId="2" applyFont="1" applyFill="1" applyBorder="1" applyAlignment="1" applyProtection="1">
      <alignment horizontal="left" vertical="center"/>
      <protection locked="0"/>
    </xf>
    <xf numFmtId="0" fontId="33" fillId="0" borderId="27" xfId="2" applyBorder="1" applyAlignment="1" applyProtection="1">
      <alignment horizontal="left" vertical="center"/>
      <protection locked="0"/>
    </xf>
    <xf numFmtId="0" fontId="38" fillId="14" borderId="34" xfId="2" applyFont="1" applyFill="1" applyBorder="1" applyAlignment="1" applyProtection="1">
      <alignment horizontal="center" vertical="center" wrapText="1"/>
    </xf>
    <xf numFmtId="0" fontId="38" fillId="14" borderId="0" xfId="2" applyFont="1" applyFill="1" applyBorder="1" applyAlignment="1" applyProtection="1">
      <alignment horizontal="center" vertical="center" wrapText="1"/>
    </xf>
    <xf numFmtId="0" fontId="38" fillId="14" borderId="28" xfId="2" applyFont="1" applyFill="1" applyBorder="1" applyAlignment="1" applyProtection="1">
      <alignment horizontal="center" vertical="center" wrapText="1"/>
    </xf>
    <xf numFmtId="0" fontId="32" fillId="11" borderId="34" xfId="2" applyFont="1" applyFill="1" applyBorder="1" applyAlignment="1" applyProtection="1">
      <alignment horizontal="left" vertical="center" wrapText="1" indent="2"/>
    </xf>
    <xf numFmtId="0" fontId="32" fillId="11" borderId="34" xfId="2" applyFont="1" applyFill="1" applyBorder="1" applyAlignment="1" applyProtection="1">
      <alignment horizontal="left" vertical="center" indent="2"/>
    </xf>
    <xf numFmtId="0" fontId="32" fillId="11" borderId="34" xfId="2" applyFont="1" applyFill="1" applyBorder="1" applyAlignment="1" applyProtection="1">
      <alignment horizontal="left" vertical="center" indent="2" shrinkToFit="1"/>
    </xf>
    <xf numFmtId="0" fontId="51" fillId="0" borderId="34" xfId="2" applyFont="1" applyBorder="1" applyAlignment="1">
      <alignment shrinkToFit="1"/>
    </xf>
    <xf numFmtId="0" fontId="32" fillId="11" borderId="0" xfId="2" applyFont="1" applyFill="1" applyBorder="1" applyAlignment="1" applyProtection="1">
      <alignment horizontal="left" vertical="center" wrapText="1" indent="2"/>
    </xf>
    <xf numFmtId="0" fontId="32" fillId="11" borderId="0" xfId="2" applyFont="1" applyFill="1" applyBorder="1" applyAlignment="1" applyProtection="1">
      <alignment horizontal="left" vertical="center" indent="2"/>
    </xf>
    <xf numFmtId="0" fontId="32" fillId="11" borderId="0" xfId="2" applyFont="1" applyFill="1" applyBorder="1" applyAlignment="1" applyProtection="1">
      <alignment horizontal="left" vertical="center" indent="2" shrinkToFit="1"/>
    </xf>
    <xf numFmtId="0" fontId="51" fillId="0" borderId="0" xfId="2" applyFont="1" applyBorder="1" applyAlignment="1">
      <alignment shrinkToFit="1"/>
    </xf>
    <xf numFmtId="0" fontId="32" fillId="11" borderId="28" xfId="2" applyFont="1" applyFill="1" applyBorder="1" applyAlignment="1" applyProtection="1">
      <alignment horizontal="left" vertical="center" wrapText="1" indent="2"/>
    </xf>
    <xf numFmtId="0" fontId="32" fillId="11" borderId="28" xfId="2" applyFont="1" applyFill="1" applyBorder="1" applyAlignment="1" applyProtection="1">
      <alignment horizontal="left" vertical="center" indent="2"/>
    </xf>
    <xf numFmtId="0" fontId="42" fillId="14" borderId="27" xfId="2" applyFont="1" applyFill="1" applyBorder="1" applyAlignment="1">
      <alignment horizontal="left" vertical="center" indent="2" shrinkToFit="1"/>
    </xf>
    <xf numFmtId="2" fontId="44" fillId="14" borderId="33" xfId="2" applyNumberFormat="1" applyFont="1" applyFill="1" applyBorder="1" applyAlignment="1" applyProtection="1">
      <alignment horizontal="left" vertical="center" wrapText="1" indent="2" shrinkToFit="1"/>
    </xf>
    <xf numFmtId="0" fontId="38" fillId="14" borderId="33" xfId="2" applyFont="1" applyFill="1" applyBorder="1" applyAlignment="1" applyProtection="1">
      <alignment horizontal="left" vertical="center" shrinkToFit="1"/>
    </xf>
    <xf numFmtId="0" fontId="33" fillId="0" borderId="33" xfId="2" applyBorder="1" applyAlignment="1">
      <alignment shrinkToFit="1"/>
    </xf>
    <xf numFmtId="0" fontId="38" fillId="14" borderId="27" xfId="2" applyFont="1" applyFill="1" applyBorder="1" applyAlignment="1" applyProtection="1">
      <alignment horizontal="left" vertical="center" shrinkToFit="1"/>
    </xf>
    <xf numFmtId="0" fontId="33" fillId="14" borderId="27" xfId="2" applyFill="1" applyBorder="1" applyAlignment="1">
      <alignment horizontal="left" vertical="center" shrinkToFit="1"/>
    </xf>
    <xf numFmtId="0" fontId="8" fillId="16" borderId="27" xfId="2" applyFont="1" applyFill="1" applyBorder="1" applyAlignment="1" applyProtection="1">
      <alignment horizontal="left" vertical="center"/>
      <protection locked="0"/>
    </xf>
    <xf numFmtId="0" fontId="47" fillId="16" borderId="27" xfId="2" applyFont="1" applyFill="1" applyBorder="1" applyAlignment="1" applyProtection="1">
      <alignment horizontal="left" vertical="center"/>
      <protection locked="0"/>
    </xf>
    <xf numFmtId="0" fontId="41" fillId="16" borderId="27" xfId="2" applyFont="1" applyFill="1" applyBorder="1" applyAlignment="1" applyProtection="1">
      <alignment horizontal="left" vertical="center"/>
      <protection locked="0"/>
    </xf>
    <xf numFmtId="0" fontId="38" fillId="14" borderId="27" xfId="2" applyFont="1" applyFill="1" applyBorder="1" applyAlignment="1">
      <alignment horizontal="center" vertical="center" shrinkToFit="1"/>
    </xf>
    <xf numFmtId="0" fontId="38" fillId="13" borderId="27" xfId="2" applyFont="1" applyFill="1" applyBorder="1" applyAlignment="1" applyProtection="1">
      <alignment horizontal="left" vertical="center" shrinkToFit="1"/>
      <protection locked="0"/>
    </xf>
    <xf numFmtId="0" fontId="33" fillId="0" borderId="27" xfId="2" applyBorder="1" applyAlignment="1" applyProtection="1">
      <alignment horizontal="left" vertical="center" shrinkToFit="1"/>
      <protection locked="0"/>
    </xf>
    <xf numFmtId="0" fontId="33" fillId="13" borderId="27" xfId="2" applyFill="1" applyBorder="1" applyAlignment="1" applyProtection="1">
      <alignment horizontal="left" vertical="center" shrinkToFit="1"/>
      <protection locked="0"/>
    </xf>
    <xf numFmtId="0" fontId="33" fillId="0" borderId="27" xfId="2" applyBorder="1" applyAlignment="1" applyProtection="1">
      <alignment shrinkToFit="1"/>
      <protection locked="0"/>
    </xf>
    <xf numFmtId="0" fontId="38" fillId="12" borderId="27" xfId="2" applyFont="1" applyFill="1" applyBorder="1" applyAlignment="1" applyProtection="1">
      <alignment horizontal="left" vertical="center" shrinkToFit="1"/>
    </xf>
    <xf numFmtId="0" fontId="8" fillId="13" borderId="27" xfId="2" applyFont="1" applyFill="1" applyBorder="1" applyAlignment="1" applyProtection="1">
      <alignment horizontal="left" vertical="center"/>
      <protection locked="0"/>
    </xf>
    <xf numFmtId="0" fontId="41" fillId="13" borderId="27" xfId="2" applyFont="1" applyFill="1" applyBorder="1" applyAlignment="1" applyProtection="1">
      <alignment horizontal="left" vertical="center"/>
      <protection locked="0"/>
    </xf>
    <xf numFmtId="0" fontId="33" fillId="0" borderId="27" xfId="2" applyBorder="1" applyAlignment="1" applyProtection="1">
      <protection locked="0"/>
    </xf>
    <xf numFmtId="0" fontId="38" fillId="12" borderId="31" xfId="2" applyFont="1" applyFill="1" applyBorder="1" applyAlignment="1" applyProtection="1">
      <alignment horizontal="left" vertical="center" shrinkToFit="1"/>
    </xf>
    <xf numFmtId="0" fontId="33" fillId="0" borderId="31" xfId="2" applyBorder="1" applyAlignment="1">
      <alignment horizontal="left" vertical="center" shrinkToFit="1"/>
    </xf>
    <xf numFmtId="0" fontId="38" fillId="12" borderId="31" xfId="2" applyFont="1" applyFill="1" applyBorder="1" applyAlignment="1" applyProtection="1">
      <alignment horizontal="center" vertical="center" shrinkToFit="1"/>
    </xf>
    <xf numFmtId="0" fontId="33" fillId="0" borderId="31" xfId="2" applyBorder="1" applyAlignment="1" applyProtection="1">
      <alignment horizontal="center" vertical="center" shrinkToFit="1"/>
    </xf>
    <xf numFmtId="0" fontId="34" fillId="10" borderId="0" xfId="2" applyFont="1" applyFill="1" applyBorder="1" applyAlignment="1" applyProtection="1">
      <alignment horizontal="center"/>
    </xf>
    <xf numFmtId="0" fontId="34" fillId="11" borderId="24" xfId="2" applyFont="1" applyFill="1" applyBorder="1" applyAlignment="1" applyProtection="1">
      <alignment horizontal="left" vertical="center"/>
      <protection locked="0"/>
    </xf>
    <xf numFmtId="0" fontId="33" fillId="0" borderId="25" xfId="2" applyBorder="1" applyAlignment="1" applyProtection="1">
      <alignment horizontal="left" vertical="center"/>
      <protection locked="0"/>
    </xf>
    <xf numFmtId="0" fontId="36" fillId="10" borderId="0" xfId="2" applyFont="1" applyFill="1" applyBorder="1" applyAlignment="1" applyProtection="1">
      <alignment horizontal="center" vertical="center" shrinkToFit="1"/>
    </xf>
    <xf numFmtId="0" fontId="33" fillId="0" borderId="0" xfId="2" applyAlignment="1">
      <alignment horizontal="center" shrinkToFit="1"/>
    </xf>
    <xf numFmtId="167" fontId="37" fillId="11" borderId="24" xfId="2" applyNumberFormat="1" applyFont="1" applyFill="1" applyBorder="1" applyAlignment="1" applyProtection="1">
      <alignment horizontal="center" vertical="center"/>
    </xf>
    <xf numFmtId="167" fontId="37" fillId="11" borderId="27" xfId="2" applyNumberFormat="1" applyFont="1" applyFill="1" applyBorder="1" applyAlignment="1" applyProtection="1">
      <alignment horizontal="center" vertical="center"/>
    </xf>
    <xf numFmtId="167" fontId="37" fillId="11" borderId="25" xfId="2" applyNumberFormat="1" applyFont="1" applyFill="1" applyBorder="1" applyAlignment="1" applyProtection="1">
      <alignment horizontal="center" vertical="center"/>
    </xf>
    <xf numFmtId="0" fontId="5" fillId="11" borderId="24" xfId="2" applyNumberFormat="1" applyFont="1" applyFill="1" applyBorder="1" applyAlignment="1" applyProtection="1">
      <alignment horizontal="left" vertical="center" shrinkToFit="1"/>
      <protection locked="0"/>
    </xf>
    <xf numFmtId="0" fontId="33" fillId="0" borderId="25" xfId="2" applyBorder="1" applyAlignment="1" applyProtection="1">
      <alignment horizontal="left" vertical="center" shrinkToFit="1"/>
      <protection locked="0"/>
    </xf>
    <xf numFmtId="170" fontId="38" fillId="13" borderId="29" xfId="2" applyNumberFormat="1" applyFont="1" applyFill="1" applyBorder="1" applyAlignment="1" applyProtection="1">
      <alignment horizontal="left" vertical="center" shrinkToFit="1"/>
      <protection locked="0"/>
    </xf>
    <xf numFmtId="0" fontId="33" fillId="0" borderId="29" xfId="2" applyBorder="1" applyAlignment="1" applyProtection="1">
      <protection locked="0"/>
    </xf>
    <xf numFmtId="0" fontId="38" fillId="13" borderId="29" xfId="2" applyFont="1" applyFill="1" applyBorder="1" applyAlignment="1" applyProtection="1">
      <alignment horizontal="left" vertical="center" shrinkToFit="1"/>
      <protection locked="0"/>
    </xf>
    <xf numFmtId="0" fontId="33" fillId="0" borderId="29" xfId="2" applyBorder="1" applyAlignment="1" applyProtection="1">
      <alignment vertical="center" shrinkToFit="1"/>
      <protection locked="0"/>
    </xf>
    <xf numFmtId="0" fontId="42" fillId="17" borderId="33" xfId="2" applyFont="1" applyFill="1" applyBorder="1" applyAlignment="1" applyProtection="1">
      <alignment horizontal="center" vertical="center" wrapText="1"/>
    </xf>
    <xf numFmtId="0" fontId="32" fillId="11" borderId="27" xfId="2" applyFont="1" applyFill="1" applyBorder="1" applyAlignment="1" applyProtection="1">
      <alignment horizontal="left" vertical="center" shrinkToFit="1"/>
    </xf>
    <xf numFmtId="0" fontId="33" fillId="11" borderId="27" xfId="2" applyFill="1" applyBorder="1" applyAlignment="1" applyProtection="1">
      <alignment horizontal="left" vertical="center" shrinkToFit="1"/>
    </xf>
    <xf numFmtId="0" fontId="32" fillId="11" borderId="30" xfId="2" applyFont="1" applyFill="1" applyBorder="1" applyAlignment="1" applyProtection="1">
      <alignment horizontal="left" vertical="center" shrinkToFit="1"/>
    </xf>
    <xf numFmtId="0" fontId="33" fillId="11" borderId="30" xfId="2" applyFill="1" applyBorder="1" applyAlignment="1" applyProtection="1">
      <alignment horizontal="left" vertical="center" shrinkToFit="1"/>
    </xf>
    <xf numFmtId="0" fontId="32" fillId="11" borderId="31" xfId="2" applyFont="1" applyFill="1" applyBorder="1" applyAlignment="1" applyProtection="1">
      <alignment horizontal="left" vertical="center" shrinkToFit="1"/>
    </xf>
    <xf numFmtId="0" fontId="33" fillId="11" borderId="31" xfId="2" applyFill="1" applyBorder="1" applyAlignment="1" applyProtection="1">
      <alignment horizontal="left" vertical="center" shrinkToFit="1"/>
    </xf>
    <xf numFmtId="0" fontId="40" fillId="20" borderId="49" xfId="2" applyFont="1" applyFill="1" applyBorder="1" applyAlignment="1">
      <alignment horizontal="left" vertical="center" shrinkToFit="1"/>
    </xf>
    <xf numFmtId="0" fontId="62" fillId="21" borderId="49" xfId="2" applyFont="1" applyFill="1" applyBorder="1" applyAlignment="1">
      <alignment horizontal="left" vertical="center" shrinkToFit="1"/>
    </xf>
    <xf numFmtId="0" fontId="38" fillId="22" borderId="33" xfId="2" applyFont="1" applyFill="1" applyBorder="1" applyAlignment="1" applyProtection="1">
      <alignment horizontal="left" vertical="top" wrapText="1" indent="1"/>
    </xf>
    <xf numFmtId="0" fontId="38" fillId="8" borderId="27" xfId="2" applyFont="1" applyFill="1" applyBorder="1" applyAlignment="1" applyProtection="1">
      <alignment horizontal="left" vertical="center" shrinkToFit="1"/>
    </xf>
    <xf numFmtId="0" fontId="32" fillId="11" borderId="27" xfId="2" applyFont="1" applyFill="1" applyBorder="1" applyAlignment="1">
      <alignment horizontal="left" vertical="center"/>
    </xf>
    <xf numFmtId="0" fontId="38" fillId="8" borderId="31" xfId="2" applyFont="1" applyFill="1" applyBorder="1" applyAlignment="1" applyProtection="1">
      <alignment horizontal="left" vertical="center" shrinkToFit="1"/>
    </xf>
    <xf numFmtId="0" fontId="32" fillId="11" borderId="42" xfId="2" applyFont="1" applyFill="1" applyBorder="1" applyAlignment="1" applyProtection="1">
      <alignment horizontal="left" vertical="center" shrinkToFit="1"/>
    </xf>
    <xf numFmtId="0" fontId="35" fillId="10" borderId="0" xfId="2" applyFont="1" applyFill="1" applyBorder="1" applyAlignment="1" applyProtection="1">
      <alignment horizontal="center" vertical="center"/>
    </xf>
    <xf numFmtId="0" fontId="61" fillId="19" borderId="28" xfId="2" applyFont="1" applyFill="1" applyBorder="1" applyAlignment="1">
      <alignment horizontal="center" vertical="center"/>
    </xf>
    <xf numFmtId="0" fontId="38" fillId="8" borderId="29" xfId="2" applyFont="1" applyFill="1" applyBorder="1" applyAlignment="1" applyProtection="1">
      <alignment horizontal="left" vertical="center" shrinkToFit="1"/>
    </xf>
    <xf numFmtId="167" fontId="32" fillId="11" borderId="29" xfId="2" applyNumberFormat="1" applyFont="1" applyFill="1" applyBorder="1" applyAlignment="1" applyProtection="1">
      <alignment horizontal="left" vertical="center" shrinkToFit="1"/>
    </xf>
    <xf numFmtId="0" fontId="32" fillId="11" borderId="27" xfId="2" applyNumberFormat="1" applyFont="1" applyFill="1" applyBorder="1" applyAlignment="1" applyProtection="1">
      <alignment horizontal="left" vertical="center" shrinkToFit="1"/>
    </xf>
    <xf numFmtId="0" fontId="8" fillId="8" borderId="5" xfId="0" applyFont="1" applyFill="1" applyBorder="1" applyAlignment="1" applyProtection="1">
      <alignment horizontal="left" vertical="center"/>
      <protection locked="0"/>
    </xf>
    <xf numFmtId="0" fontId="8" fillId="8" borderId="14" xfId="0" applyFont="1" applyFill="1" applyBorder="1" applyAlignment="1" applyProtection="1">
      <alignment horizontal="left" vertical="center"/>
      <protection locked="0"/>
    </xf>
    <xf numFmtId="49" fontId="8" fillId="8" borderId="5" xfId="0" applyNumberFormat="1" applyFont="1" applyFill="1" applyBorder="1" applyAlignment="1" applyProtection="1">
      <alignment horizontal="left" vertical="center"/>
      <protection locked="0"/>
    </xf>
    <xf numFmtId="0" fontId="8" fillId="8" borderId="14" xfId="0" applyNumberFormat="1" applyFont="1" applyFill="1" applyBorder="1" applyAlignment="1" applyProtection="1">
      <alignment horizontal="left" vertical="center"/>
      <protection locked="0"/>
    </xf>
    <xf numFmtId="49" fontId="8" fillId="8" borderId="14" xfId="0" applyNumberFormat="1" applyFont="1" applyFill="1" applyBorder="1" applyAlignment="1" applyProtection="1">
      <alignment horizontal="left" vertical="center"/>
      <protection locked="0"/>
    </xf>
    <xf numFmtId="0" fontId="8" fillId="8" borderId="5" xfId="0" applyFont="1" applyFill="1" applyBorder="1" applyAlignment="1" applyProtection="1">
      <alignment vertical="center"/>
      <protection locked="0"/>
    </xf>
    <xf numFmtId="0" fontId="8" fillId="8" borderId="14" xfId="0" applyFont="1" applyFill="1" applyBorder="1" applyAlignment="1" applyProtection="1">
      <alignment vertical="center"/>
      <protection locked="0"/>
    </xf>
    <xf numFmtId="164" fontId="8" fillId="8" borderId="5" xfId="0" applyNumberFormat="1" applyFont="1" applyFill="1" applyBorder="1" applyAlignment="1" applyProtection="1">
      <alignment horizontal="left" vertical="center"/>
      <protection locked="0"/>
    </xf>
    <xf numFmtId="164" fontId="8" fillId="8" borderId="14" xfId="0" applyNumberFormat="1" applyFont="1" applyFill="1" applyBorder="1" applyAlignment="1" applyProtection="1">
      <alignment horizontal="left" vertical="center"/>
      <protection locked="0"/>
    </xf>
    <xf numFmtId="0" fontId="28" fillId="0" borderId="0" xfId="0" applyFont="1" applyAlignment="1" applyProtection="1">
      <alignment horizontal="center" vertical="center" wrapText="1"/>
    </xf>
    <xf numFmtId="0" fontId="6" fillId="0" borderId="21" xfId="0" applyFont="1" applyBorder="1" applyAlignment="1" applyProtection="1">
      <alignment horizontal="left" vertical="center"/>
    </xf>
    <xf numFmtId="0" fontId="6" fillId="0" borderId="22" xfId="0" applyFont="1" applyBorder="1" applyAlignment="1" applyProtection="1">
      <alignment horizontal="left" vertical="center"/>
    </xf>
    <xf numFmtId="0" fontId="8" fillId="8" borderId="5" xfId="0" applyFont="1" applyFill="1" applyBorder="1" applyAlignment="1" applyProtection="1">
      <alignment horizontal="left" vertical="center" wrapText="1"/>
      <protection locked="0"/>
    </xf>
    <xf numFmtId="0" fontId="8" fillId="8" borderId="14" xfId="0" applyFont="1" applyFill="1" applyBorder="1" applyAlignment="1" applyProtection="1">
      <alignment horizontal="left" vertical="center" wrapText="1"/>
      <protection locked="0"/>
    </xf>
    <xf numFmtId="49" fontId="8" fillId="8" borderId="5" xfId="0" applyNumberFormat="1" applyFont="1" applyFill="1" applyBorder="1" applyAlignment="1" applyProtection="1">
      <alignment horizontal="center" vertical="center" shrinkToFit="1"/>
      <protection locked="0"/>
    </xf>
    <xf numFmtId="0" fontId="8" fillId="8" borderId="14" xfId="0" applyNumberFormat="1" applyFont="1" applyFill="1" applyBorder="1" applyAlignment="1" applyProtection="1">
      <alignment horizontal="center" vertical="center" shrinkToFit="1"/>
      <protection locked="0"/>
    </xf>
    <xf numFmtId="0" fontId="8" fillId="8" borderId="5" xfId="0" applyFont="1" applyFill="1" applyBorder="1" applyAlignment="1" applyProtection="1">
      <alignment horizontal="left" vertical="center" wrapText="1" shrinkToFit="1"/>
      <protection locked="0"/>
    </xf>
    <xf numFmtId="0" fontId="8" fillId="8" borderId="14" xfId="0" applyFont="1" applyFill="1" applyBorder="1" applyAlignment="1" applyProtection="1">
      <alignment horizontal="left" vertical="center" wrapText="1" shrinkToFit="1"/>
      <protection locked="0"/>
    </xf>
    <xf numFmtId="49" fontId="8" fillId="8" borderId="14" xfId="0" applyNumberFormat="1" applyFont="1" applyFill="1" applyBorder="1" applyAlignment="1" applyProtection="1">
      <alignment horizontal="center" vertical="center" shrinkToFit="1"/>
      <protection locked="0"/>
    </xf>
    <xf numFmtId="0" fontId="8" fillId="8" borderId="19" xfId="0" applyFont="1" applyFill="1" applyBorder="1" applyAlignment="1" applyProtection="1">
      <alignment horizontal="center" vertical="center"/>
      <protection locked="0"/>
    </xf>
    <xf numFmtId="0" fontId="8" fillId="8" borderId="20" xfId="0" applyFont="1" applyFill="1" applyBorder="1" applyAlignment="1" applyProtection="1">
      <alignment horizontal="center" vertical="center"/>
      <protection locked="0"/>
    </xf>
    <xf numFmtId="0" fontId="14" fillId="8" borderId="1" xfId="0" applyFont="1" applyFill="1" applyBorder="1" applyAlignment="1" applyProtection="1">
      <alignment horizontal="left" vertical="center" wrapText="1"/>
      <protection locked="0"/>
    </xf>
    <xf numFmtId="0" fontId="14" fillId="8" borderId="14" xfId="0" applyFont="1" applyFill="1" applyBorder="1" applyAlignment="1" applyProtection="1">
      <alignment horizontal="left" vertical="center" wrapText="1"/>
      <protection locked="0"/>
    </xf>
    <xf numFmtId="0" fontId="8" fillId="0" borderId="5" xfId="0" applyFont="1" applyFill="1" applyBorder="1" applyAlignment="1" applyProtection="1">
      <alignment horizontal="left" vertical="center" wrapText="1" shrinkToFit="1"/>
    </xf>
    <xf numFmtId="0" fontId="8" fillId="0" borderId="5" xfId="0" applyFont="1" applyFill="1" applyBorder="1" applyAlignment="1" applyProtection="1">
      <alignment horizontal="left" vertical="center" shrinkToFit="1"/>
    </xf>
    <xf numFmtId="0" fontId="8" fillId="0" borderId="14" xfId="0" applyFont="1" applyFill="1" applyBorder="1" applyAlignment="1" applyProtection="1">
      <alignment horizontal="left" vertical="center" shrinkToFit="1"/>
    </xf>
    <xf numFmtId="0" fontId="0" fillId="4" borderId="0" xfId="0" applyFill="1" applyAlignment="1" applyProtection="1">
      <alignment horizontal="left" vertical="top" wrapText="1"/>
    </xf>
    <xf numFmtId="0" fontId="18" fillId="8" borderId="5" xfId="0" applyFont="1" applyFill="1" applyBorder="1" applyAlignment="1" applyProtection="1">
      <alignment horizontal="left" vertical="center" wrapText="1"/>
      <protection locked="0"/>
    </xf>
    <xf numFmtId="0" fontId="18" fillId="8" borderId="14" xfId="0" applyFont="1" applyFill="1" applyBorder="1" applyAlignment="1" applyProtection="1">
      <alignment horizontal="left" vertical="center" wrapText="1"/>
      <protection locked="0"/>
    </xf>
    <xf numFmtId="1" fontId="8" fillId="8" borderId="5" xfId="0" applyNumberFormat="1" applyFont="1" applyFill="1" applyBorder="1" applyAlignment="1" applyProtection="1">
      <alignment horizontal="left" vertical="center" wrapText="1"/>
      <protection locked="0"/>
    </xf>
    <xf numFmtId="1" fontId="8" fillId="8" borderId="14" xfId="0" applyNumberFormat="1" applyFont="1" applyFill="1" applyBorder="1" applyAlignment="1" applyProtection="1">
      <alignment horizontal="left" vertical="center" wrapText="1"/>
      <protection locked="0"/>
    </xf>
    <xf numFmtId="0" fontId="12" fillId="2" borderId="0" xfId="0" applyFont="1" applyFill="1" applyBorder="1" applyAlignment="1" applyProtection="1">
      <alignment horizontal="left" vertical="center"/>
    </xf>
    <xf numFmtId="0" fontId="24" fillId="8" borderId="21" xfId="0" applyFont="1" applyFill="1" applyBorder="1" applyAlignment="1" applyProtection="1">
      <alignment horizontal="center" vertical="center"/>
      <protection locked="0"/>
    </xf>
    <xf numFmtId="0" fontId="24" fillId="8" borderId="7" xfId="0" applyFont="1" applyFill="1" applyBorder="1" applyAlignment="1" applyProtection="1">
      <alignment horizontal="center" vertical="center"/>
      <protection locked="0"/>
    </xf>
    <xf numFmtId="0" fontId="24" fillId="8" borderId="22" xfId="0" applyFont="1" applyFill="1" applyBorder="1" applyAlignment="1" applyProtection="1">
      <alignment horizontal="center" vertical="center"/>
      <protection locked="0"/>
    </xf>
    <xf numFmtId="0" fontId="8" fillId="8" borderId="5" xfId="0" applyFont="1" applyFill="1" applyBorder="1" applyAlignment="1" applyProtection="1">
      <alignment horizontal="left" vertical="center" shrinkToFit="1"/>
      <protection locked="0"/>
    </xf>
    <xf numFmtId="0" fontId="8" fillId="8" borderId="14" xfId="0" applyFont="1" applyFill="1" applyBorder="1" applyAlignment="1" applyProtection="1">
      <alignment horizontal="left" vertical="center" shrinkToFit="1"/>
      <protection locked="0"/>
    </xf>
    <xf numFmtId="0" fontId="8" fillId="8" borderId="5" xfId="0" applyFont="1" applyFill="1" applyBorder="1" applyAlignment="1" applyProtection="1">
      <alignment horizontal="left" vertical="center"/>
    </xf>
    <xf numFmtId="0" fontId="8" fillId="8" borderId="14" xfId="0" applyFont="1" applyFill="1" applyBorder="1" applyAlignment="1" applyProtection="1">
      <alignment horizontal="left" vertical="center"/>
    </xf>
    <xf numFmtId="0" fontId="6" fillId="0" borderId="1" xfId="0" applyFont="1" applyBorder="1" applyAlignment="1" applyProtection="1">
      <alignment horizontal="left" vertical="center" wrapText="1"/>
    </xf>
    <xf numFmtId="0" fontId="6" fillId="0" borderId="5" xfId="0" applyFont="1" applyBorder="1" applyAlignment="1" applyProtection="1">
      <alignment horizontal="left" vertical="center" wrapText="1"/>
    </xf>
    <xf numFmtId="0" fontId="8" fillId="5" borderId="5" xfId="0" applyFont="1" applyFill="1" applyBorder="1" applyAlignment="1" applyProtection="1">
      <alignment horizontal="left" vertical="center"/>
      <protection locked="0"/>
    </xf>
    <xf numFmtId="0" fontId="8" fillId="5" borderId="14" xfId="0" applyFont="1" applyFill="1" applyBorder="1" applyAlignment="1" applyProtection="1">
      <alignment horizontal="left" vertical="center"/>
      <protection locked="0"/>
    </xf>
    <xf numFmtId="0" fontId="8" fillId="8" borderId="5" xfId="0" applyFont="1" applyFill="1" applyBorder="1" applyAlignment="1" applyProtection="1">
      <alignment horizontal="center" vertical="center"/>
    </xf>
    <xf numFmtId="0" fontId="8" fillId="8" borderId="14" xfId="0" applyFont="1" applyFill="1" applyBorder="1" applyAlignment="1" applyProtection="1">
      <alignment horizontal="center" vertical="center"/>
    </xf>
    <xf numFmtId="0" fontId="8" fillId="5" borderId="5" xfId="0" applyFont="1" applyFill="1" applyBorder="1" applyAlignment="1" applyProtection="1">
      <alignment horizontal="left" vertical="center" wrapText="1"/>
      <protection locked="0"/>
    </xf>
    <xf numFmtId="0" fontId="8" fillId="5" borderId="14" xfId="0" applyFont="1" applyFill="1" applyBorder="1" applyAlignment="1" applyProtection="1">
      <alignment horizontal="left" vertical="center" wrapText="1"/>
      <protection locked="0"/>
    </xf>
    <xf numFmtId="0" fontId="16" fillId="5" borderId="16" xfId="0" applyFont="1" applyFill="1" applyBorder="1" applyAlignment="1" applyProtection="1">
      <alignment horizontal="left" vertical="center"/>
      <protection locked="0"/>
    </xf>
    <xf numFmtId="0" fontId="16" fillId="5" borderId="23" xfId="0" applyFont="1" applyFill="1" applyBorder="1" applyAlignment="1" applyProtection="1">
      <alignment horizontal="left" vertical="center"/>
      <protection locked="0"/>
    </xf>
    <xf numFmtId="15" fontId="8" fillId="8" borderId="5" xfId="0" applyNumberFormat="1" applyFont="1" applyFill="1" applyBorder="1" applyAlignment="1" applyProtection="1">
      <alignment horizontal="left" vertical="center"/>
    </xf>
    <xf numFmtId="15" fontId="8" fillId="8" borderId="14" xfId="0" applyNumberFormat="1" applyFont="1" applyFill="1" applyBorder="1" applyAlignment="1" applyProtection="1">
      <alignment horizontal="left" vertical="center"/>
    </xf>
    <xf numFmtId="0" fontId="8" fillId="5" borderId="5" xfId="0" applyFont="1" applyFill="1" applyBorder="1" applyAlignment="1" applyProtection="1">
      <alignment horizontal="left" vertical="center" shrinkToFit="1"/>
      <protection locked="0"/>
    </xf>
    <xf numFmtId="0" fontId="8" fillId="5" borderId="14" xfId="0" applyFont="1" applyFill="1" applyBorder="1" applyAlignment="1" applyProtection="1">
      <alignment horizontal="left" vertical="center" shrinkToFit="1"/>
      <protection locked="0"/>
    </xf>
    <xf numFmtId="15" fontId="8" fillId="5" borderId="5" xfId="0" applyNumberFormat="1" applyFont="1" applyFill="1" applyBorder="1" applyAlignment="1" applyProtection="1">
      <alignment horizontal="left" vertical="center"/>
      <protection locked="0"/>
    </xf>
    <xf numFmtId="15" fontId="8" fillId="5" borderId="14" xfId="0" applyNumberFormat="1" applyFont="1" applyFill="1" applyBorder="1" applyAlignment="1" applyProtection="1">
      <alignment horizontal="left" vertical="center"/>
      <protection locked="0"/>
    </xf>
    <xf numFmtId="0" fontId="16" fillId="8" borderId="5" xfId="0" applyFont="1" applyFill="1" applyBorder="1" applyAlignment="1" applyProtection="1">
      <alignment horizontal="left" vertical="center" shrinkToFit="1"/>
    </xf>
    <xf numFmtId="0" fontId="16" fillId="8" borderId="14" xfId="0" applyFont="1" applyFill="1" applyBorder="1" applyAlignment="1" applyProtection="1">
      <alignment horizontal="left" vertical="center" shrinkToFit="1"/>
    </xf>
    <xf numFmtId="49" fontId="8" fillId="8" borderId="5" xfId="0" applyNumberFormat="1" applyFont="1" applyFill="1" applyBorder="1" applyAlignment="1" applyProtection="1">
      <alignment horizontal="left" vertical="center" shrinkToFit="1"/>
    </xf>
    <xf numFmtId="49" fontId="8" fillId="8" borderId="14" xfId="0" applyNumberFormat="1" applyFont="1" applyFill="1" applyBorder="1" applyAlignment="1" applyProtection="1">
      <alignment horizontal="left" vertical="center" shrinkToFit="1"/>
    </xf>
    <xf numFmtId="0" fontId="8" fillId="8" borderId="5" xfId="0" applyFont="1" applyFill="1" applyBorder="1" applyAlignment="1" applyProtection="1">
      <alignment horizontal="center" vertical="center" shrinkToFit="1"/>
      <protection locked="0" hidden="1"/>
    </xf>
    <xf numFmtId="0" fontId="8" fillId="8" borderId="5" xfId="0" applyFont="1" applyFill="1" applyBorder="1" applyAlignment="1" applyProtection="1">
      <alignment horizontal="left" vertical="center" shrinkToFit="1"/>
    </xf>
    <xf numFmtId="0" fontId="8" fillId="8" borderId="14" xfId="0" applyFont="1" applyFill="1" applyBorder="1" applyAlignment="1" applyProtection="1">
      <alignment horizontal="left" vertical="center" shrinkToFit="1"/>
    </xf>
    <xf numFmtId="0" fontId="16" fillId="5" borderId="5" xfId="0" applyFont="1" applyFill="1" applyBorder="1" applyAlignment="1" applyProtection="1">
      <alignment horizontal="left" vertical="center"/>
      <protection locked="0"/>
    </xf>
    <xf numFmtId="0" fontId="16" fillId="5" borderId="14" xfId="0" applyFont="1" applyFill="1" applyBorder="1" applyAlignment="1" applyProtection="1">
      <alignment horizontal="left" vertical="center"/>
      <protection locked="0"/>
    </xf>
    <xf numFmtId="0" fontId="14" fillId="8" borderId="1" xfId="0" applyNumberFormat="1" applyFont="1" applyFill="1" applyBorder="1" applyAlignment="1" applyProtection="1">
      <alignment horizontal="left" vertical="center" shrinkToFit="1"/>
    </xf>
    <xf numFmtId="0" fontId="14" fillId="8" borderId="14" xfId="0" applyNumberFormat="1" applyFont="1" applyFill="1" applyBorder="1" applyAlignment="1" applyProtection="1">
      <alignment horizontal="left" vertical="center" shrinkToFit="1"/>
    </xf>
    <xf numFmtId="0" fontId="14" fillId="8" borderId="1" xfId="0" applyFont="1" applyFill="1" applyBorder="1" applyAlignment="1" applyProtection="1">
      <alignment horizontal="left" vertical="center" shrinkToFit="1"/>
    </xf>
    <xf numFmtId="0" fontId="14" fillId="8" borderId="14" xfId="0" applyFont="1" applyFill="1" applyBorder="1" applyAlignment="1" applyProtection="1">
      <alignment horizontal="left" vertical="center" shrinkToFit="1"/>
    </xf>
    <xf numFmtId="0" fontId="14" fillId="8" borderId="5" xfId="0" applyFont="1" applyFill="1" applyBorder="1" applyAlignment="1" applyProtection="1">
      <alignment horizontal="left" vertical="center" shrinkToFit="1"/>
    </xf>
    <xf numFmtId="0" fontId="14" fillId="8" borderId="5" xfId="0" applyNumberFormat="1" applyFont="1" applyFill="1" applyBorder="1" applyAlignment="1" applyProtection="1">
      <alignment horizontal="left" vertical="center" shrinkToFit="1"/>
    </xf>
    <xf numFmtId="0" fontId="12" fillId="2" borderId="0" xfId="0" applyFont="1" applyFill="1" applyAlignment="1" applyProtection="1">
      <alignment horizontal="left" vertical="center"/>
    </xf>
    <xf numFmtId="165" fontId="8" fillId="5" borderId="5" xfId="0" applyNumberFormat="1" applyFont="1" applyFill="1" applyBorder="1" applyAlignment="1" applyProtection="1">
      <alignment horizontal="left" vertical="center"/>
      <protection locked="0"/>
    </xf>
    <xf numFmtId="165" fontId="8" fillId="5" borderId="14" xfId="0" applyNumberFormat="1" applyFont="1" applyFill="1" applyBorder="1" applyAlignment="1" applyProtection="1">
      <alignment horizontal="left" vertical="center"/>
      <protection locked="0"/>
    </xf>
    <xf numFmtId="0" fontId="14" fillId="5" borderId="5" xfId="0" applyFont="1" applyFill="1" applyBorder="1" applyAlignment="1" applyProtection="1">
      <alignment horizontal="left" vertical="center"/>
      <protection locked="0"/>
    </xf>
    <xf numFmtId="0" fontId="14" fillId="5" borderId="14" xfId="0" applyFont="1" applyFill="1" applyBorder="1" applyAlignment="1" applyProtection="1">
      <alignment horizontal="left" vertical="center"/>
      <protection locked="0"/>
    </xf>
    <xf numFmtId="0" fontId="14" fillId="8" borderId="5" xfId="0" applyFont="1" applyFill="1" applyBorder="1" applyAlignment="1" applyProtection="1">
      <alignment horizontal="left" vertical="center"/>
    </xf>
    <xf numFmtId="0" fontId="14" fillId="8" borderId="14" xfId="0" applyFont="1" applyFill="1" applyBorder="1" applyAlignment="1" applyProtection="1">
      <alignment horizontal="left" vertical="center"/>
    </xf>
    <xf numFmtId="0" fontId="14" fillId="5" borderId="5" xfId="0" applyNumberFormat="1" applyFont="1" applyFill="1" applyBorder="1" applyAlignment="1" applyProtection="1">
      <alignment horizontal="left" vertical="center"/>
      <protection locked="0"/>
    </xf>
    <xf numFmtId="0" fontId="14" fillId="5" borderId="14" xfId="0" applyNumberFormat="1" applyFont="1" applyFill="1" applyBorder="1" applyAlignment="1" applyProtection="1">
      <alignment horizontal="left" vertical="center"/>
      <protection locked="0"/>
    </xf>
    <xf numFmtId="0" fontId="8" fillId="5" borderId="1" xfId="0" applyFont="1" applyFill="1" applyBorder="1" applyAlignment="1" applyProtection="1">
      <alignment horizontal="left" vertical="center"/>
      <protection locked="0"/>
    </xf>
    <xf numFmtId="0" fontId="14" fillId="5" borderId="5" xfId="0" applyFont="1" applyFill="1" applyBorder="1" applyAlignment="1" applyProtection="1">
      <alignment horizontal="left" vertical="center" shrinkToFit="1"/>
      <protection locked="0"/>
    </xf>
    <xf numFmtId="0" fontId="14" fillId="5" borderId="14" xfId="0" applyFont="1" applyFill="1" applyBorder="1" applyAlignment="1" applyProtection="1">
      <alignment horizontal="left" vertical="center" shrinkToFit="1"/>
      <protection locked="0"/>
    </xf>
    <xf numFmtId="0" fontId="16" fillId="0" borderId="0" xfId="0" applyNumberFormat="1" applyFont="1" applyFill="1" applyBorder="1" applyAlignment="1" applyProtection="1">
      <alignment horizontal="right" vertical="center" shrinkToFit="1"/>
    </xf>
    <xf numFmtId="0" fontId="6" fillId="0" borderId="21" xfId="0" applyFont="1" applyBorder="1" applyAlignment="1">
      <alignment horizontal="left"/>
    </xf>
    <xf numFmtId="0" fontId="6" fillId="0" borderId="22" xfId="0" applyFont="1" applyBorder="1" applyAlignment="1">
      <alignment horizontal="left"/>
    </xf>
    <xf numFmtId="0" fontId="14" fillId="8" borderId="19" xfId="0" applyFont="1" applyFill="1" applyBorder="1" applyAlignment="1" applyProtection="1">
      <alignment horizontal="left" vertical="center" shrinkToFit="1"/>
    </xf>
    <xf numFmtId="0" fontId="14" fillId="8" borderId="20" xfId="0" applyFont="1" applyFill="1" applyBorder="1" applyAlignment="1" applyProtection="1">
      <alignment horizontal="left" vertical="center" shrinkToFit="1"/>
    </xf>
    <xf numFmtId="0" fontId="14" fillId="0" borderId="0" xfId="0" applyNumberFormat="1" applyFont="1" applyFill="1" applyBorder="1" applyAlignment="1" applyProtection="1">
      <alignment horizontal="left" vertical="center" textRotation="90" shrinkToFit="1"/>
    </xf>
    <xf numFmtId="0" fontId="8" fillId="5" borderId="5" xfId="0" applyFont="1" applyFill="1" applyBorder="1" applyAlignment="1" applyProtection="1">
      <alignment horizontal="left" vertical="center" wrapText="1" shrinkToFit="1"/>
      <protection locked="0"/>
    </xf>
    <xf numFmtId="0" fontId="8" fillId="5" borderId="14" xfId="0" applyFont="1" applyFill="1" applyBorder="1" applyAlignment="1" applyProtection="1">
      <alignment horizontal="left" vertical="center" wrapText="1" shrinkToFit="1"/>
      <protection locked="0"/>
    </xf>
    <xf numFmtId="0" fontId="14" fillId="0" borderId="0" xfId="0" applyFont="1" applyFill="1" applyBorder="1" applyAlignment="1" applyProtection="1">
      <alignment horizontal="left" vertical="top" indent="6"/>
    </xf>
    <xf numFmtId="0" fontId="0" fillId="0" borderId="0" xfId="0" applyAlignment="1">
      <alignment horizontal="center"/>
    </xf>
    <xf numFmtId="0" fontId="8" fillId="0" borderId="0" xfId="0" applyFont="1" applyFill="1" applyBorder="1" applyAlignment="1" applyProtection="1">
      <alignment horizontal="left" vertical="center" indent="4"/>
    </xf>
    <xf numFmtId="0" fontId="19" fillId="2" borderId="0" xfId="0" applyFont="1" applyFill="1" applyAlignment="1" applyProtection="1">
      <alignment horizontal="center" vertical="center"/>
    </xf>
    <xf numFmtId="49" fontId="8" fillId="8" borderId="5" xfId="0" applyNumberFormat="1" applyFont="1" applyFill="1" applyBorder="1" applyAlignment="1" applyProtection="1">
      <alignment horizontal="left" vertical="center"/>
    </xf>
    <xf numFmtId="49" fontId="8" fillId="8" borderId="14" xfId="0" applyNumberFormat="1" applyFont="1" applyFill="1" applyBorder="1" applyAlignment="1" applyProtection="1">
      <alignment horizontal="left" vertical="center"/>
    </xf>
    <xf numFmtId="0" fontId="21" fillId="2" borderId="0" xfId="0" applyFont="1" applyFill="1" applyAlignment="1" applyProtection="1">
      <alignment horizontal="center" vertical="center"/>
    </xf>
    <xf numFmtId="0" fontId="0" fillId="8" borderId="5" xfId="0" applyFont="1" applyFill="1" applyBorder="1" applyAlignment="1">
      <alignment horizontal="left" vertical="center" shrinkToFit="1"/>
    </xf>
    <xf numFmtId="0" fontId="0" fillId="8" borderId="14" xfId="0" applyFont="1" applyFill="1" applyBorder="1" applyAlignment="1">
      <alignment horizontal="left" vertical="center" shrinkToFit="1"/>
    </xf>
    <xf numFmtId="164" fontId="0" fillId="8" borderId="0" xfId="0" applyNumberFormat="1" applyFill="1" applyAlignment="1">
      <alignment horizontal="left" vertical="center"/>
    </xf>
    <xf numFmtId="0" fontId="68" fillId="0" borderId="0" xfId="4" applyFont="1" applyBorder="1" applyAlignment="1">
      <alignment horizontal="center"/>
    </xf>
    <xf numFmtId="0" fontId="75" fillId="0" borderId="56" xfId="4" applyFont="1" applyBorder="1" applyAlignment="1">
      <alignment horizontal="center" vertical="center" shrinkToFit="1"/>
    </xf>
    <xf numFmtId="49" fontId="75" fillId="0" borderId="67" xfId="4" applyNumberFormat="1" applyFont="1" applyBorder="1" applyAlignment="1">
      <alignment horizontal="right" vertical="center" shrinkToFit="1"/>
    </xf>
    <xf numFmtId="49" fontId="75" fillId="0" borderId="56" xfId="4" applyNumberFormat="1" applyFont="1" applyBorder="1" applyAlignment="1">
      <alignment horizontal="right" vertical="center" shrinkToFit="1"/>
    </xf>
    <xf numFmtId="37" fontId="75" fillId="0" borderId="56" xfId="4" applyNumberFormat="1" applyFont="1" applyBorder="1" applyAlignment="1">
      <alignment horizontal="center" vertical="center" shrinkToFit="1"/>
    </xf>
    <xf numFmtId="0" fontId="75" fillId="0" borderId="61" xfId="4" applyFont="1" applyBorder="1" applyAlignment="1">
      <alignment horizontal="center" vertical="center"/>
    </xf>
    <xf numFmtId="0" fontId="75" fillId="0" borderId="57" xfId="4" applyFont="1" applyBorder="1" applyAlignment="1">
      <alignment horizontal="center" vertical="center"/>
    </xf>
    <xf numFmtId="0" fontId="75" fillId="0" borderId="62" xfId="4" applyFont="1" applyBorder="1" applyAlignment="1">
      <alignment horizontal="center" vertical="center"/>
    </xf>
    <xf numFmtId="0" fontId="75" fillId="0" borderId="63" xfId="4" applyFont="1" applyBorder="1" applyAlignment="1">
      <alignment horizontal="center" vertical="center"/>
    </xf>
    <xf numFmtId="0" fontId="75" fillId="0" borderId="0" xfId="4" applyFont="1" applyBorder="1" applyAlignment="1">
      <alignment horizontal="center" vertical="center"/>
    </xf>
    <xf numFmtId="0" fontId="75" fillId="0" borderId="64" xfId="4" applyFont="1" applyBorder="1" applyAlignment="1">
      <alignment horizontal="center" vertical="center"/>
    </xf>
    <xf numFmtId="0" fontId="75" fillId="0" borderId="65" xfId="4" applyFont="1" applyBorder="1" applyAlignment="1">
      <alignment horizontal="center" vertical="center"/>
    </xf>
    <xf numFmtId="0" fontId="75" fillId="0" borderId="55" xfId="4" applyFont="1" applyBorder="1" applyAlignment="1">
      <alignment horizontal="center" vertical="center"/>
    </xf>
    <xf numFmtId="0" fontId="75" fillId="0" borderId="66" xfId="4" applyFont="1" applyBorder="1" applyAlignment="1">
      <alignment horizontal="center" vertical="center"/>
    </xf>
    <xf numFmtId="0" fontId="86" fillId="0" borderId="61" xfId="4" applyFont="1" applyBorder="1" applyAlignment="1">
      <alignment horizontal="center" vertical="center"/>
    </xf>
    <xf numFmtId="0" fontId="86" fillId="0" borderId="57" xfId="4" applyFont="1" applyBorder="1" applyAlignment="1">
      <alignment horizontal="center" vertical="center"/>
    </xf>
    <xf numFmtId="0" fontId="86" fillId="0" borderId="63" xfId="4" applyFont="1" applyBorder="1" applyAlignment="1">
      <alignment horizontal="center" vertical="center"/>
    </xf>
    <xf numFmtId="0" fontId="86" fillId="0" borderId="0" xfId="4" applyFont="1" applyBorder="1" applyAlignment="1">
      <alignment horizontal="center" vertical="center"/>
    </xf>
    <xf numFmtId="0" fontId="86" fillId="0" borderId="65" xfId="4" applyFont="1" applyBorder="1" applyAlignment="1">
      <alignment horizontal="center" vertical="center"/>
    </xf>
    <xf numFmtId="0" fontId="86" fillId="0" borderId="55" xfId="4" applyFont="1" applyBorder="1" applyAlignment="1">
      <alignment horizontal="center" vertical="center"/>
    </xf>
    <xf numFmtId="0" fontId="7" fillId="0" borderId="57" xfId="1" applyBorder="1" applyAlignment="1" applyProtection="1">
      <alignment horizontal="left" vertical="center"/>
    </xf>
    <xf numFmtId="0" fontId="7" fillId="0" borderId="62" xfId="1" applyBorder="1" applyAlignment="1" applyProtection="1">
      <alignment horizontal="left" vertical="center"/>
    </xf>
    <xf numFmtId="0" fontId="7" fillId="0" borderId="0" xfId="1" applyBorder="1" applyAlignment="1" applyProtection="1">
      <alignment horizontal="left" vertical="center"/>
    </xf>
    <xf numFmtId="0" fontId="7" fillId="0" borderId="64" xfId="1" applyBorder="1" applyAlignment="1" applyProtection="1">
      <alignment horizontal="left" vertical="center"/>
    </xf>
    <xf numFmtId="0" fontId="7" fillId="0" borderId="55" xfId="1" applyBorder="1" applyAlignment="1" applyProtection="1">
      <alignment horizontal="left" vertical="center"/>
    </xf>
    <xf numFmtId="0" fontId="7" fillId="0" borderId="66" xfId="1" applyBorder="1" applyAlignment="1" applyProtection="1">
      <alignment horizontal="left" vertical="center"/>
    </xf>
    <xf numFmtId="0" fontId="86" fillId="0" borderId="61" xfId="4" applyFont="1" applyBorder="1" applyAlignment="1">
      <alignment horizontal="left" vertical="center"/>
    </xf>
    <xf numFmtId="0" fontId="86" fillId="0" borderId="57" xfId="4" applyFont="1" applyBorder="1" applyAlignment="1">
      <alignment horizontal="left" vertical="center"/>
    </xf>
    <xf numFmtId="0" fontId="86" fillId="0" borderId="62" xfId="4" applyFont="1" applyBorder="1" applyAlignment="1">
      <alignment horizontal="left" vertical="center"/>
    </xf>
    <xf numFmtId="0" fontId="86" fillId="0" borderId="63" xfId="4" applyFont="1" applyBorder="1" applyAlignment="1">
      <alignment horizontal="left" vertical="center"/>
    </xf>
    <xf numFmtId="0" fontId="86" fillId="0" borderId="0" xfId="4" applyFont="1" applyBorder="1" applyAlignment="1">
      <alignment horizontal="left" vertical="center"/>
    </xf>
    <xf numFmtId="0" fontId="86" fillId="0" borderId="64" xfId="4" applyFont="1" applyBorder="1" applyAlignment="1">
      <alignment horizontal="left" vertical="center"/>
    </xf>
    <xf numFmtId="0" fontId="86" fillId="0" borderId="65" xfId="4" applyFont="1" applyBorder="1" applyAlignment="1">
      <alignment horizontal="left" vertical="center"/>
    </xf>
    <xf numFmtId="0" fontId="86" fillId="0" borderId="55" xfId="4" applyFont="1" applyBorder="1" applyAlignment="1">
      <alignment horizontal="left" vertical="center"/>
    </xf>
    <xf numFmtId="0" fontId="86" fillId="0" borderId="66" xfId="4" applyFont="1" applyBorder="1" applyAlignment="1">
      <alignment horizontal="left" vertical="center"/>
    </xf>
    <xf numFmtId="0" fontId="87" fillId="0" borderId="63" xfId="4" applyFont="1" applyBorder="1" applyAlignment="1">
      <alignment horizontal="center" vertical="center"/>
    </xf>
    <xf numFmtId="0" fontId="87" fillId="0" borderId="0" xfId="4" applyFont="1" applyBorder="1" applyAlignment="1">
      <alignment horizontal="center" vertical="center"/>
    </xf>
    <xf numFmtId="0" fontId="86" fillId="0" borderId="0" xfId="4" applyFont="1" applyAlignment="1">
      <alignment horizontal="center" vertical="center"/>
    </xf>
    <xf numFmtId="0" fontId="86" fillId="0" borderId="13" xfId="4" applyFont="1" applyBorder="1" applyAlignment="1">
      <alignment horizontal="center" vertical="center"/>
    </xf>
    <xf numFmtId="0" fontId="67" fillId="0" borderId="0" xfId="4" applyFont="1" applyAlignment="1">
      <alignment horizontal="right"/>
    </xf>
    <xf numFmtId="0" fontId="67" fillId="0" borderId="0" xfId="4" applyFont="1" applyBorder="1" applyAlignment="1">
      <alignment horizontal="right"/>
    </xf>
    <xf numFmtId="0" fontId="75" fillId="0" borderId="63" xfId="4" applyNumberFormat="1" applyFont="1" applyBorder="1" applyAlignment="1">
      <alignment horizontal="center" vertical="center"/>
    </xf>
    <xf numFmtId="0" fontId="75" fillId="0" borderId="0" xfId="4" applyNumberFormat="1" applyFont="1" applyBorder="1" applyAlignment="1">
      <alignment horizontal="center" vertical="center"/>
    </xf>
    <xf numFmtId="0" fontId="75" fillId="0" borderId="64" xfId="4" applyNumberFormat="1" applyFont="1" applyBorder="1" applyAlignment="1">
      <alignment horizontal="center" vertical="center"/>
    </xf>
    <xf numFmtId="0" fontId="75" fillId="0" borderId="65" xfId="4" applyNumberFormat="1" applyFont="1" applyBorder="1" applyAlignment="1">
      <alignment horizontal="center" vertical="center"/>
    </xf>
    <xf numFmtId="0" fontId="75" fillId="0" borderId="55" xfId="4" applyNumberFormat="1" applyFont="1" applyBorder="1" applyAlignment="1">
      <alignment horizontal="center" vertical="center"/>
    </xf>
    <xf numFmtId="0" fontId="75" fillId="0" borderId="66" xfId="4" applyNumberFormat="1" applyFont="1" applyBorder="1" applyAlignment="1">
      <alignment horizontal="center" vertical="center"/>
    </xf>
    <xf numFmtId="0" fontId="67" fillId="0" borderId="0" xfId="4" applyFont="1" applyAlignment="1">
      <alignment horizontal="right" vertical="center"/>
    </xf>
    <xf numFmtId="0" fontId="67" fillId="0" borderId="64" xfId="4" applyFont="1" applyBorder="1" applyAlignment="1">
      <alignment horizontal="right" vertical="center"/>
    </xf>
    <xf numFmtId="0" fontId="75" fillId="0" borderId="61" xfId="4" applyNumberFormat="1" applyFont="1" applyBorder="1" applyAlignment="1">
      <alignment horizontal="center" vertical="center"/>
    </xf>
    <xf numFmtId="0" fontId="75" fillId="0" borderId="57" xfId="4" applyNumberFormat="1" applyFont="1" applyBorder="1" applyAlignment="1">
      <alignment horizontal="center" vertical="center"/>
    </xf>
    <xf numFmtId="0" fontId="75" fillId="0" borderId="62" xfId="4" applyNumberFormat="1" applyFont="1" applyBorder="1" applyAlignment="1">
      <alignment horizontal="center" vertical="center"/>
    </xf>
    <xf numFmtId="0" fontId="67" fillId="0" borderId="0" xfId="4" applyFont="1" applyAlignment="1">
      <alignment horizontal="left" vertical="center"/>
    </xf>
    <xf numFmtId="0" fontId="67" fillId="0" borderId="0" xfId="4" applyFont="1" applyAlignment="1">
      <alignment horizontal="center" vertical="center" shrinkToFit="1"/>
    </xf>
    <xf numFmtId="0" fontId="67" fillId="0" borderId="64" xfId="4" applyFont="1" applyBorder="1" applyAlignment="1">
      <alignment horizontal="center" vertical="center" shrinkToFit="1"/>
    </xf>
    <xf numFmtId="1" fontId="75" fillId="0" borderId="61" xfId="4" applyNumberFormat="1" applyFont="1" applyBorder="1" applyAlignment="1">
      <alignment horizontal="center" vertical="center" shrinkToFit="1"/>
    </xf>
    <xf numFmtId="1" fontId="75" fillId="0" borderId="57" xfId="4" applyNumberFormat="1" applyFont="1" applyBorder="1" applyAlignment="1">
      <alignment horizontal="center" vertical="center" shrinkToFit="1"/>
    </xf>
    <xf numFmtId="1" fontId="75" fillId="0" borderId="62" xfId="4" applyNumberFormat="1" applyFont="1" applyBorder="1" applyAlignment="1">
      <alignment horizontal="center" vertical="center" shrinkToFit="1"/>
    </xf>
    <xf numFmtId="1" fontId="75" fillId="0" borderId="63" xfId="4" applyNumberFormat="1" applyFont="1" applyBorder="1" applyAlignment="1">
      <alignment horizontal="center" vertical="center" shrinkToFit="1"/>
    </xf>
    <xf numFmtId="1" fontId="75" fillId="0" borderId="0" xfId="4" applyNumberFormat="1" applyFont="1" applyBorder="1" applyAlignment="1">
      <alignment horizontal="center" vertical="center" shrinkToFit="1"/>
    </xf>
    <xf numFmtId="1" fontId="75" fillId="0" borderId="64" xfId="4" applyNumberFormat="1" applyFont="1" applyBorder="1" applyAlignment="1">
      <alignment horizontal="center" vertical="center" shrinkToFit="1"/>
    </xf>
    <xf numFmtId="1" fontId="75" fillId="0" borderId="65" xfId="4" applyNumberFormat="1" applyFont="1" applyBorder="1" applyAlignment="1">
      <alignment horizontal="center" vertical="center" shrinkToFit="1"/>
    </xf>
    <xf numFmtId="1" fontId="75" fillId="0" borderId="55" xfId="4" applyNumberFormat="1" applyFont="1" applyBorder="1" applyAlignment="1">
      <alignment horizontal="center" vertical="center" shrinkToFit="1"/>
    </xf>
    <xf numFmtId="1" fontId="75" fillId="0" borderId="66" xfId="4" applyNumberFormat="1" applyFont="1" applyBorder="1" applyAlignment="1">
      <alignment horizontal="center" vertical="center" shrinkToFit="1"/>
    </xf>
    <xf numFmtId="0" fontId="67" fillId="0" borderId="63" xfId="4" applyFont="1" applyBorder="1" applyAlignment="1">
      <alignment horizontal="left" vertical="center"/>
    </xf>
    <xf numFmtId="0" fontId="67" fillId="0" borderId="0" xfId="4" applyFont="1" applyBorder="1" applyAlignment="1">
      <alignment horizontal="left" vertical="center"/>
    </xf>
    <xf numFmtId="0" fontId="67" fillId="0" borderId="0" xfId="4" applyFont="1" applyBorder="1" applyAlignment="1">
      <alignment horizontal="right" vertical="center" wrapText="1"/>
    </xf>
    <xf numFmtId="0" fontId="67" fillId="0" borderId="0" xfId="4" applyFont="1" applyBorder="1" applyAlignment="1">
      <alignment horizontal="right" vertical="center"/>
    </xf>
    <xf numFmtId="169" fontId="75" fillId="0" borderId="61" xfId="4" applyNumberFormat="1" applyFont="1" applyBorder="1" applyAlignment="1">
      <alignment horizontal="center" vertical="center" shrinkToFit="1"/>
    </xf>
    <xf numFmtId="169" fontId="75" fillId="0" borderId="57" xfId="4" applyNumberFormat="1" applyFont="1" applyBorder="1" applyAlignment="1">
      <alignment horizontal="center" vertical="center" shrinkToFit="1"/>
    </xf>
    <xf numFmtId="169" fontId="75" fillId="0" borderId="62" xfId="4" applyNumberFormat="1" applyFont="1" applyBorder="1" applyAlignment="1">
      <alignment horizontal="center" vertical="center" shrinkToFit="1"/>
    </xf>
    <xf numFmtId="169" fontId="75" fillId="0" borderId="63" xfId="4" applyNumberFormat="1" applyFont="1" applyBorder="1" applyAlignment="1">
      <alignment horizontal="center" vertical="center" shrinkToFit="1"/>
    </xf>
    <xf numFmtId="169" fontId="75" fillId="0" borderId="0" xfId="4" applyNumberFormat="1" applyFont="1" applyBorder="1" applyAlignment="1">
      <alignment horizontal="center" vertical="center" shrinkToFit="1"/>
    </xf>
    <xf numFmtId="169" fontId="75" fillId="0" borderId="64" xfId="4" applyNumberFormat="1" applyFont="1" applyBorder="1" applyAlignment="1">
      <alignment horizontal="center" vertical="center" shrinkToFit="1"/>
    </xf>
    <xf numFmtId="169" fontId="75" fillId="0" borderId="65" xfId="4" applyNumberFormat="1" applyFont="1" applyBorder="1" applyAlignment="1">
      <alignment horizontal="center" vertical="center" shrinkToFit="1"/>
    </xf>
    <xf numFmtId="169" fontId="75" fillId="0" borderId="55" xfId="4" applyNumberFormat="1" applyFont="1" applyBorder="1" applyAlignment="1">
      <alignment horizontal="center" vertical="center" shrinkToFit="1"/>
    </xf>
    <xf numFmtId="169" fontId="75" fillId="0" borderId="66" xfId="4" applyNumberFormat="1" applyFont="1" applyBorder="1" applyAlignment="1">
      <alignment horizontal="center" vertical="center" shrinkToFit="1"/>
    </xf>
    <xf numFmtId="0" fontId="76" fillId="0" borderId="0" xfId="4" applyFont="1" applyAlignment="1">
      <alignment horizontal="right" vertical="center"/>
    </xf>
    <xf numFmtId="0" fontId="70" fillId="0" borderId="0" xfId="4" applyFont="1" applyAlignment="1">
      <alignment horizontal="right" vertical="center"/>
    </xf>
    <xf numFmtId="0" fontId="75" fillId="0" borderId="0" xfId="4" applyFont="1" applyAlignment="1">
      <alignment horizontal="left"/>
    </xf>
    <xf numFmtId="0" fontId="86" fillId="0" borderId="61" xfId="4" applyNumberFormat="1" applyFont="1" applyBorder="1" applyAlignment="1">
      <alignment horizontal="center" vertical="center" shrinkToFit="1"/>
    </xf>
    <xf numFmtId="0" fontId="2" fillId="0" borderId="57" xfId="4" applyNumberFormat="1" applyBorder="1" applyAlignment="1">
      <alignment horizontal="center" vertical="center" shrinkToFit="1"/>
    </xf>
    <xf numFmtId="0" fontId="2" fillId="0" borderId="63" xfId="4" applyNumberFormat="1" applyBorder="1" applyAlignment="1">
      <alignment horizontal="center" vertical="center" shrinkToFit="1"/>
    </xf>
    <xf numFmtId="0" fontId="2" fillId="0" borderId="0" xfId="4" applyNumberFormat="1" applyAlignment="1">
      <alignment horizontal="center" vertical="center" shrinkToFit="1"/>
    </xf>
    <xf numFmtId="0" fontId="86" fillId="0" borderId="61" xfId="4" applyFont="1" applyBorder="1" applyAlignment="1">
      <alignment horizontal="center" vertical="center" shrinkToFit="1"/>
    </xf>
    <xf numFmtId="0" fontId="2" fillId="0" borderId="57" xfId="4" applyBorder="1" applyAlignment="1">
      <alignment horizontal="center" vertical="center" shrinkToFit="1"/>
    </xf>
    <xf numFmtId="0" fontId="2" fillId="0" borderId="63" xfId="4" applyBorder="1" applyAlignment="1">
      <alignment horizontal="center" vertical="center" shrinkToFit="1"/>
    </xf>
    <xf numFmtId="0" fontId="2" fillId="0" borderId="0" xfId="4" applyAlignment="1">
      <alignment horizontal="center" vertical="center" shrinkToFit="1"/>
    </xf>
    <xf numFmtId="0" fontId="85" fillId="0" borderId="0" xfId="4" applyFont="1" applyAlignment="1">
      <alignment horizontal="left" vertical="center"/>
    </xf>
    <xf numFmtId="0" fontId="86" fillId="0" borderId="69" xfId="4" applyFont="1" applyBorder="1" applyAlignment="1">
      <alignment horizontal="center" vertical="center"/>
    </xf>
    <xf numFmtId="0" fontId="86" fillId="0" borderId="13" xfId="4" applyNumberFormat="1" applyFont="1" applyBorder="1" applyAlignment="1">
      <alignment horizontal="center" vertical="center"/>
    </xf>
    <xf numFmtId="0" fontId="86" fillId="0" borderId="69" xfId="4" applyNumberFormat="1" applyFont="1" applyBorder="1" applyAlignment="1">
      <alignment horizontal="center" vertical="center"/>
    </xf>
    <xf numFmtId="0" fontId="81" fillId="0" borderId="61" xfId="4" applyFont="1" applyBorder="1" applyAlignment="1">
      <alignment horizontal="left" vertical="top"/>
    </xf>
    <xf numFmtId="0" fontId="81" fillId="0" borderId="57" xfId="4" applyFont="1" applyBorder="1" applyAlignment="1">
      <alignment horizontal="left" vertical="top"/>
    </xf>
    <xf numFmtId="0" fontId="81" fillId="0" borderId="63" xfId="4" applyFont="1" applyBorder="1" applyAlignment="1">
      <alignment horizontal="left" vertical="top"/>
    </xf>
    <xf numFmtId="0" fontId="81" fillId="0" borderId="0" xfId="4" applyFont="1" applyBorder="1" applyAlignment="1">
      <alignment horizontal="left" vertical="top"/>
    </xf>
    <xf numFmtId="0" fontId="83" fillId="0" borderId="63" xfId="4" applyFont="1" applyBorder="1" applyAlignment="1">
      <alignment horizontal="center"/>
    </xf>
    <xf numFmtId="0" fontId="83" fillId="0" borderId="0" xfId="4" applyFont="1" applyBorder="1" applyAlignment="1">
      <alignment horizontal="center"/>
    </xf>
    <xf numFmtId="0" fontId="83" fillId="0" borderId="65" xfId="4" applyFont="1" applyBorder="1" applyAlignment="1">
      <alignment horizontal="center"/>
    </xf>
    <xf numFmtId="0" fontId="83" fillId="0" borderId="55" xfId="4" applyFont="1" applyBorder="1" applyAlignment="1">
      <alignment horizontal="center"/>
    </xf>
    <xf numFmtId="0" fontId="76" fillId="0" borderId="61" xfId="4" applyFont="1" applyBorder="1" applyAlignment="1">
      <alignment horizontal="left" vertical="top"/>
    </xf>
    <xf numFmtId="0" fontId="76" fillId="0" borderId="57" xfId="4" applyFont="1" applyBorder="1" applyAlignment="1">
      <alignment horizontal="left" vertical="top"/>
    </xf>
    <xf numFmtId="0" fontId="76" fillId="0" borderId="62" xfId="4" applyFont="1" applyBorder="1" applyAlignment="1">
      <alignment horizontal="left" vertical="top"/>
    </xf>
    <xf numFmtId="0" fontId="76" fillId="0" borderId="63" xfId="4" applyFont="1" applyBorder="1" applyAlignment="1">
      <alignment horizontal="left" vertical="top"/>
    </xf>
    <xf numFmtId="0" fontId="76" fillId="0" borderId="0" xfId="4" applyFont="1" applyBorder="1" applyAlignment="1">
      <alignment horizontal="left" vertical="top"/>
    </xf>
    <xf numFmtId="0" fontId="76" fillId="0" borderId="64" xfId="4" applyFont="1" applyBorder="1" applyAlignment="1">
      <alignment horizontal="left" vertical="top"/>
    </xf>
    <xf numFmtId="0" fontId="68" fillId="0" borderId="57" xfId="4" applyFont="1" applyFill="1" applyBorder="1" applyAlignment="1"/>
    <xf numFmtId="0" fontId="2" fillId="0" borderId="57" xfId="4" applyBorder="1" applyAlignment="1"/>
    <xf numFmtId="0" fontId="2" fillId="0" borderId="0" xfId="4" applyAlignment="1"/>
    <xf numFmtId="0" fontId="2" fillId="0" borderId="55" xfId="4" applyBorder="1" applyAlignment="1"/>
    <xf numFmtId="0" fontId="68" fillId="0" borderId="0" xfId="4" applyFont="1" applyFill="1" applyBorder="1" applyAlignment="1"/>
    <xf numFmtId="0" fontId="68" fillId="0" borderId="0" xfId="4" applyFont="1" applyBorder="1" applyAlignment="1"/>
    <xf numFmtId="0" fontId="68" fillId="0" borderId="57" xfId="4" applyFont="1" applyBorder="1" applyAlignment="1"/>
    <xf numFmtId="0" fontId="2" fillId="0" borderId="57" xfId="4" applyFont="1" applyBorder="1" applyAlignment="1"/>
    <xf numFmtId="0" fontId="2" fillId="0" borderId="0" xfId="4" applyFont="1" applyAlignment="1"/>
    <xf numFmtId="0" fontId="83" fillId="0" borderId="61" xfId="4" applyFont="1" applyBorder="1" applyAlignment="1">
      <alignment horizontal="center"/>
    </xf>
    <xf numFmtId="0" fontId="83" fillId="0" borderId="57" xfId="4" applyFont="1" applyBorder="1" applyAlignment="1">
      <alignment horizontal="center"/>
    </xf>
    <xf numFmtId="0" fontId="81" fillId="0" borderId="13" xfId="4" applyFont="1" applyBorder="1" applyAlignment="1">
      <alignment horizontal="center" vertical="center"/>
    </xf>
    <xf numFmtId="0" fontId="67" fillId="0" borderId="64" xfId="4" applyFont="1" applyBorder="1" applyAlignment="1">
      <alignment horizontal="right"/>
    </xf>
    <xf numFmtId="0" fontId="68" fillId="0" borderId="13" xfId="4" applyFont="1" applyBorder="1" applyAlignment="1">
      <alignment horizontal="center"/>
    </xf>
    <xf numFmtId="0" fontId="70" fillId="0" borderId="13" xfId="4" applyFont="1" applyBorder="1" applyAlignment="1">
      <alignment horizontal="center"/>
    </xf>
    <xf numFmtId="0" fontId="67" fillId="0" borderId="63" xfId="4" applyFont="1" applyBorder="1" applyAlignment="1">
      <alignment horizontal="right"/>
    </xf>
    <xf numFmtId="0" fontId="79" fillId="0" borderId="0" xfId="4" applyFont="1" applyFill="1" applyAlignment="1">
      <alignment horizontal="left" vertical="center" wrapText="1"/>
    </xf>
    <xf numFmtId="0" fontId="80" fillId="0" borderId="0" xfId="4" applyFont="1" applyAlignment="1">
      <alignment horizontal="center" vertical="center"/>
    </xf>
    <xf numFmtId="0" fontId="82" fillId="0" borderId="13" xfId="4" applyFont="1" applyBorder="1" applyAlignment="1">
      <alignment horizontal="center"/>
    </xf>
    <xf numFmtId="0" fontId="68" fillId="0" borderId="67" xfId="4" applyFont="1" applyBorder="1" applyAlignment="1">
      <alignment horizontal="left" vertical="center" shrinkToFit="1"/>
    </xf>
    <xf numFmtId="0" fontId="68" fillId="0" borderId="56" xfId="4" applyFont="1" applyBorder="1" applyAlignment="1">
      <alignment horizontal="left" vertical="center" shrinkToFit="1"/>
    </xf>
    <xf numFmtId="0" fontId="73" fillId="0" borderId="56" xfId="4" applyFont="1" applyBorder="1" applyAlignment="1">
      <alignment horizontal="center" vertical="center" shrinkToFit="1"/>
    </xf>
    <xf numFmtId="0" fontId="73" fillId="0" borderId="68" xfId="4" applyFont="1" applyBorder="1" applyAlignment="1">
      <alignment horizontal="center" vertical="center" shrinkToFit="1"/>
    </xf>
    <xf numFmtId="169" fontId="73" fillId="0" borderId="56" xfId="4" applyNumberFormat="1" applyFont="1" applyBorder="1" applyAlignment="1">
      <alignment horizontal="center" vertical="center" shrinkToFit="1"/>
    </xf>
    <xf numFmtId="169" fontId="73" fillId="0" borderId="68" xfId="4" applyNumberFormat="1" applyFont="1" applyBorder="1" applyAlignment="1">
      <alignment horizontal="center" vertical="center" shrinkToFit="1"/>
    </xf>
    <xf numFmtId="0" fontId="67" fillId="0" borderId="67" xfId="4" applyFont="1" applyBorder="1" applyAlignment="1">
      <alignment horizontal="left" vertical="center" shrinkToFit="1"/>
    </xf>
    <xf numFmtId="0" fontId="67" fillId="0" borderId="56" xfId="4" applyFont="1" applyBorder="1" applyAlignment="1">
      <alignment horizontal="left" vertical="center" shrinkToFit="1"/>
    </xf>
    <xf numFmtId="0" fontId="70" fillId="0" borderId="67" xfId="4" applyFont="1" applyBorder="1" applyAlignment="1">
      <alignment horizontal="left" vertical="center"/>
    </xf>
    <xf numFmtId="0" fontId="70" fillId="0" borderId="56" xfId="4" applyFont="1" applyBorder="1" applyAlignment="1">
      <alignment horizontal="left" vertical="center"/>
    </xf>
    <xf numFmtId="0" fontId="70" fillId="0" borderId="68" xfId="4" applyFont="1" applyBorder="1" applyAlignment="1">
      <alignment horizontal="left" vertical="center"/>
    </xf>
    <xf numFmtId="0" fontId="70" fillId="0" borderId="67" xfId="4" applyFont="1" applyFill="1" applyBorder="1" applyAlignment="1" applyProtection="1">
      <alignment horizontal="center" vertical="center" wrapText="1" shrinkToFit="1"/>
      <protection locked="0"/>
    </xf>
    <xf numFmtId="0" fontId="70" fillId="0" borderId="56" xfId="4" applyFont="1" applyFill="1" applyBorder="1" applyAlignment="1" applyProtection="1">
      <alignment horizontal="center" vertical="center" wrapText="1" shrinkToFit="1"/>
      <protection locked="0"/>
    </xf>
    <xf numFmtId="0" fontId="70" fillId="0" borderId="68" xfId="4" applyFont="1" applyFill="1" applyBorder="1" applyAlignment="1" applyProtection="1">
      <alignment horizontal="center" vertical="center" wrapText="1" shrinkToFit="1"/>
      <protection locked="0"/>
    </xf>
    <xf numFmtId="0" fontId="67" fillId="0" borderId="0" xfId="4" applyFont="1" applyAlignment="1">
      <alignment horizontal="center" textRotation="90" shrinkToFit="1"/>
    </xf>
    <xf numFmtId="0" fontId="67" fillId="0" borderId="64" xfId="4" applyFont="1" applyBorder="1" applyAlignment="1">
      <alignment horizontal="center" textRotation="90" shrinkToFit="1"/>
    </xf>
    <xf numFmtId="0" fontId="73" fillId="0" borderId="67" xfId="4" applyFont="1" applyBorder="1" applyAlignment="1">
      <alignment horizontal="left" vertical="center"/>
    </xf>
    <xf numFmtId="0" fontId="73" fillId="0" borderId="56" xfId="4" applyFont="1" applyBorder="1" applyAlignment="1">
      <alignment horizontal="left" vertical="center"/>
    </xf>
    <xf numFmtId="0" fontId="73" fillId="0" borderId="68" xfId="4" applyFont="1" applyBorder="1" applyAlignment="1">
      <alignment horizontal="left" vertical="center"/>
    </xf>
    <xf numFmtId="0" fontId="75" fillId="0" borderId="0" xfId="4" applyFont="1" applyAlignment="1">
      <alignment horizontal="center" textRotation="90" shrinkToFit="1"/>
    </xf>
    <xf numFmtId="0" fontId="68" fillId="0" borderId="64" xfId="4" applyFont="1" applyBorder="1" applyAlignment="1">
      <alignment horizontal="center" textRotation="90" shrinkToFit="1"/>
    </xf>
    <xf numFmtId="0" fontId="68" fillId="0" borderId="0" xfId="4" applyFont="1" applyAlignment="1">
      <alignment horizontal="center" textRotation="90" shrinkToFit="1"/>
    </xf>
    <xf numFmtId="0" fontId="75" fillId="0" borderId="13" xfId="4" applyFont="1" applyBorder="1" applyAlignment="1">
      <alignment horizontal="left" vertical="center"/>
    </xf>
    <xf numFmtId="0" fontId="75" fillId="0" borderId="13" xfId="4" applyFont="1" applyBorder="1" applyAlignment="1">
      <alignment horizontal="center" vertical="center"/>
    </xf>
    <xf numFmtId="0" fontId="73" fillId="0" borderId="13" xfId="4" applyFont="1" applyBorder="1" applyAlignment="1">
      <alignment horizontal="left" vertical="center"/>
    </xf>
    <xf numFmtId="0" fontId="67" fillId="0" borderId="56" xfId="4" applyFont="1" applyBorder="1" applyAlignment="1">
      <alignment horizontal="center" vertical="center" shrinkToFit="1"/>
    </xf>
    <xf numFmtId="0" fontId="68" fillId="0" borderId="63" xfId="4" applyFont="1" applyBorder="1" applyAlignment="1">
      <alignment horizontal="center"/>
    </xf>
    <xf numFmtId="0" fontId="68" fillId="0" borderId="64" xfId="4" applyFont="1" applyBorder="1" applyAlignment="1">
      <alignment horizontal="center"/>
    </xf>
    <xf numFmtId="0" fontId="69" fillId="0" borderId="61" xfId="4" applyFont="1" applyBorder="1" applyAlignment="1">
      <alignment horizontal="center" vertical="center" shrinkToFit="1"/>
    </xf>
    <xf numFmtId="0" fontId="77" fillId="0" borderId="57" xfId="4" applyFont="1" applyBorder="1" applyAlignment="1">
      <alignment horizontal="center" vertical="center" shrinkToFit="1"/>
    </xf>
    <xf numFmtId="0" fontId="77" fillId="0" borderId="62" xfId="4" applyFont="1" applyBorder="1" applyAlignment="1">
      <alignment horizontal="center" vertical="center" shrinkToFit="1"/>
    </xf>
    <xf numFmtId="0" fontId="77" fillId="0" borderId="63" xfId="4" applyFont="1" applyBorder="1" applyAlignment="1">
      <alignment horizontal="center" vertical="center" shrinkToFit="1"/>
    </xf>
    <xf numFmtId="0" fontId="77" fillId="0" borderId="0" xfId="4" applyFont="1" applyBorder="1" applyAlignment="1">
      <alignment horizontal="center" vertical="center" shrinkToFit="1"/>
    </xf>
    <xf numFmtId="0" fontId="77" fillId="0" borderId="64" xfId="4" applyFont="1" applyBorder="1" applyAlignment="1">
      <alignment horizontal="center" vertical="center" shrinkToFit="1"/>
    </xf>
    <xf numFmtId="0" fontId="70" fillId="0" borderId="67" xfId="4" applyFont="1" applyBorder="1" applyAlignment="1">
      <alignment horizontal="center" vertical="center" shrinkToFit="1"/>
    </xf>
    <xf numFmtId="0" fontId="70" fillId="0" borderId="56" xfId="4" applyFont="1" applyBorder="1" applyAlignment="1">
      <alignment horizontal="center" vertical="center" shrinkToFit="1"/>
    </xf>
    <xf numFmtId="0" fontId="70" fillId="0" borderId="68" xfId="4" applyFont="1" applyBorder="1" applyAlignment="1">
      <alignment horizontal="center" vertical="center" shrinkToFit="1"/>
    </xf>
    <xf numFmtId="0" fontId="73" fillId="0" borderId="63" xfId="4" applyFont="1" applyBorder="1" applyAlignment="1">
      <alignment horizontal="right" vertical="center" shrinkToFit="1"/>
    </xf>
    <xf numFmtId="0" fontId="73" fillId="0" borderId="0" xfId="4" applyFont="1" applyBorder="1" applyAlignment="1">
      <alignment horizontal="right" vertical="center" shrinkToFit="1"/>
    </xf>
    <xf numFmtId="0" fontId="68" fillId="0" borderId="0" xfId="4" applyFont="1" applyAlignment="1">
      <alignment horizontal="center" vertical="center"/>
    </xf>
    <xf numFmtId="0" fontId="2" fillId="0" borderId="0" xfId="4" applyAlignment="1">
      <alignment horizontal="center" vertical="center"/>
    </xf>
    <xf numFmtId="0" fontId="73" fillId="0" borderId="0" xfId="4" applyFont="1" applyAlignment="1">
      <alignment horizontal="left" vertical="center"/>
    </xf>
    <xf numFmtId="0" fontId="73" fillId="0" borderId="0" xfId="4" applyFont="1" applyAlignment="1">
      <alignment horizontal="right" vertical="center"/>
    </xf>
    <xf numFmtId="0" fontId="73" fillId="0" borderId="64" xfId="4" applyFont="1" applyBorder="1" applyAlignment="1">
      <alignment horizontal="right" vertical="center"/>
    </xf>
    <xf numFmtId="0" fontId="67" fillId="0" borderId="0" xfId="4" applyFont="1" applyAlignment="1">
      <alignment horizontal="center" vertical="center"/>
    </xf>
    <xf numFmtId="0" fontId="73" fillId="0" borderId="0" xfId="4" applyFont="1" applyBorder="1" applyAlignment="1">
      <alignment horizontal="left" vertical="center"/>
    </xf>
    <xf numFmtId="0" fontId="73" fillId="0" borderId="0" xfId="4" applyFont="1" applyBorder="1" applyAlignment="1">
      <alignment horizontal="right" vertical="center"/>
    </xf>
    <xf numFmtId="0" fontId="73" fillId="0" borderId="63" xfId="4" applyFont="1" applyBorder="1" applyAlignment="1">
      <alignment horizontal="right" vertical="center"/>
    </xf>
    <xf numFmtId="0" fontId="77" fillId="0" borderId="0" xfId="4" applyFont="1" applyAlignment="1">
      <alignment horizontal="center" vertical="center" shrinkToFit="1"/>
    </xf>
    <xf numFmtId="0" fontId="78" fillId="0" borderId="0" xfId="4" applyFont="1" applyAlignment="1">
      <alignment horizontal="center" vertical="center" shrinkToFit="1"/>
    </xf>
    <xf numFmtId="0" fontId="2" fillId="0" borderId="0" xfId="4" applyAlignment="1">
      <alignment shrinkToFit="1"/>
    </xf>
    <xf numFmtId="0" fontId="2" fillId="0" borderId="64" xfId="4" applyBorder="1" applyAlignment="1">
      <alignment shrinkToFit="1"/>
    </xf>
    <xf numFmtId="0" fontId="70" fillId="0" borderId="67" xfId="4" applyFont="1" applyBorder="1" applyAlignment="1">
      <alignment horizontal="center" vertical="center"/>
    </xf>
    <xf numFmtId="0" fontId="70" fillId="0" borderId="56" xfId="4" applyFont="1" applyBorder="1" applyAlignment="1">
      <alignment horizontal="center" vertical="center"/>
    </xf>
    <xf numFmtId="0" fontId="70" fillId="0" borderId="68" xfId="4" applyFont="1" applyBorder="1" applyAlignment="1">
      <alignment horizontal="center" vertical="center"/>
    </xf>
    <xf numFmtId="0" fontId="68" fillId="0" borderId="57" xfId="4" applyFont="1" applyBorder="1" applyAlignment="1">
      <alignment horizontal="center" vertical="center" shrinkToFit="1"/>
    </xf>
    <xf numFmtId="0" fontId="2" fillId="0" borderId="57" xfId="4" applyBorder="1" applyAlignment="1">
      <alignment horizontal="center" vertical="center"/>
    </xf>
    <xf numFmtId="0" fontId="73" fillId="0" borderId="64" xfId="4" applyFont="1" applyBorder="1" applyAlignment="1">
      <alignment horizontal="left" vertical="center"/>
    </xf>
    <xf numFmtId="0" fontId="73" fillId="0" borderId="0" xfId="4" applyFont="1" applyAlignment="1">
      <alignment horizontal="left" vertical="center" shrinkToFit="1"/>
    </xf>
    <xf numFmtId="0" fontId="73" fillId="0" borderId="0" xfId="4" applyFont="1" applyAlignment="1">
      <alignment horizontal="right" vertical="center" shrinkToFit="1"/>
    </xf>
    <xf numFmtId="0" fontId="73" fillId="0" borderId="64" xfId="4" applyFont="1" applyBorder="1" applyAlignment="1">
      <alignment horizontal="right" vertical="center" shrinkToFit="1"/>
    </xf>
    <xf numFmtId="0" fontId="70" fillId="0" borderId="0" xfId="4" applyFont="1" applyAlignment="1">
      <alignment horizontal="center" vertical="center"/>
    </xf>
    <xf numFmtId="0" fontId="70" fillId="0" borderId="55" xfId="4" applyFont="1" applyBorder="1" applyAlignment="1">
      <alignment horizontal="left" shrinkToFit="1"/>
    </xf>
    <xf numFmtId="0" fontId="73" fillId="0" borderId="0" xfId="4" applyFont="1" applyAlignment="1">
      <alignment horizontal="center" vertical="center" shrinkToFit="1"/>
    </xf>
    <xf numFmtId="49" fontId="74" fillId="0" borderId="67" xfId="4" applyNumberFormat="1" applyFont="1" applyBorder="1" applyAlignment="1">
      <alignment horizontal="center" vertical="center" shrinkToFit="1"/>
    </xf>
    <xf numFmtId="49" fontId="74" fillId="0" borderId="56" xfId="4" applyNumberFormat="1" applyFont="1" applyBorder="1" applyAlignment="1">
      <alignment horizontal="center" vertical="center" shrinkToFit="1"/>
    </xf>
    <xf numFmtId="49" fontId="74" fillId="0" borderId="68" xfId="4" applyNumberFormat="1" applyFont="1" applyBorder="1" applyAlignment="1">
      <alignment horizontal="center" vertical="center" shrinkToFit="1"/>
    </xf>
    <xf numFmtId="49" fontId="70" fillId="0" borderId="67" xfId="4" applyNumberFormat="1" applyFont="1" applyBorder="1" applyAlignment="1">
      <alignment horizontal="center" vertical="center" shrinkToFit="1"/>
    </xf>
    <xf numFmtId="0" fontId="70" fillId="0" borderId="56" xfId="4" applyNumberFormat="1" applyFont="1" applyBorder="1" applyAlignment="1">
      <alignment horizontal="center" vertical="center" shrinkToFit="1"/>
    </xf>
    <xf numFmtId="0" fontId="70" fillId="0" borderId="68" xfId="4" applyNumberFormat="1" applyFont="1" applyBorder="1" applyAlignment="1">
      <alignment horizontal="center" vertical="center" shrinkToFit="1"/>
    </xf>
    <xf numFmtId="0" fontId="74" fillId="0" borderId="67" xfId="4" applyNumberFormat="1" applyFont="1" applyBorder="1" applyAlignment="1">
      <alignment horizontal="center" vertical="center" shrinkToFit="1"/>
    </xf>
    <xf numFmtId="0" fontId="74" fillId="0" borderId="56" xfId="4" applyNumberFormat="1" applyFont="1" applyBorder="1" applyAlignment="1">
      <alignment horizontal="center" vertical="center" shrinkToFit="1"/>
    </xf>
    <xf numFmtId="0" fontId="74" fillId="0" borderId="68" xfId="4" applyNumberFormat="1" applyFont="1" applyBorder="1" applyAlignment="1">
      <alignment horizontal="center" vertical="center" shrinkToFit="1"/>
    </xf>
    <xf numFmtId="0" fontId="72" fillId="24" borderId="0" xfId="4" applyFont="1" applyFill="1" applyAlignment="1">
      <alignment horizontal="center" vertical="center"/>
    </xf>
    <xf numFmtId="0" fontId="68" fillId="0" borderId="0" xfId="4" applyFont="1" applyAlignment="1">
      <alignment horizontal="center"/>
    </xf>
    <xf numFmtId="0" fontId="69" fillId="0" borderId="0" xfId="4" applyFont="1" applyAlignment="1">
      <alignment horizontal="center" shrinkToFit="1"/>
    </xf>
    <xf numFmtId="0" fontId="71" fillId="0" borderId="61" xfId="4" applyFont="1" applyFill="1" applyBorder="1" applyAlignment="1">
      <alignment horizontal="center" vertical="center" shrinkToFit="1"/>
    </xf>
    <xf numFmtId="0" fontId="71" fillId="0" borderId="57" xfId="4" applyFont="1" applyFill="1" applyBorder="1" applyAlignment="1">
      <alignment horizontal="center" vertical="center" shrinkToFit="1"/>
    </xf>
    <xf numFmtId="0" fontId="71" fillId="0" borderId="62" xfId="4" applyFont="1" applyFill="1" applyBorder="1" applyAlignment="1">
      <alignment horizontal="center" vertical="center" shrinkToFit="1"/>
    </xf>
    <xf numFmtId="0" fontId="71" fillId="0" borderId="63" xfId="4" applyFont="1" applyFill="1" applyBorder="1" applyAlignment="1">
      <alignment horizontal="center" vertical="center" shrinkToFit="1"/>
    </xf>
    <xf numFmtId="0" fontId="71" fillId="0" borderId="0" xfId="4" applyFont="1" applyFill="1" applyBorder="1" applyAlignment="1">
      <alignment horizontal="center" vertical="center" shrinkToFit="1"/>
    </xf>
    <xf numFmtId="0" fontId="71" fillId="0" borderId="64" xfId="4" applyFont="1" applyFill="1" applyBorder="1" applyAlignment="1">
      <alignment horizontal="center" vertical="center" shrinkToFit="1"/>
    </xf>
    <xf numFmtId="0" fontId="71" fillId="0" borderId="65" xfId="4" applyFont="1" applyFill="1" applyBorder="1" applyAlignment="1">
      <alignment horizontal="center" vertical="center" shrinkToFit="1"/>
    </xf>
    <xf numFmtId="0" fontId="71" fillId="0" borderId="55" xfId="4" applyFont="1" applyFill="1" applyBorder="1" applyAlignment="1">
      <alignment horizontal="center" vertical="center" shrinkToFit="1"/>
    </xf>
    <xf numFmtId="0" fontId="71" fillId="0" borderId="66" xfId="4" applyFont="1" applyFill="1" applyBorder="1" applyAlignment="1">
      <alignment horizontal="center" vertical="center" shrinkToFit="1"/>
    </xf>
    <xf numFmtId="0" fontId="70" fillId="0" borderId="0" xfId="4" applyFont="1" applyAlignment="1">
      <alignment horizontal="right" shrinkToFit="1"/>
    </xf>
    <xf numFmtId="0" fontId="89" fillId="0" borderId="0" xfId="3" applyFont="1" applyAlignment="1">
      <alignment horizontal="left"/>
    </xf>
    <xf numFmtId="0" fontId="92" fillId="0" borderId="0" xfId="3" applyFont="1" applyAlignment="1">
      <alignment horizontal="left"/>
    </xf>
    <xf numFmtId="0" fontId="100" fillId="0" borderId="59" xfId="3" applyFont="1" applyBorder="1" applyAlignment="1">
      <alignment horizontal="left" vertical="center"/>
    </xf>
    <xf numFmtId="169" fontId="100" fillId="0" borderId="59" xfId="3" applyNumberFormat="1" applyFont="1" applyBorder="1" applyAlignment="1">
      <alignment horizontal="left" vertical="center"/>
    </xf>
    <xf numFmtId="0" fontId="89" fillId="0" borderId="59" xfId="3" applyFont="1" applyBorder="1" applyAlignment="1">
      <alignment horizontal="center"/>
    </xf>
    <xf numFmtId="169" fontId="100" fillId="0" borderId="58" xfId="3" applyNumberFormat="1" applyFont="1" applyBorder="1" applyAlignment="1">
      <alignment horizontal="center"/>
    </xf>
    <xf numFmtId="169" fontId="100" fillId="0" borderId="59" xfId="3" applyNumberFormat="1" applyFont="1" applyBorder="1" applyAlignment="1">
      <alignment horizontal="center"/>
    </xf>
    <xf numFmtId="169" fontId="100" fillId="0" borderId="60" xfId="3" applyNumberFormat="1" applyFont="1" applyBorder="1" applyAlignment="1">
      <alignment horizontal="center"/>
    </xf>
    <xf numFmtId="169" fontId="100" fillId="0" borderId="58" xfId="3" applyNumberFormat="1" applyFont="1" applyBorder="1" applyAlignment="1">
      <alignment horizontal="center" vertical="center"/>
    </xf>
    <xf numFmtId="169" fontId="100" fillId="0" borderId="59" xfId="3" applyNumberFormat="1" applyFont="1" applyBorder="1" applyAlignment="1">
      <alignment horizontal="center" vertical="center"/>
    </xf>
    <xf numFmtId="169" fontId="100" fillId="0" borderId="60" xfId="3" applyNumberFormat="1" applyFont="1" applyBorder="1" applyAlignment="1">
      <alignment horizontal="center" vertical="center"/>
    </xf>
    <xf numFmtId="169" fontId="100" fillId="0" borderId="51" xfId="3" applyNumberFormat="1" applyFont="1" applyBorder="1" applyAlignment="1">
      <alignment horizontal="center"/>
    </xf>
    <xf numFmtId="169" fontId="100" fillId="0" borderId="52" xfId="3" applyNumberFormat="1" applyFont="1" applyBorder="1" applyAlignment="1">
      <alignment horizontal="center"/>
    </xf>
    <xf numFmtId="169" fontId="100" fillId="0" borderId="51" xfId="3" applyNumberFormat="1" applyFont="1" applyBorder="1" applyAlignment="1">
      <alignment horizontal="center" vertical="center"/>
    </xf>
    <xf numFmtId="169" fontId="100" fillId="0" borderId="52" xfId="3" applyNumberFormat="1" applyFont="1" applyBorder="1" applyAlignment="1">
      <alignment horizontal="center" vertical="center"/>
    </xf>
    <xf numFmtId="0" fontId="89" fillId="0" borderId="0" xfId="3" applyFont="1" applyAlignment="1">
      <alignment horizontal="center"/>
    </xf>
    <xf numFmtId="0" fontId="100" fillId="0" borderId="59" xfId="3" applyFont="1" applyBorder="1" applyAlignment="1">
      <alignment horizontal="center"/>
    </xf>
    <xf numFmtId="49" fontId="100" fillId="0" borderId="59" xfId="3" applyNumberFormat="1" applyFont="1" applyBorder="1" applyAlignment="1">
      <alignment horizontal="right"/>
    </xf>
    <xf numFmtId="0" fontId="100" fillId="0" borderId="59" xfId="3" applyFont="1" applyBorder="1" applyAlignment="1">
      <alignment horizontal="right"/>
    </xf>
    <xf numFmtId="37" fontId="100" fillId="0" borderId="59" xfId="3" applyNumberFormat="1" applyFont="1" applyBorder="1" applyAlignment="1">
      <alignment horizontal="left"/>
    </xf>
    <xf numFmtId="0" fontId="100" fillId="0" borderId="59" xfId="3" applyFont="1" applyBorder="1" applyAlignment="1">
      <alignment horizontal="left"/>
    </xf>
    <xf numFmtId="49" fontId="93" fillId="0" borderId="13" xfId="0" applyNumberFormat="1" applyFont="1" applyBorder="1" applyAlignment="1">
      <alignment horizontal="center" vertical="center"/>
    </xf>
    <xf numFmtId="49" fontId="93" fillId="0" borderId="77" xfId="0" applyNumberFormat="1" applyFont="1" applyBorder="1" applyAlignment="1">
      <alignment horizontal="center" vertical="center"/>
    </xf>
    <xf numFmtId="49" fontId="93" fillId="0" borderId="13" xfId="0" applyNumberFormat="1" applyFont="1" applyBorder="1" applyAlignment="1">
      <alignment horizontal="center" vertical="center" wrapText="1"/>
    </xf>
    <xf numFmtId="49" fontId="93" fillId="0" borderId="77" xfId="0" applyNumberFormat="1" applyFont="1" applyBorder="1" applyAlignment="1">
      <alignment horizontal="center" vertical="center" wrapText="1"/>
    </xf>
    <xf numFmtId="49" fontId="93" fillId="0" borderId="75" xfId="0" applyNumberFormat="1" applyFont="1" applyBorder="1" applyAlignment="1">
      <alignment horizontal="center" vertical="center"/>
    </xf>
    <xf numFmtId="49" fontId="93" fillId="0" borderId="78" xfId="0" applyNumberFormat="1" applyFont="1" applyBorder="1" applyAlignment="1">
      <alignment horizontal="center" vertical="center"/>
    </xf>
    <xf numFmtId="49" fontId="93" fillId="0" borderId="74" xfId="0" applyNumberFormat="1" applyFont="1" applyBorder="1" applyAlignment="1">
      <alignment horizontal="center" vertical="center"/>
    </xf>
    <xf numFmtId="49" fontId="93" fillId="0" borderId="13" xfId="0" applyNumberFormat="1" applyFont="1" applyBorder="1" applyAlignment="1">
      <alignment horizontal="center" vertical="center" shrinkToFit="1"/>
    </xf>
    <xf numFmtId="0" fontId="94" fillId="0" borderId="0" xfId="0" applyFont="1" applyBorder="1" applyAlignment="1">
      <alignment horizontal="left"/>
    </xf>
    <xf numFmtId="0" fontId="94" fillId="0" borderId="0" xfId="0" applyFont="1" applyAlignment="1">
      <alignment horizontal="left"/>
    </xf>
    <xf numFmtId="49" fontId="93" fillId="0" borderId="76" xfId="0" applyNumberFormat="1" applyFont="1" applyBorder="1" applyAlignment="1">
      <alignment horizontal="center" vertical="center"/>
    </xf>
    <xf numFmtId="49" fontId="93" fillId="0" borderId="77" xfId="0" applyNumberFormat="1" applyFont="1" applyBorder="1" applyAlignment="1">
      <alignment horizontal="center" vertical="center" shrinkToFit="1"/>
    </xf>
    <xf numFmtId="49" fontId="93" fillId="0" borderId="72" xfId="0" applyNumberFormat="1" applyFont="1" applyBorder="1" applyAlignment="1">
      <alignment horizontal="center" vertical="center" wrapText="1"/>
    </xf>
    <xf numFmtId="49" fontId="93" fillId="0" borderId="72" xfId="0" applyNumberFormat="1" applyFont="1" applyBorder="1" applyAlignment="1">
      <alignment horizontal="center" vertical="center"/>
    </xf>
    <xf numFmtId="49" fontId="93" fillId="0" borderId="73" xfId="0" applyNumberFormat="1" applyFont="1" applyBorder="1" applyAlignment="1">
      <alignment horizontal="center" vertical="center"/>
    </xf>
    <xf numFmtId="49" fontId="93" fillId="0" borderId="71" xfId="0" applyNumberFormat="1" applyFont="1" applyBorder="1" applyAlignment="1">
      <alignment horizontal="center" vertical="center"/>
    </xf>
    <xf numFmtId="49" fontId="93" fillId="0" borderId="72" xfId="0" applyNumberFormat="1" applyFont="1" applyBorder="1" applyAlignment="1">
      <alignment horizontal="center" vertical="center" shrinkToFit="1"/>
    </xf>
    <xf numFmtId="0" fontId="93" fillId="0" borderId="0" xfId="0" applyFont="1" applyBorder="1" applyAlignment="1">
      <alignment horizontal="center" vertical="center"/>
    </xf>
    <xf numFmtId="0" fontId="93" fillId="0" borderId="0" xfId="0" applyFont="1" applyBorder="1" applyAlignment="1">
      <alignment horizontal="center" vertical="center" wrapText="1"/>
    </xf>
    <xf numFmtId="0" fontId="94" fillId="0" borderId="0" xfId="0" applyFont="1" applyBorder="1" applyAlignment="1">
      <alignment horizontal="center" vertical="center"/>
    </xf>
    <xf numFmtId="0" fontId="95" fillId="0" borderId="0" xfId="0" applyFont="1" applyAlignment="1">
      <alignment horizontal="center" vertical="center"/>
    </xf>
    <xf numFmtId="0" fontId="93" fillId="0" borderId="0" xfId="0" applyFont="1" applyAlignment="1">
      <alignment horizontal="center" vertical="center"/>
    </xf>
    <xf numFmtId="0" fontId="93" fillId="0" borderId="0" xfId="0" applyFont="1" applyAlignment="1">
      <alignment horizontal="left" vertical="center"/>
    </xf>
    <xf numFmtId="169" fontId="94" fillId="0" borderId="0" xfId="0" applyNumberFormat="1" applyFont="1" applyBorder="1" applyAlignment="1">
      <alignment horizontal="left" vertical="center"/>
    </xf>
    <xf numFmtId="169" fontId="94" fillId="0" borderId="55" xfId="0" applyNumberFormat="1" applyFont="1" applyBorder="1" applyAlignment="1">
      <alignment horizontal="left" vertical="center"/>
    </xf>
    <xf numFmtId="0" fontId="94" fillId="0" borderId="57" xfId="0" applyFont="1" applyBorder="1" applyAlignment="1">
      <alignment horizontal="left" vertical="center"/>
    </xf>
    <xf numFmtId="0" fontId="94" fillId="0" borderId="55" xfId="0" applyFont="1" applyBorder="1" applyAlignment="1">
      <alignment horizontal="left" vertical="center"/>
    </xf>
    <xf numFmtId="0" fontId="94" fillId="0" borderId="0" xfId="0" applyFont="1" applyBorder="1" applyAlignment="1">
      <alignment horizontal="left" vertical="center"/>
    </xf>
    <xf numFmtId="49" fontId="94" fillId="0" borderId="57" xfId="0" applyNumberFormat="1" applyFont="1" applyBorder="1" applyAlignment="1">
      <alignment horizontal="left" vertical="center"/>
    </xf>
    <xf numFmtId="0" fontId="94" fillId="0" borderId="57" xfId="0" applyNumberFormat="1" applyFont="1" applyBorder="1" applyAlignment="1">
      <alignment horizontal="left" vertical="center"/>
    </xf>
    <xf numFmtId="0" fontId="94" fillId="0" borderId="55" xfId="0" applyNumberFormat="1" applyFont="1" applyBorder="1" applyAlignment="1">
      <alignment horizontal="left" vertical="center"/>
    </xf>
    <xf numFmtId="0" fontId="38" fillId="13" borderId="31" xfId="2" applyFont="1" applyFill="1" applyBorder="1" applyAlignment="1" applyProtection="1">
      <alignment horizontal="center" vertical="center" shrinkToFit="1"/>
      <protection locked="0"/>
    </xf>
  </cellXfs>
  <cellStyles count="5">
    <cellStyle name="Hyperlink" xfId="1" builtinId="8"/>
    <cellStyle name="Normal" xfId="0" builtinId="0"/>
    <cellStyle name="Normal 2" xfId="2"/>
    <cellStyle name="Normal 3" xfId="3"/>
    <cellStyle name="Normal 4" xfId="4"/>
  </cellStyles>
  <dxfs count="62">
    <dxf>
      <font>
        <color theme="8" tint="0.59999389629810485"/>
      </font>
      <fill>
        <patternFill patternType="solid">
          <fgColor indexed="64"/>
          <bgColor theme="8" tint="0.59999389629810485"/>
        </patternFill>
      </fill>
    </dxf>
    <dxf>
      <font>
        <color theme="0" tint="-0.14999847407452621"/>
      </font>
      <fill>
        <patternFill patternType="solid">
          <fgColor indexed="64"/>
          <bgColor theme="0" tint="-0.14999847407452621"/>
        </patternFill>
      </fill>
    </dxf>
    <dxf>
      <font>
        <color theme="0" tint="-0.14999847407452621"/>
      </font>
      <fill>
        <patternFill patternType="solid">
          <fgColor indexed="64"/>
          <bgColor theme="0" tint="-0.14999847407452621"/>
        </patternFill>
      </fill>
      <border>
        <left/>
        <right style="thin">
          <color theme="0" tint="-0.34998626667073579"/>
        </right>
        <top style="thin">
          <color theme="0" tint="-0.34998626667073579"/>
        </top>
        <bottom style="thin">
          <color theme="0" tint="-0.34998626667073579"/>
        </bottom>
      </border>
    </dxf>
    <dxf>
      <font>
        <condense val="0"/>
        <extend val="0"/>
        <color auto="1"/>
      </font>
      <fill>
        <patternFill>
          <bgColor indexed="43"/>
        </patternFill>
      </fill>
    </dxf>
    <dxf>
      <font>
        <color theme="8" tint="0.59999389629810485"/>
      </font>
      <fill>
        <patternFill patternType="solid">
          <fgColor indexed="64"/>
          <bgColor theme="8" tint="0.59999389629810485"/>
        </patternFill>
      </fill>
    </dxf>
    <dxf>
      <font>
        <color theme="8" tint="0.59999389629810485"/>
      </font>
      <fill>
        <patternFill patternType="solid">
          <fgColor indexed="64"/>
          <bgColor theme="8" tint="0.59999389629810485"/>
        </patternFill>
      </fill>
    </dxf>
    <dxf>
      <font>
        <condense val="0"/>
        <extend val="0"/>
        <color indexed="8"/>
      </font>
      <fill>
        <patternFill>
          <bgColor indexed="8"/>
        </patternFill>
      </fill>
    </dxf>
    <dxf>
      <fill>
        <patternFill>
          <bgColor indexed="43"/>
        </patternFill>
      </fill>
    </dxf>
    <dxf>
      <font>
        <color theme="8" tint="0.59999389629810485"/>
      </font>
      <fill>
        <patternFill patternType="solid">
          <fgColor indexed="64"/>
          <bgColor theme="8" tint="0.59999389629810485"/>
        </patternFill>
      </fill>
    </dxf>
    <dxf>
      <font>
        <color theme="0" tint="-0.14999847407452621"/>
      </font>
      <fill>
        <patternFill patternType="solid">
          <fgColor indexed="64"/>
          <bgColor theme="0" tint="-0.14999847407452621"/>
        </patternFill>
      </fill>
    </dxf>
    <dxf>
      <font>
        <color theme="0" tint="-0.14999847407452621"/>
      </font>
      <fill>
        <patternFill patternType="solid">
          <fgColor indexed="64"/>
          <bgColor theme="0" tint="-0.14999847407452621"/>
        </patternFill>
      </fill>
    </dxf>
    <dxf>
      <font>
        <color theme="8" tint="0.59999389629810485"/>
      </font>
      <fill>
        <patternFill patternType="solid">
          <fgColor indexed="64"/>
          <bgColor theme="8" tint="0.59999389629810485"/>
        </patternFill>
      </fill>
    </dxf>
    <dxf>
      <font>
        <color theme="8" tint="0.59999389629810485"/>
      </font>
      <fill>
        <patternFill patternType="solid">
          <fgColor indexed="64"/>
          <bgColor theme="8" tint="0.59999389629810485"/>
        </patternFill>
      </fill>
    </dxf>
    <dxf>
      <font>
        <color auto="1"/>
      </font>
      <fill>
        <patternFill patternType="solid">
          <fgColor indexed="64"/>
          <bgColor rgb="FFFFFF00"/>
        </patternFill>
      </fill>
      <border>
        <left style="thin">
          <color indexed="55"/>
        </left>
        <right/>
        <top style="thin">
          <color indexed="55"/>
        </top>
        <bottom style="thin">
          <color indexed="55"/>
        </bottom>
      </border>
    </dxf>
    <dxf>
      <font>
        <color theme="0"/>
      </font>
      <fill>
        <patternFill patternType="none">
          <fgColor indexed="64"/>
          <bgColor indexed="65"/>
        </patternFill>
      </fill>
      <border>
        <left/>
        <right/>
        <top/>
        <bottom/>
      </border>
    </dxf>
    <dxf>
      <font>
        <color theme="0"/>
      </font>
      <fill>
        <patternFill patternType="solid">
          <fgColor indexed="64"/>
          <bgColor theme="0"/>
        </patternFill>
      </fill>
      <border>
        <left/>
        <right/>
        <top/>
        <bottom/>
      </border>
    </dxf>
    <dxf>
      <font>
        <color auto="1"/>
      </font>
      <fill>
        <patternFill patternType="solid">
          <fgColor indexed="64"/>
          <bgColor rgb="FFFFFF00"/>
        </patternFill>
      </fill>
      <border>
        <left style="thin">
          <color indexed="55"/>
        </left>
        <right/>
        <top style="thin">
          <color indexed="55"/>
        </top>
        <bottom style="thin">
          <color indexed="55"/>
        </bottom>
      </border>
    </dxf>
    <dxf>
      <font>
        <color theme="0"/>
      </font>
      <fill>
        <patternFill patternType="none">
          <fgColor indexed="64"/>
          <bgColor indexed="65"/>
        </patternFill>
      </fill>
      <border>
        <left/>
        <right/>
        <top/>
        <bottom/>
      </border>
    </dxf>
    <dxf>
      <font>
        <color theme="0"/>
      </font>
      <fill>
        <patternFill patternType="solid">
          <fgColor indexed="64"/>
          <bgColor theme="0"/>
        </patternFill>
      </fill>
      <border>
        <left/>
        <right/>
        <top/>
        <bottom/>
      </border>
    </dxf>
    <dxf>
      <font>
        <color auto="1"/>
      </font>
      <fill>
        <patternFill patternType="solid">
          <fgColor indexed="64"/>
          <bgColor theme="0" tint="-0.14999847407452621"/>
        </patternFill>
      </fill>
      <border>
        <right style="thin">
          <color indexed="55"/>
        </right>
        <top style="thin">
          <color indexed="55"/>
        </top>
        <bottom style="thin">
          <color indexed="55"/>
        </bottom>
      </border>
    </dxf>
    <dxf>
      <font>
        <color theme="0"/>
      </font>
      <fill>
        <patternFill patternType="none">
          <fgColor indexed="64"/>
          <bgColor indexed="65"/>
        </patternFill>
      </fill>
      <border>
        <left/>
        <right/>
        <top/>
        <bottom/>
      </border>
    </dxf>
    <dxf>
      <font>
        <color theme="0"/>
      </font>
      <fill>
        <patternFill patternType="solid">
          <fgColor indexed="64"/>
          <bgColor theme="0"/>
        </patternFill>
      </fill>
      <border>
        <left/>
        <right/>
        <top/>
        <bottom/>
      </border>
    </dxf>
    <dxf>
      <font>
        <color theme="8" tint="0.59999389629810485"/>
      </font>
      <fill>
        <patternFill patternType="solid">
          <fgColor indexed="64"/>
          <bgColor theme="8" tint="0.59999389629810485"/>
        </patternFill>
      </fill>
    </dxf>
    <dxf>
      <font>
        <color theme="8" tint="0.59999389629810485"/>
      </font>
      <fill>
        <patternFill patternType="solid">
          <fgColor indexed="64"/>
          <bgColor theme="8" tint="0.59999389629810485"/>
        </patternFill>
      </fill>
    </dxf>
    <dxf>
      <font>
        <color theme="8" tint="0.59999389629810485"/>
      </font>
      <fill>
        <patternFill patternType="solid">
          <fgColor indexed="64"/>
          <bgColor theme="8" tint="0.59999389629810485"/>
        </patternFill>
      </fill>
    </dxf>
    <dxf>
      <font>
        <color theme="8" tint="0.59999389629810485"/>
      </font>
      <fill>
        <patternFill patternType="solid">
          <fgColor indexed="64"/>
          <bgColor theme="8" tint="0.59999389629810485"/>
        </patternFill>
      </fill>
    </dxf>
    <dxf>
      <font>
        <color theme="8" tint="0.59999389629810485"/>
      </font>
      <fill>
        <patternFill patternType="solid">
          <fgColor indexed="64"/>
          <bgColor theme="8" tint="0.59999389629810485"/>
        </patternFill>
      </fill>
    </dxf>
    <dxf>
      <font>
        <color theme="8" tint="0.59999389629810485"/>
      </font>
      <fill>
        <patternFill patternType="solid">
          <fgColor indexed="64"/>
          <bgColor theme="8" tint="0.59999389629810485"/>
        </patternFill>
      </fill>
    </dxf>
    <dxf>
      <font>
        <color rgb="FFFFFF00"/>
      </font>
      <fill>
        <patternFill patternType="solid">
          <fgColor indexed="64"/>
          <bgColor rgb="FFFFFF00"/>
        </patternFill>
      </fill>
    </dxf>
    <dxf>
      <font>
        <color theme="8" tint="0.59999389629810485"/>
      </font>
      <fill>
        <patternFill patternType="solid">
          <fgColor indexed="64"/>
          <bgColor theme="8" tint="0.59999389629810485"/>
        </patternFill>
      </fill>
    </dxf>
    <dxf>
      <font>
        <color theme="0" tint="-0.499984740745262"/>
      </font>
      <fill>
        <patternFill patternType="solid">
          <fgColor indexed="64"/>
          <bgColor theme="0" tint="-0.14999847407452621"/>
        </patternFill>
      </fill>
    </dxf>
    <dxf>
      <font>
        <color theme="0" tint="-0.14999847407452621"/>
      </font>
      <fill>
        <patternFill patternType="solid">
          <fgColor indexed="64"/>
          <bgColor theme="0" tint="-0.14999847407452621"/>
        </patternFill>
      </fill>
    </dxf>
    <dxf>
      <font>
        <color theme="0" tint="-0.499984740745262"/>
      </font>
      <fill>
        <patternFill patternType="solid">
          <fgColor indexed="64"/>
          <bgColor theme="0" tint="-0.14999847407452621"/>
        </patternFill>
      </fill>
    </dxf>
    <dxf>
      <font>
        <color theme="0" tint="-0.14999847407452621"/>
      </font>
      <fill>
        <patternFill patternType="solid">
          <fgColor indexed="64"/>
          <bgColor theme="0" tint="-0.14999847407452621"/>
        </patternFill>
      </fill>
    </dxf>
    <dxf>
      <font>
        <color theme="8" tint="0.59999389629810485"/>
      </font>
      <fill>
        <patternFill patternType="solid">
          <fgColor indexed="64"/>
          <bgColor theme="8" tint="0.59999389629810485"/>
        </patternFill>
      </fill>
    </dxf>
    <dxf>
      <fill>
        <patternFill>
          <bgColor indexed="43"/>
        </patternFill>
      </fill>
    </dxf>
    <dxf>
      <font>
        <color theme="0" tint="-0.14999847407452621"/>
      </font>
      <fill>
        <patternFill patternType="solid">
          <fgColor indexed="64"/>
          <bgColor theme="0" tint="-0.14999847407452621"/>
        </patternFill>
      </fill>
    </dxf>
    <dxf>
      <font>
        <condense val="0"/>
        <extend val="0"/>
        <color indexed="34"/>
      </font>
      <fill>
        <patternFill>
          <bgColor indexed="34"/>
        </patternFill>
      </fill>
    </dxf>
    <dxf>
      <font>
        <condense val="0"/>
        <extend val="0"/>
        <color indexed="9"/>
      </font>
      <fill>
        <patternFill>
          <bgColor indexed="9"/>
        </patternFill>
      </fill>
    </dxf>
    <dxf>
      <font>
        <color auto="1"/>
      </font>
      <fill>
        <patternFill patternType="solid">
          <fgColor indexed="64"/>
          <bgColor theme="0" tint="-0.14999847407452621"/>
        </patternFill>
      </fill>
      <border>
        <left style="thin">
          <color theme="0" tint="-0.499984740745262"/>
        </left>
        <right style="thin">
          <color theme="0" tint="-0.499984740745262"/>
        </right>
        <top style="thin">
          <color theme="0" tint="-0.499984740745262"/>
        </top>
        <bottom style="thin">
          <color theme="0" tint="-0.499984740745262"/>
        </bottom>
      </border>
    </dxf>
    <dxf>
      <font>
        <color theme="0"/>
      </font>
      <fill>
        <patternFill patternType="solid">
          <fgColor indexed="64"/>
          <bgColor theme="0"/>
        </patternFill>
      </fill>
      <border>
        <left/>
        <right/>
        <top/>
        <bottom/>
      </border>
    </dxf>
    <dxf>
      <font>
        <condense val="0"/>
        <extend val="0"/>
        <color auto="1"/>
      </font>
    </dxf>
    <dxf>
      <font>
        <color theme="0" tint="-0.14999847407452621"/>
      </font>
      <fill>
        <patternFill patternType="solid">
          <fgColor indexed="64"/>
          <bgColor theme="0" tint="-0.14999847407452621"/>
        </patternFill>
      </fill>
    </dxf>
    <dxf>
      <font>
        <color theme="0"/>
      </font>
      <fill>
        <patternFill patternType="none">
          <fgColor indexed="64"/>
          <bgColor indexed="65"/>
        </patternFill>
      </fill>
    </dxf>
    <dxf>
      <font>
        <color theme="5" tint="-0.249977111117893"/>
      </font>
      <fill>
        <patternFill patternType="solid">
          <fgColor theme="0"/>
          <bgColor theme="8" tint="0.59999389629810485"/>
        </patternFill>
      </fill>
    </dxf>
    <dxf>
      <font>
        <color rgb="FFCD1B1B"/>
      </font>
      <fill>
        <patternFill patternType="solid">
          <fgColor theme="0" tint="-0.249977111117893"/>
          <bgColor theme="8" tint="0.59999389629810485"/>
        </patternFill>
      </fill>
    </dxf>
    <dxf>
      <font>
        <color rgb="FFCD1B1B"/>
      </font>
      <fill>
        <patternFill patternType="solid">
          <fgColor indexed="64"/>
          <bgColor theme="8" tint="0.59999389629810485"/>
        </patternFill>
      </fill>
    </dxf>
    <dxf>
      <font>
        <color theme="8" tint="0.59999389629810485"/>
      </font>
    </dxf>
    <dxf>
      <font>
        <color theme="8" tint="0.59999389629810485"/>
      </font>
      <fill>
        <patternFill patternType="solid">
          <fgColor indexed="64"/>
          <bgColor theme="8" tint="0.59999389629810485"/>
        </patternFill>
      </fill>
    </dxf>
    <dxf>
      <font>
        <condense val="0"/>
        <extend val="0"/>
        <color indexed="24"/>
      </font>
    </dxf>
    <dxf>
      <font>
        <color rgb="FFCD1B1B"/>
      </font>
      <fill>
        <patternFill patternType="solid">
          <fgColor indexed="64"/>
          <bgColor theme="8" tint="0.59999389629810485"/>
        </patternFill>
      </fill>
    </dxf>
    <dxf>
      <font>
        <color theme="8" tint="0.59999389629810485"/>
      </font>
    </dxf>
    <dxf>
      <font>
        <color theme="8" tint="0.59999389629810485"/>
      </font>
    </dxf>
    <dxf>
      <font>
        <condense val="0"/>
        <extend val="0"/>
        <color indexed="27"/>
      </font>
    </dxf>
    <dxf>
      <font>
        <color auto="1"/>
      </font>
      <fill>
        <patternFill patternType="solid">
          <fgColor indexed="64"/>
          <bgColor rgb="FFF9F844"/>
        </patternFill>
      </fill>
    </dxf>
    <dxf>
      <font>
        <color rgb="FFFF0000"/>
      </font>
    </dxf>
    <dxf>
      <font>
        <color auto="1"/>
      </font>
      <fill>
        <patternFill patternType="none">
          <fgColor indexed="64"/>
          <bgColor indexed="65"/>
        </patternFill>
      </fill>
      <border>
        <left/>
        <right/>
        <top/>
        <bottom/>
      </border>
    </dxf>
    <dxf>
      <font>
        <color auto="1"/>
      </font>
      <fill>
        <patternFill patternType="none">
          <fgColor indexed="64"/>
          <bgColor indexed="65"/>
        </patternFill>
      </fill>
      <border>
        <left/>
        <right/>
        <top/>
        <bottom/>
      </border>
    </dxf>
    <dxf>
      <font>
        <color auto="1"/>
      </font>
      <fill>
        <patternFill patternType="none">
          <fgColor indexed="64"/>
          <bgColor indexed="65"/>
        </patternFill>
      </fill>
      <border>
        <left/>
        <right/>
        <top/>
        <bottom/>
      </border>
    </dxf>
    <dxf>
      <font>
        <color auto="1"/>
      </font>
      <fill>
        <patternFill patternType="none">
          <fgColor indexed="64"/>
          <bgColor indexed="65"/>
        </patternFill>
      </fill>
      <border>
        <left/>
        <right/>
        <top/>
        <bottom/>
      </border>
    </dxf>
    <dxf>
      <font>
        <color auto="1"/>
      </font>
      <fill>
        <patternFill patternType="solid">
          <fgColor indexed="64"/>
          <bgColor theme="8" tint="0.39997558519241921"/>
        </patternFill>
      </fill>
    </dxf>
    <dxf>
      <font>
        <color theme="8" tint="0.39997558519241921"/>
      </font>
      <fill>
        <patternFill patternType="solid">
          <fgColor indexed="64"/>
          <bgColor theme="8" tint="0.39997558519241921"/>
        </patternFill>
      </fill>
    </dxf>
  </dxfs>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D9DAD8"/>
      <rgbColor rgb="0079DD95"/>
      <rgbColor rgb="00C4C4BF"/>
      <rgbColor rgb="00ACD1E1"/>
      <rgbColor rgb="006711FF"/>
      <rgbColor rgb="00FADF7F"/>
      <rgbColor rgb="00865357"/>
      <rgbColor rgb="00A2BD90"/>
      <rgbColor rgb="0063AAFE"/>
      <rgbColor rgb="00DD2D32"/>
      <rgbColor rgb="00FFFBB0"/>
      <rgbColor rgb="006F9C79"/>
      <rgbColor rgb="006711FF"/>
      <rgbColor rgb="00FEA746"/>
      <rgbColor rgb="00865357"/>
      <rgbColor rgb="00A2BD90"/>
      <rgbColor rgb="0000CCFF"/>
      <rgbColor rgb="00CCFFFF"/>
      <rgbColor rgb="00CCFFCC"/>
      <rgbColor rgb="00F8FF0F"/>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BBD18F"/>
      <color rgb="FF7979FF"/>
      <color rgb="FF3B3BFF"/>
      <color rgb="FF0000D4"/>
      <color rgb="FF0000FF"/>
      <color rgb="FFFF6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Radio" firstButton="1" fmlaLink="[1]Calculations!$A$5"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Radio"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GBox" noThreeD="1"/>
</file>

<file path=xl/ctrlProps/ctrlProp19.xml><?xml version="1.0" encoding="utf-8"?>
<formControlPr xmlns="http://schemas.microsoft.com/office/spreadsheetml/2009/9/main" objectType="Radio" firstButton="1" fmlaLink="$M$49"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GBox" noThreeD="1"/>
</file>

<file path=xl/ctrlProps/ctrlProp22.xml><?xml version="1.0" encoding="utf-8"?>
<formControlPr xmlns="http://schemas.microsoft.com/office/spreadsheetml/2009/9/main" objectType="Radio" firstButton="1" fmlaLink="$M$13" lockText="1" noThreeD="1"/>
</file>

<file path=xl/ctrlProps/ctrlProp23.xml><?xml version="1.0" encoding="utf-8"?>
<formControlPr xmlns="http://schemas.microsoft.com/office/spreadsheetml/2009/9/main" objectType="Radio" lockText="1" noThreeD="1"/>
</file>

<file path=xl/ctrlProps/ctrlProp24.xml><?xml version="1.0" encoding="utf-8"?>
<formControlPr xmlns="http://schemas.microsoft.com/office/spreadsheetml/2009/9/main" objectType="Radio" lockText="1" noThreeD="1"/>
</file>

<file path=xl/ctrlProps/ctrlProp25.xml><?xml version="1.0" encoding="utf-8"?>
<formControlPr xmlns="http://schemas.microsoft.com/office/spreadsheetml/2009/9/main" objectType="Radio" lockText="1" noThreeD="1"/>
</file>

<file path=xl/ctrlProps/ctrlProp26.xml><?xml version="1.0" encoding="utf-8"?>
<formControlPr xmlns="http://schemas.microsoft.com/office/spreadsheetml/2009/9/main" objectType="Radio" lockText="1" noThreeD="1"/>
</file>

<file path=xl/ctrlProps/ctrlProp27.xml><?xml version="1.0" encoding="utf-8"?>
<formControlPr xmlns="http://schemas.microsoft.com/office/spreadsheetml/2009/9/main" objectType="Radio" lockText="1" noThreeD="1"/>
</file>

<file path=xl/ctrlProps/ctrlProp28.xml><?xml version="1.0" encoding="utf-8"?>
<formControlPr xmlns="http://schemas.microsoft.com/office/spreadsheetml/2009/9/main" objectType="CheckBox" fmlaLink="M11" lockText="1" noThreeD="1"/>
</file>

<file path=xl/ctrlProps/ctrlProp29.xml><?xml version="1.0" encoding="utf-8"?>
<formControlPr xmlns="http://schemas.microsoft.com/office/spreadsheetml/2009/9/main" objectType="Radio" lockText="1" noThreeD="1"/>
</file>

<file path=xl/ctrlProps/ctrlProp30.xml><?xml version="1.0" encoding="utf-8"?>
<formControlPr xmlns="http://schemas.microsoft.com/office/spreadsheetml/2009/9/main" objectType="CheckBox" fmlaLink="M44" lockText="1" noThreeD="1"/>
</file>

<file path=xl/ctrlProps/ctrlProp31.xml><?xml version="1.0" encoding="utf-8"?>
<formControlPr xmlns="http://schemas.microsoft.com/office/spreadsheetml/2009/9/main" objectType="GBox" noThreeD="1"/>
</file>

<file path=xl/ctrlProps/ctrlProp32.xml><?xml version="1.0" encoding="utf-8"?>
<formControlPr xmlns="http://schemas.microsoft.com/office/spreadsheetml/2009/9/main" objectType="Radio" firstButton="1" fmlaLink="ICM!$J$3" lockText="1"/>
</file>

<file path=xl/ctrlProps/ctrlProp33.xml><?xml version="1.0" encoding="utf-8"?>
<formControlPr xmlns="http://schemas.microsoft.com/office/spreadsheetml/2009/9/main" objectType="Radio" lockText="1"/>
</file>

<file path=xl/ctrlProps/ctrlProp34.xml><?xml version="1.0" encoding="utf-8"?>
<formControlPr xmlns="http://schemas.microsoft.com/office/spreadsheetml/2009/9/main" objectType="CheckBox" lockText="1"/>
</file>

<file path=xl/ctrlProps/ctrlProp35.xml><?xml version="1.0" encoding="utf-8"?>
<formControlPr xmlns="http://schemas.microsoft.com/office/spreadsheetml/2009/9/main" objectType="CheckBox" lockText="1"/>
</file>

<file path=xl/ctrlProps/ctrlProp36.xml><?xml version="1.0" encoding="utf-8"?>
<formControlPr xmlns="http://schemas.microsoft.com/office/spreadsheetml/2009/9/main" objectType="CheckBox" lockText="1"/>
</file>

<file path=xl/ctrlProps/ctrlProp37.xml><?xml version="1.0" encoding="utf-8"?>
<formControlPr xmlns="http://schemas.microsoft.com/office/spreadsheetml/2009/9/main" objectType="CheckBox" lockText="1"/>
</file>

<file path=xl/ctrlProps/ctrlProp38.xml><?xml version="1.0" encoding="utf-8"?>
<formControlPr xmlns="http://schemas.microsoft.com/office/spreadsheetml/2009/9/main" objectType="CheckBox" lockText="1"/>
</file>

<file path=xl/ctrlProps/ctrlProp39.xml><?xml version="1.0" encoding="utf-8"?>
<formControlPr xmlns="http://schemas.microsoft.com/office/spreadsheetml/2009/9/main" objectType="CheckBox" lockText="1"/>
</file>

<file path=xl/ctrlProps/ctrlProp40.xml><?xml version="1.0" encoding="utf-8"?>
<formControlPr xmlns="http://schemas.microsoft.com/office/spreadsheetml/2009/9/main" objectType="CheckBox" lockText="1"/>
</file>

<file path=xl/ctrlProps/ctrlProp41.xml><?xml version="1.0" encoding="utf-8"?>
<formControlPr xmlns="http://schemas.microsoft.com/office/spreadsheetml/2009/9/main" objectType="CheckBox" lockText="1"/>
</file>

<file path=xl/ctrlProps/ctrlProp42.xml><?xml version="1.0" encoding="utf-8"?>
<formControlPr xmlns="http://schemas.microsoft.com/office/spreadsheetml/2009/9/main" objectType="CheckBox" lockText="1"/>
</file>

<file path=xl/ctrlProps/ctrlProp43.xml><?xml version="1.0" encoding="utf-8"?>
<formControlPr xmlns="http://schemas.microsoft.com/office/spreadsheetml/2009/9/main" objectType="CheckBox" lockText="1"/>
</file>

<file path=xl/ctrlProps/ctrlProp44.xml><?xml version="1.0" encoding="utf-8"?>
<formControlPr xmlns="http://schemas.microsoft.com/office/spreadsheetml/2009/9/main" objectType="CheckBox" lockText="1"/>
</file>

<file path=xl/ctrlProps/ctrlProp45.xml><?xml version="1.0" encoding="utf-8"?>
<formControlPr xmlns="http://schemas.microsoft.com/office/spreadsheetml/2009/9/main" objectType="CheckBox" lockText="1"/>
</file>

<file path=xl/ctrlProps/ctrlProp46.xml><?xml version="1.0" encoding="utf-8"?>
<formControlPr xmlns="http://schemas.microsoft.com/office/spreadsheetml/2009/9/main" objectType="CheckBox" lockText="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_rels/drawing6.xml.rels><?xml version="1.0" encoding="UTF-8" standalone="yes"?>
<Relationships xmlns="http://schemas.openxmlformats.org/package/2006/relationships"><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1" Type="http://schemas.openxmlformats.org/officeDocument/2006/relationships/image" Target="../media/image8.png"/></Relationships>
</file>

<file path=xl/drawings/_rels/drawing8.xml.rels><?xml version="1.0" encoding="UTF-8" standalone="yes"?>
<Relationships xmlns="http://schemas.openxmlformats.org/package/2006/relationships"><Relationship Id="rId1" Type="http://schemas.openxmlformats.org/officeDocument/2006/relationships/image" Target="../media/image9.jpg"/></Relationships>
</file>

<file path=xl/drawings/drawing1.xml><?xml version="1.0" encoding="utf-8"?>
<xdr:wsDr xmlns:xdr="http://schemas.openxmlformats.org/drawingml/2006/spreadsheetDrawing" xmlns:a="http://schemas.openxmlformats.org/drawingml/2006/main">
  <xdr:twoCellAnchor editAs="oneCell">
    <xdr:from>
      <xdr:col>10</xdr:col>
      <xdr:colOff>352425</xdr:colOff>
      <xdr:row>1</xdr:row>
      <xdr:rowOff>0</xdr:rowOff>
    </xdr:from>
    <xdr:to>
      <xdr:col>16</xdr:col>
      <xdr:colOff>0</xdr:colOff>
      <xdr:row>3</xdr:row>
      <xdr:rowOff>0</xdr:rowOff>
    </xdr:to>
    <xdr:pic>
      <xdr:nvPicPr>
        <xdr:cNvPr id="2" name="Picture 1" descr="Winpa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619750" y="85725"/>
          <a:ext cx="2543175" cy="514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0</xdr:colOff>
      <xdr:row>31</xdr:row>
      <xdr:rowOff>0</xdr:rowOff>
    </xdr:from>
    <xdr:to>
      <xdr:col>16</xdr:col>
      <xdr:colOff>0</xdr:colOff>
      <xdr:row>37</xdr:row>
      <xdr:rowOff>0</xdr:rowOff>
    </xdr:to>
    <xdr:sp macro="" textlink="">
      <xdr:nvSpPr>
        <xdr:cNvPr id="3" name="TextBox 2"/>
        <xdr:cNvSpPr txBox="1"/>
      </xdr:nvSpPr>
      <xdr:spPr>
        <a:xfrm>
          <a:off x="85725" y="7715250"/>
          <a:ext cx="8077200" cy="1543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a:p>
      </xdr:txBody>
    </xdr:sp>
    <xdr:clientData/>
  </xdr:twoCellAnchor>
  <xdr:twoCellAnchor>
    <xdr:from>
      <xdr:col>1</xdr:col>
      <xdr:colOff>0</xdr:colOff>
      <xdr:row>41</xdr:row>
      <xdr:rowOff>256760</xdr:rowOff>
    </xdr:from>
    <xdr:to>
      <xdr:col>16</xdr:col>
      <xdr:colOff>0</xdr:colOff>
      <xdr:row>49</xdr:row>
      <xdr:rowOff>0</xdr:rowOff>
    </xdr:to>
    <xdr:sp macro="" textlink="">
      <xdr:nvSpPr>
        <xdr:cNvPr id="4" name="TextBox 3"/>
        <xdr:cNvSpPr txBox="1"/>
      </xdr:nvSpPr>
      <xdr:spPr>
        <a:xfrm>
          <a:off x="85725" y="10543760"/>
          <a:ext cx="8077200" cy="1810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600"/>
        </a:p>
      </xdr:txBody>
    </xdr:sp>
    <xdr:clientData/>
  </xdr:twoCellAnchor>
  <mc:AlternateContent xmlns:mc="http://schemas.openxmlformats.org/markup-compatibility/2006">
    <mc:Choice xmlns:a14="http://schemas.microsoft.com/office/drawing/2010/main" Requires="a14">
      <xdr:twoCellAnchor editAs="oneCell">
        <xdr:from>
          <xdr:col>1</xdr:col>
          <xdr:colOff>1171575</xdr:colOff>
          <xdr:row>37</xdr:row>
          <xdr:rowOff>9525</xdr:rowOff>
        </xdr:from>
        <xdr:to>
          <xdr:col>2</xdr:col>
          <xdr:colOff>323850</xdr:colOff>
          <xdr:row>38</xdr:row>
          <xdr:rowOff>19050</xdr:rowOff>
        </xdr:to>
        <xdr:sp macro="" textlink="">
          <xdr:nvSpPr>
            <xdr:cNvPr id="21510" name="Check Box 6" hidden="1">
              <a:extLst>
                <a:ext uri="{63B3BB69-23CF-44E3-9099-C40C66FF867C}">
                  <a14:compatExt spid="_x0000_s215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133350</xdr:colOff>
          <xdr:row>36</xdr:row>
          <xdr:rowOff>238125</xdr:rowOff>
        </xdr:from>
        <xdr:to>
          <xdr:col>5</xdr:col>
          <xdr:colOff>438150</xdr:colOff>
          <xdr:row>38</xdr:row>
          <xdr:rowOff>0</xdr:rowOff>
        </xdr:to>
        <xdr:sp macro="" textlink="">
          <xdr:nvSpPr>
            <xdr:cNvPr id="21512" name="Check Box 8" hidden="1">
              <a:extLst>
                <a:ext uri="{63B3BB69-23CF-44E3-9099-C40C66FF867C}">
                  <a14:compatExt spid="_x0000_s215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85725</xdr:colOff>
          <xdr:row>37</xdr:row>
          <xdr:rowOff>38100</xdr:rowOff>
        </xdr:from>
        <xdr:to>
          <xdr:col>7</xdr:col>
          <xdr:colOff>390525</xdr:colOff>
          <xdr:row>38</xdr:row>
          <xdr:rowOff>0</xdr:rowOff>
        </xdr:to>
        <xdr:sp macro="" textlink="">
          <xdr:nvSpPr>
            <xdr:cNvPr id="21513" name="Check Box 9" hidden="1">
              <a:extLst>
                <a:ext uri="{63B3BB69-23CF-44E3-9099-C40C66FF867C}">
                  <a14:compatExt spid="_x0000_s215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37</xdr:row>
          <xdr:rowOff>28575</xdr:rowOff>
        </xdr:from>
        <xdr:to>
          <xdr:col>10</xdr:col>
          <xdr:colOff>333375</xdr:colOff>
          <xdr:row>37</xdr:row>
          <xdr:rowOff>228600</xdr:rowOff>
        </xdr:to>
        <xdr:sp macro="" textlink="">
          <xdr:nvSpPr>
            <xdr:cNvPr id="21514" name="Check Box 10" hidden="1">
              <a:extLst>
                <a:ext uri="{63B3BB69-23CF-44E3-9099-C40C66FF867C}">
                  <a14:compatExt spid="_x0000_s215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171450</xdr:colOff>
          <xdr:row>37</xdr:row>
          <xdr:rowOff>28575</xdr:rowOff>
        </xdr:from>
        <xdr:to>
          <xdr:col>13</xdr:col>
          <xdr:colOff>57150</xdr:colOff>
          <xdr:row>37</xdr:row>
          <xdr:rowOff>238125</xdr:rowOff>
        </xdr:to>
        <xdr:sp macro="" textlink="">
          <xdr:nvSpPr>
            <xdr:cNvPr id="21515" name="Check Box 11" hidden="1">
              <a:extLst>
                <a:ext uri="{63B3BB69-23CF-44E3-9099-C40C66FF867C}">
                  <a14:compatExt spid="_x0000_s215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1171575</xdr:colOff>
          <xdr:row>39</xdr:row>
          <xdr:rowOff>0</xdr:rowOff>
        </xdr:from>
        <xdr:to>
          <xdr:col>2</xdr:col>
          <xdr:colOff>323850</xdr:colOff>
          <xdr:row>40</xdr:row>
          <xdr:rowOff>9525</xdr:rowOff>
        </xdr:to>
        <xdr:sp macro="" textlink="">
          <xdr:nvSpPr>
            <xdr:cNvPr id="21516" name="Check Box 12" hidden="1">
              <a:extLst>
                <a:ext uri="{63B3BB69-23CF-44E3-9099-C40C66FF867C}">
                  <a14:compatExt spid="_x0000_s215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9</xdr:col>
      <xdr:colOff>0</xdr:colOff>
      <xdr:row>39</xdr:row>
      <xdr:rowOff>0</xdr:rowOff>
    </xdr:from>
    <xdr:to>
      <xdr:col>14</xdr:col>
      <xdr:colOff>0</xdr:colOff>
      <xdr:row>40</xdr:row>
      <xdr:rowOff>0</xdr:rowOff>
    </xdr:to>
    <xdr:sp macro="" textlink="">
      <xdr:nvSpPr>
        <xdr:cNvPr id="5" name="TextBox 4"/>
        <xdr:cNvSpPr txBox="1"/>
      </xdr:nvSpPr>
      <xdr:spPr>
        <a:xfrm>
          <a:off x="4812196" y="9781761"/>
          <a:ext cx="2782956" cy="2567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latin typeface="Arial" panose="020B0604020202020204" pitchFamily="34" charset="0"/>
              <a:cs typeface="Arial" panose="020B0604020202020204" pitchFamily="34" charset="0"/>
            </a:rPr>
            <a:t>1</a:t>
          </a:r>
          <a:r>
            <a:rPr lang="en-US" sz="1100">
              <a:solidFill>
                <a:schemeClr val="dk1"/>
              </a:solidFill>
              <a:effectLst/>
              <a:latin typeface="Arial" panose="020B0604020202020204" pitchFamily="34" charset="0"/>
              <a:ea typeface="+mn-ea"/>
              <a:cs typeface="Arial" panose="020B0604020202020204" pitchFamily="34" charset="0"/>
            </a:rPr>
            <a:t>                       </a:t>
          </a:r>
          <a:r>
            <a:rPr lang="en-US" sz="1100">
              <a:latin typeface="Arial" panose="020B0604020202020204" pitchFamily="34" charset="0"/>
              <a:cs typeface="Arial" panose="020B0604020202020204" pitchFamily="34" charset="0"/>
            </a:rPr>
            <a:t>2                       3</a:t>
          </a:r>
        </a:p>
      </xdr:txBody>
    </xdr:sp>
    <xdr:clientData/>
  </xdr:twoCellAnchor>
  <mc:AlternateContent xmlns:mc="http://schemas.openxmlformats.org/markup-compatibility/2006">
    <mc:Choice xmlns:a14="http://schemas.microsoft.com/office/drawing/2010/main" Requires="a14">
      <xdr:twoCellAnchor editAs="oneCell">
        <xdr:from>
          <xdr:col>10</xdr:col>
          <xdr:colOff>57150</xdr:colOff>
          <xdr:row>39</xdr:row>
          <xdr:rowOff>47625</xdr:rowOff>
        </xdr:from>
        <xdr:to>
          <xdr:col>10</xdr:col>
          <xdr:colOff>314325</xdr:colOff>
          <xdr:row>39</xdr:row>
          <xdr:rowOff>247650</xdr:rowOff>
        </xdr:to>
        <xdr:sp macro="" textlink="">
          <xdr:nvSpPr>
            <xdr:cNvPr id="21519" name="Check Box 15" hidden="1">
              <a:extLst>
                <a:ext uri="{63B3BB69-23CF-44E3-9099-C40C66FF867C}">
                  <a14:compatExt spid="_x0000_s2151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428625</xdr:colOff>
          <xdr:row>39</xdr:row>
          <xdr:rowOff>28575</xdr:rowOff>
        </xdr:from>
        <xdr:to>
          <xdr:col>11</xdr:col>
          <xdr:colOff>685800</xdr:colOff>
          <xdr:row>39</xdr:row>
          <xdr:rowOff>228600</xdr:rowOff>
        </xdr:to>
        <xdr:sp macro="" textlink="">
          <xdr:nvSpPr>
            <xdr:cNvPr id="21521" name="Check Box 17" hidden="1">
              <a:extLst>
                <a:ext uri="{63B3BB69-23CF-44E3-9099-C40C66FF867C}">
                  <a14:compatExt spid="_x0000_s215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57150</xdr:colOff>
          <xdr:row>39</xdr:row>
          <xdr:rowOff>19050</xdr:rowOff>
        </xdr:from>
        <xdr:to>
          <xdr:col>13</xdr:col>
          <xdr:colOff>314325</xdr:colOff>
          <xdr:row>39</xdr:row>
          <xdr:rowOff>219075</xdr:rowOff>
        </xdr:to>
        <xdr:sp macro="" textlink="">
          <xdr:nvSpPr>
            <xdr:cNvPr id="21523" name="Check Box 19" hidden="1">
              <a:extLst>
                <a:ext uri="{63B3BB69-23CF-44E3-9099-C40C66FF867C}">
                  <a14:compatExt spid="_x0000_s215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20</xdr:row>
          <xdr:rowOff>66675</xdr:rowOff>
        </xdr:from>
        <xdr:to>
          <xdr:col>2</xdr:col>
          <xdr:colOff>409575</xdr:colOff>
          <xdr:row>20</xdr:row>
          <xdr:rowOff>276225</xdr:rowOff>
        </xdr:to>
        <xdr:sp macro="" textlink="">
          <xdr:nvSpPr>
            <xdr:cNvPr id="30721" name="Option Button 1" hidden="1">
              <a:extLst>
                <a:ext uri="{63B3BB69-23CF-44E3-9099-C40C66FF867C}">
                  <a14:compatExt spid="_x0000_s307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390525</xdr:colOff>
          <xdr:row>20</xdr:row>
          <xdr:rowOff>276225</xdr:rowOff>
        </xdr:to>
        <xdr:sp macro="" textlink="">
          <xdr:nvSpPr>
            <xdr:cNvPr id="30722" name="Option Button 2" hidden="1">
              <a:extLst>
                <a:ext uri="{63B3BB69-23CF-44E3-9099-C40C66FF867C}">
                  <a14:compatExt spid="_x0000_s307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66675</xdr:rowOff>
        </xdr:from>
        <xdr:to>
          <xdr:col>8</xdr:col>
          <xdr:colOff>390525</xdr:colOff>
          <xdr:row>20</xdr:row>
          <xdr:rowOff>276225</xdr:rowOff>
        </xdr:to>
        <xdr:sp macro="" textlink="">
          <xdr:nvSpPr>
            <xdr:cNvPr id="30723" name="Option Button 3" hidden="1">
              <a:extLst>
                <a:ext uri="{63B3BB69-23CF-44E3-9099-C40C66FF867C}">
                  <a14:compatExt spid="_x0000_s307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21</xdr:row>
          <xdr:rowOff>47625</xdr:rowOff>
        </xdr:from>
        <xdr:to>
          <xdr:col>2</xdr:col>
          <xdr:colOff>409575</xdr:colOff>
          <xdr:row>21</xdr:row>
          <xdr:rowOff>266700</xdr:rowOff>
        </xdr:to>
        <xdr:sp macro="" textlink="">
          <xdr:nvSpPr>
            <xdr:cNvPr id="30724" name="Option Button 4" hidden="1">
              <a:extLst>
                <a:ext uri="{63B3BB69-23CF-44E3-9099-C40C66FF867C}">
                  <a14:compatExt spid="_x0000_s307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21</xdr:row>
          <xdr:rowOff>47625</xdr:rowOff>
        </xdr:from>
        <xdr:to>
          <xdr:col>5</xdr:col>
          <xdr:colOff>390525</xdr:colOff>
          <xdr:row>21</xdr:row>
          <xdr:rowOff>266700</xdr:rowOff>
        </xdr:to>
        <xdr:sp macro="" textlink="">
          <xdr:nvSpPr>
            <xdr:cNvPr id="30725" name="Option Button 5" hidden="1">
              <a:extLst>
                <a:ext uri="{63B3BB69-23CF-44E3-9099-C40C66FF867C}">
                  <a14:compatExt spid="_x0000_s307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21</xdr:row>
          <xdr:rowOff>47625</xdr:rowOff>
        </xdr:from>
        <xdr:to>
          <xdr:col>8</xdr:col>
          <xdr:colOff>390525</xdr:colOff>
          <xdr:row>21</xdr:row>
          <xdr:rowOff>266700</xdr:rowOff>
        </xdr:to>
        <xdr:sp macro="" textlink="">
          <xdr:nvSpPr>
            <xdr:cNvPr id="30726" name="Option Button 6" hidden="1">
              <a:extLst>
                <a:ext uri="{63B3BB69-23CF-44E3-9099-C40C66FF867C}">
                  <a14:compatExt spid="_x0000_s307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19</xdr:row>
          <xdr:rowOff>47625</xdr:rowOff>
        </xdr:from>
        <xdr:to>
          <xdr:col>2</xdr:col>
          <xdr:colOff>409575</xdr:colOff>
          <xdr:row>19</xdr:row>
          <xdr:rowOff>266700</xdr:rowOff>
        </xdr:to>
        <xdr:sp macro="" textlink="">
          <xdr:nvSpPr>
            <xdr:cNvPr id="30727" name="Option Button 7" hidden="1">
              <a:extLst>
                <a:ext uri="{63B3BB69-23CF-44E3-9099-C40C66FF867C}">
                  <a14:compatExt spid="_x0000_s307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19</xdr:row>
          <xdr:rowOff>47625</xdr:rowOff>
        </xdr:from>
        <xdr:to>
          <xdr:col>5</xdr:col>
          <xdr:colOff>390525</xdr:colOff>
          <xdr:row>19</xdr:row>
          <xdr:rowOff>266700</xdr:rowOff>
        </xdr:to>
        <xdr:sp macro="" textlink="">
          <xdr:nvSpPr>
            <xdr:cNvPr id="30728" name="Option Button 8" hidden="1">
              <a:extLst>
                <a:ext uri="{63B3BB69-23CF-44E3-9099-C40C66FF867C}">
                  <a14:compatExt spid="_x0000_s307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923925</xdr:colOff>
          <xdr:row>19</xdr:row>
          <xdr:rowOff>0</xdr:rowOff>
        </xdr:from>
        <xdr:to>
          <xdr:col>12</xdr:col>
          <xdr:colOff>0</xdr:colOff>
          <xdr:row>22</xdr:row>
          <xdr:rowOff>0</xdr:rowOff>
        </xdr:to>
        <xdr:sp macro="" textlink="">
          <xdr:nvSpPr>
            <xdr:cNvPr id="30729" name="Group Box 9" hidden="1">
              <a:extLst>
                <a:ext uri="{63B3BB69-23CF-44E3-9099-C40C66FF867C}">
                  <a14:compatExt spid="_x0000_s30729"/>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48</xdr:row>
          <xdr:rowOff>38100</xdr:rowOff>
        </xdr:from>
        <xdr:to>
          <xdr:col>0</xdr:col>
          <xdr:colOff>428625</xdr:colOff>
          <xdr:row>48</xdr:row>
          <xdr:rowOff>295275</xdr:rowOff>
        </xdr:to>
        <xdr:sp macro="" textlink="">
          <xdr:nvSpPr>
            <xdr:cNvPr id="30730" name="Option Button 10" hidden="1">
              <a:extLst>
                <a:ext uri="{63B3BB69-23CF-44E3-9099-C40C66FF867C}">
                  <a14:compatExt spid="_x0000_s307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48</xdr:row>
          <xdr:rowOff>38100</xdr:rowOff>
        </xdr:from>
        <xdr:to>
          <xdr:col>5</xdr:col>
          <xdr:colOff>447675</xdr:colOff>
          <xdr:row>48</xdr:row>
          <xdr:rowOff>295275</xdr:rowOff>
        </xdr:to>
        <xdr:sp macro="" textlink="">
          <xdr:nvSpPr>
            <xdr:cNvPr id="30731" name="Option Button 11" hidden="1">
              <a:extLst>
                <a:ext uri="{63B3BB69-23CF-44E3-9099-C40C66FF867C}">
                  <a14:compatExt spid="_x0000_s307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xdr:row>
          <xdr:rowOff>0</xdr:rowOff>
        </xdr:from>
        <xdr:to>
          <xdr:col>12</xdr:col>
          <xdr:colOff>0</xdr:colOff>
          <xdr:row>12</xdr:row>
          <xdr:rowOff>352425</xdr:rowOff>
        </xdr:to>
        <xdr:sp macro="" textlink="">
          <xdr:nvSpPr>
            <xdr:cNvPr id="30732" name="Group Box 12" hidden="1">
              <a:extLst>
                <a:ext uri="{63B3BB69-23CF-44E3-9099-C40C66FF867C}">
                  <a14:compatExt spid="_x0000_s3073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12</xdr:row>
          <xdr:rowOff>66675</xdr:rowOff>
        </xdr:from>
        <xdr:to>
          <xdr:col>0</xdr:col>
          <xdr:colOff>419100</xdr:colOff>
          <xdr:row>12</xdr:row>
          <xdr:rowOff>276225</xdr:rowOff>
        </xdr:to>
        <xdr:sp macro="" textlink="">
          <xdr:nvSpPr>
            <xdr:cNvPr id="30733" name="Option Button 13" hidden="1">
              <a:extLst>
                <a:ext uri="{63B3BB69-23CF-44E3-9099-C40C66FF867C}">
                  <a14:compatExt spid="_x0000_s307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542925</xdr:colOff>
          <xdr:row>12</xdr:row>
          <xdr:rowOff>66675</xdr:rowOff>
        </xdr:from>
        <xdr:to>
          <xdr:col>2</xdr:col>
          <xdr:colOff>0</xdr:colOff>
          <xdr:row>12</xdr:row>
          <xdr:rowOff>276225</xdr:rowOff>
        </xdr:to>
        <xdr:sp macro="" textlink="">
          <xdr:nvSpPr>
            <xdr:cNvPr id="30734" name="Option Button 14" hidden="1">
              <a:extLst>
                <a:ext uri="{63B3BB69-23CF-44E3-9099-C40C66FF867C}">
                  <a14:compatExt spid="_x0000_s307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xdr:row>
          <xdr:rowOff>66675</xdr:rowOff>
        </xdr:from>
        <xdr:to>
          <xdr:col>3</xdr:col>
          <xdr:colOff>409575</xdr:colOff>
          <xdr:row>12</xdr:row>
          <xdr:rowOff>276225</xdr:rowOff>
        </xdr:to>
        <xdr:sp macro="" textlink="">
          <xdr:nvSpPr>
            <xdr:cNvPr id="30735" name="Option Button 15" hidden="1">
              <a:extLst>
                <a:ext uri="{63B3BB69-23CF-44E3-9099-C40C66FF867C}">
                  <a14:compatExt spid="_x0000_s307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495300</xdr:colOff>
          <xdr:row>12</xdr:row>
          <xdr:rowOff>66675</xdr:rowOff>
        </xdr:from>
        <xdr:to>
          <xdr:col>5</xdr:col>
          <xdr:colOff>85725</xdr:colOff>
          <xdr:row>12</xdr:row>
          <xdr:rowOff>276225</xdr:rowOff>
        </xdr:to>
        <xdr:sp macro="" textlink="">
          <xdr:nvSpPr>
            <xdr:cNvPr id="30736" name="Option Button 16" hidden="1">
              <a:extLst>
                <a:ext uri="{63B3BB69-23CF-44E3-9099-C40C66FF867C}">
                  <a14:compatExt spid="_x0000_s307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22087</xdr:colOff>
      <xdr:row>50</xdr:row>
      <xdr:rowOff>23091</xdr:rowOff>
    </xdr:from>
    <xdr:to>
      <xdr:col>12</xdr:col>
      <xdr:colOff>0</xdr:colOff>
      <xdr:row>57</xdr:row>
      <xdr:rowOff>0</xdr:rowOff>
    </xdr:to>
    <xdr:sp macro="" textlink="" fLocksText="0">
      <xdr:nvSpPr>
        <xdr:cNvPr id="18" name="TextBox 17"/>
        <xdr:cNvSpPr txBox="1"/>
      </xdr:nvSpPr>
      <xdr:spPr>
        <a:xfrm>
          <a:off x="22087" y="11300691"/>
          <a:ext cx="8255138" cy="18438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000" b="1" i="0">
            <a:latin typeface="Arial"/>
            <a:cs typeface="Arial"/>
          </a:endParaRPr>
        </a:p>
      </xdr:txBody>
    </xdr:sp>
    <xdr:clientData/>
  </xdr:twoCellAnchor>
  <mc:AlternateContent xmlns:mc="http://schemas.openxmlformats.org/markup-compatibility/2006">
    <mc:Choice xmlns:a14="http://schemas.microsoft.com/office/drawing/2010/main" Requires="a14">
      <xdr:twoCellAnchor editAs="oneCell">
        <xdr:from>
          <xdr:col>8</xdr:col>
          <xdr:colOff>695325</xdr:colOff>
          <xdr:row>12</xdr:row>
          <xdr:rowOff>66675</xdr:rowOff>
        </xdr:from>
        <xdr:to>
          <xdr:col>9</xdr:col>
          <xdr:colOff>76200</xdr:colOff>
          <xdr:row>12</xdr:row>
          <xdr:rowOff>276225</xdr:rowOff>
        </xdr:to>
        <xdr:sp macro="" textlink="">
          <xdr:nvSpPr>
            <xdr:cNvPr id="30737" name="Option Button 17" hidden="1">
              <a:extLst>
                <a:ext uri="{63B3BB69-23CF-44E3-9099-C40C66FF867C}">
                  <a14:compatExt spid="_x0000_s307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19</xdr:row>
          <xdr:rowOff>85725</xdr:rowOff>
        </xdr:from>
        <xdr:to>
          <xdr:col>8</xdr:col>
          <xdr:colOff>390525</xdr:colOff>
          <xdr:row>19</xdr:row>
          <xdr:rowOff>304800</xdr:rowOff>
        </xdr:to>
        <xdr:sp macro="" textlink="">
          <xdr:nvSpPr>
            <xdr:cNvPr id="30738" name="Option Button 18" hidden="1">
              <a:extLst>
                <a:ext uri="{63B3BB69-23CF-44E3-9099-C40C66FF867C}">
                  <a14:compatExt spid="_x0000_s307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10</xdr:row>
          <xdr:rowOff>9525</xdr:rowOff>
        </xdr:from>
        <xdr:to>
          <xdr:col>0</xdr:col>
          <xdr:colOff>428625</xdr:colOff>
          <xdr:row>10</xdr:row>
          <xdr:rowOff>228600</xdr:rowOff>
        </xdr:to>
        <xdr:sp macro="" textlink="">
          <xdr:nvSpPr>
            <xdr:cNvPr id="30739" name="Check Box 19" hidden="1">
              <a:extLst>
                <a:ext uri="{63B3BB69-23CF-44E3-9099-C40C66FF867C}">
                  <a14:compatExt spid="_x0000_s307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533400</xdr:colOff>
          <xdr:row>12</xdr:row>
          <xdr:rowOff>66675</xdr:rowOff>
        </xdr:from>
        <xdr:to>
          <xdr:col>11</xdr:col>
          <xdr:colOff>0</xdr:colOff>
          <xdr:row>12</xdr:row>
          <xdr:rowOff>276225</xdr:rowOff>
        </xdr:to>
        <xdr:sp macro="" textlink="">
          <xdr:nvSpPr>
            <xdr:cNvPr id="30740" name="Option Button 20" hidden="1">
              <a:extLst>
                <a:ext uri="{63B3BB69-23CF-44E3-9099-C40C66FF867C}">
                  <a14:compatExt spid="_x0000_s307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0</xdr:col>
      <xdr:colOff>0</xdr:colOff>
      <xdr:row>0</xdr:row>
      <xdr:rowOff>0</xdr:rowOff>
    </xdr:from>
    <xdr:to>
      <xdr:col>2</xdr:col>
      <xdr:colOff>595120</xdr:colOff>
      <xdr:row>1</xdr:row>
      <xdr:rowOff>177800</xdr:rowOff>
    </xdr:to>
    <xdr:pic>
      <xdr:nvPicPr>
        <xdr:cNvPr id="23" name="Picture 2" descr="RGB winpak-right"/>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957195" cy="4445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28575</xdr:colOff>
          <xdr:row>43</xdr:row>
          <xdr:rowOff>0</xdr:rowOff>
        </xdr:from>
        <xdr:to>
          <xdr:col>0</xdr:col>
          <xdr:colOff>419100</xdr:colOff>
          <xdr:row>43</xdr:row>
          <xdr:rowOff>228600</xdr:rowOff>
        </xdr:to>
        <xdr:sp macro="" textlink="">
          <xdr:nvSpPr>
            <xdr:cNvPr id="30741" name="Check Box 21" hidden="1">
              <a:extLst>
                <a:ext uri="{63B3BB69-23CF-44E3-9099-C40C66FF867C}">
                  <a14:compatExt spid="_x0000_s307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7</xdr:col>
      <xdr:colOff>381000</xdr:colOff>
      <xdr:row>0</xdr:row>
      <xdr:rowOff>165100</xdr:rowOff>
    </xdr:from>
    <xdr:to>
      <xdr:col>9</xdr:col>
      <xdr:colOff>393700</xdr:colOff>
      <xdr:row>2</xdr:row>
      <xdr:rowOff>202266</xdr:rowOff>
    </xdr:to>
    <xdr:pic>
      <xdr:nvPicPr>
        <xdr:cNvPr id="25" name="Picture 24" descr="Controlled Insert.png"/>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143500" y="165100"/>
          <a:ext cx="1374775" cy="57056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38100</xdr:rowOff>
    </xdr:from>
    <xdr:to>
      <xdr:col>2</xdr:col>
      <xdr:colOff>1003300</xdr:colOff>
      <xdr:row>0</xdr:row>
      <xdr:rowOff>584200</xdr:rowOff>
    </xdr:to>
    <xdr:pic>
      <xdr:nvPicPr>
        <xdr:cNvPr id="2" name="Picture 1" descr="RGB winpak-right"/>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38100"/>
          <a:ext cx="2527300" cy="5461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xdr:from>
      <xdr:col>0</xdr:col>
      <xdr:colOff>11043</xdr:colOff>
      <xdr:row>22</xdr:row>
      <xdr:rowOff>11043</xdr:rowOff>
    </xdr:from>
    <xdr:to>
      <xdr:col>5</xdr:col>
      <xdr:colOff>11044</xdr:colOff>
      <xdr:row>27</xdr:row>
      <xdr:rowOff>0</xdr:rowOff>
    </xdr:to>
    <xdr:sp macro="" textlink="" fLocksText="0">
      <xdr:nvSpPr>
        <xdr:cNvPr id="3" name="TextBox 2"/>
        <xdr:cNvSpPr txBox="1"/>
      </xdr:nvSpPr>
      <xdr:spPr>
        <a:xfrm>
          <a:off x="11043" y="6145143"/>
          <a:ext cx="4238626" cy="17987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b="1" i="0">
            <a:latin typeface="Arial"/>
            <a:cs typeface="Arial"/>
          </a:endParaRPr>
        </a:p>
      </xdr:txBody>
    </xdr:sp>
    <xdr:clientData/>
  </xdr:twoCellAnchor>
  <xdr:twoCellAnchor editAs="oneCell">
    <xdr:from>
      <xdr:col>3</xdr:col>
      <xdr:colOff>485913</xdr:colOff>
      <xdr:row>0</xdr:row>
      <xdr:rowOff>220870</xdr:rowOff>
    </xdr:from>
    <xdr:to>
      <xdr:col>5</xdr:col>
      <xdr:colOff>3727</xdr:colOff>
      <xdr:row>0</xdr:row>
      <xdr:rowOff>606759</xdr:rowOff>
    </xdr:to>
    <xdr:pic>
      <xdr:nvPicPr>
        <xdr:cNvPr id="4" name="Picture 3" descr="Controlled Insert.png"/>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314838" y="220870"/>
          <a:ext cx="927514" cy="38588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22</xdr:row>
          <xdr:rowOff>0</xdr:rowOff>
        </xdr:from>
        <xdr:to>
          <xdr:col>2</xdr:col>
          <xdr:colOff>781050</xdr:colOff>
          <xdr:row>25</xdr:row>
          <xdr:rowOff>0</xdr:rowOff>
        </xdr:to>
        <xdr:sp macro="" textlink="">
          <xdr:nvSpPr>
            <xdr:cNvPr id="2313" name="Group Box 265" hidden="1">
              <a:extLst>
                <a:ext uri="{63B3BB69-23CF-44E3-9099-C40C66FF867C}">
                  <a14:compatExt spid="_x0000_s2313"/>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22</xdr:row>
          <xdr:rowOff>66675</xdr:rowOff>
        </xdr:from>
        <xdr:to>
          <xdr:col>1</xdr:col>
          <xdr:colOff>152400</xdr:colOff>
          <xdr:row>23</xdr:row>
          <xdr:rowOff>0</xdr:rowOff>
        </xdr:to>
        <xdr:sp macro="" textlink="">
          <xdr:nvSpPr>
            <xdr:cNvPr id="2315" name="Option Button 267" hidden="1">
              <a:extLst>
                <a:ext uri="{63B3BB69-23CF-44E3-9099-C40C66FF867C}">
                  <a14:compatExt spid="_x0000_s23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a:rPr>
                <a:t>New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23</xdr:row>
          <xdr:rowOff>66675</xdr:rowOff>
        </xdr:from>
        <xdr:to>
          <xdr:col>2</xdr:col>
          <xdr:colOff>638175</xdr:colOff>
          <xdr:row>24</xdr:row>
          <xdr:rowOff>200025</xdr:rowOff>
        </xdr:to>
        <xdr:sp macro="" textlink="">
          <xdr:nvSpPr>
            <xdr:cNvPr id="2316" name="Option Button 268" hidden="1">
              <a:extLst>
                <a:ext uri="{63B3BB69-23CF-44E3-9099-C40C66FF867C}">
                  <a14:compatExt spid="_x0000_s23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a:rPr>
                <a:t>RWC (indicate movex #)</a:t>
              </a:r>
            </a:p>
          </xdr:txBody>
        </xdr:sp>
        <xdr:clientData/>
      </xdr:twoCellAnchor>
    </mc:Choice>
    <mc:Fallback/>
  </mc:AlternateContent>
  <xdr:twoCellAnchor editAs="oneCell">
    <xdr:from>
      <xdr:col>0</xdr:col>
      <xdr:colOff>28575</xdr:colOff>
      <xdr:row>50</xdr:row>
      <xdr:rowOff>0</xdr:rowOff>
    </xdr:from>
    <xdr:to>
      <xdr:col>9</xdr:col>
      <xdr:colOff>720756</xdr:colOff>
      <xdr:row>104</xdr:row>
      <xdr:rowOff>123825</xdr:rowOff>
    </xdr:to>
    <xdr:sp macro="" textlink="" fLocksText="0">
      <xdr:nvSpPr>
        <xdr:cNvPr id="6" name="Text Box 10"/>
        <xdr:cNvSpPr txBox="1">
          <a:spLocks noChangeArrowheads="1"/>
        </xdr:cNvSpPr>
      </xdr:nvSpPr>
      <xdr:spPr bwMode="auto">
        <a:xfrm>
          <a:off x="38100" y="9461500"/>
          <a:ext cx="6667500" cy="83439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l"/>
          <a:endParaRPr lang="en-US" sz="900">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7</xdr:col>
      <xdr:colOff>266700</xdr:colOff>
      <xdr:row>60</xdr:row>
      <xdr:rowOff>152400</xdr:rowOff>
    </xdr:from>
    <xdr:to>
      <xdr:col>8</xdr:col>
      <xdr:colOff>333375</xdr:colOff>
      <xdr:row>69</xdr:row>
      <xdr:rowOff>9525</xdr:rowOff>
    </xdr:to>
    <xdr:pic>
      <xdr:nvPicPr>
        <xdr:cNvPr id="21524" name="Picture 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19575" y="7181850"/>
          <a:ext cx="1019175"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31750</xdr:colOff>
      <xdr:row>85</xdr:row>
      <xdr:rowOff>10584</xdr:rowOff>
    </xdr:from>
    <xdr:to>
      <xdr:col>8</xdr:col>
      <xdr:colOff>993572</xdr:colOff>
      <xdr:row>130</xdr:row>
      <xdr:rowOff>156633</xdr:rowOff>
    </xdr:to>
    <xdr:sp macro="" textlink="" fLocksText="0">
      <xdr:nvSpPr>
        <xdr:cNvPr id="13322" name="Text Box 10"/>
        <xdr:cNvSpPr txBox="1">
          <a:spLocks noChangeArrowheads="1"/>
        </xdr:cNvSpPr>
      </xdr:nvSpPr>
      <xdr:spPr bwMode="auto">
        <a:xfrm>
          <a:off x="41275" y="10625667"/>
          <a:ext cx="6694828" cy="67204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l"/>
          <a:endParaRPr lang="en-US" sz="900">
            <a:latin typeface="Arial"/>
            <a:cs typeface="Arial"/>
          </a:endParaRPr>
        </a:p>
      </xdr:txBody>
    </xdr:sp>
    <xdr:clientData/>
  </xdr:twoCellAnchor>
  <xdr:twoCellAnchor>
    <xdr:from>
      <xdr:col>8</xdr:col>
      <xdr:colOff>838200</xdr:colOff>
      <xdr:row>65</xdr:row>
      <xdr:rowOff>66675</xdr:rowOff>
    </xdr:from>
    <xdr:to>
      <xdr:col>8</xdr:col>
      <xdr:colOff>838200</xdr:colOff>
      <xdr:row>67</xdr:row>
      <xdr:rowOff>28575</xdr:rowOff>
    </xdr:to>
    <xdr:sp macro="" textlink="">
      <xdr:nvSpPr>
        <xdr:cNvPr id="21526" name="Line 38"/>
        <xdr:cNvSpPr>
          <a:spLocks noChangeShapeType="1"/>
        </xdr:cNvSpPr>
      </xdr:nvSpPr>
      <xdr:spPr bwMode="auto">
        <a:xfrm flipV="1">
          <a:off x="5743575" y="7800975"/>
          <a:ext cx="0" cy="228600"/>
        </a:xfrm>
        <a:prstGeom prst="line">
          <a:avLst/>
        </a:prstGeom>
        <a:noFill/>
        <a:ln w="19050">
          <a:solidFill>
            <a:srgbClr xmlns:mc="http://schemas.openxmlformats.org/markup-compatibility/2006" xmlns:a14="http://schemas.microsoft.com/office/drawing/2010/main" val="FFFFFF" mc:Ignorable="a14" a14:legacySpreadsheetColorIndex="9"/>
          </a:solidFill>
          <a:round/>
          <a:headEnd/>
          <a:tailEnd type="triangle" w="med" len="med"/>
        </a:ln>
        <a:extLst>
          <a:ext uri="{909E8E84-426E-40DD-AFC4-6F175D3DCCD1}">
            <a14:hiddenFill xmlns:a14="http://schemas.microsoft.com/office/drawing/2010/main">
              <a:noFill/>
            </a14:hiddenFill>
          </a:ext>
        </a:extLst>
      </xdr:spPr>
    </xdr:sp>
    <xdr:clientData fLocksWithSheet="0"/>
  </xdr:twoCellAnchor>
  <mc:AlternateContent xmlns:mc="http://schemas.openxmlformats.org/markup-compatibility/2006">
    <mc:Choice xmlns:a14="http://schemas.microsoft.com/office/drawing/2010/main" Requires="a14">
      <xdr:twoCellAnchor editAs="oneCell">
        <xdr:from>
          <xdr:col>5</xdr:col>
          <xdr:colOff>285750</xdr:colOff>
          <xdr:row>56</xdr:row>
          <xdr:rowOff>152400</xdr:rowOff>
        </xdr:from>
        <xdr:to>
          <xdr:col>5</xdr:col>
          <xdr:colOff>628650</xdr:colOff>
          <xdr:row>58</xdr:row>
          <xdr:rowOff>104775</xdr:rowOff>
        </xdr:to>
        <xdr:sp macro="" textlink="">
          <xdr:nvSpPr>
            <xdr:cNvPr id="3" name="Check Box -1021" hidden="1">
              <a:extLst>
                <a:ext uri="{63B3BB69-23CF-44E3-9099-C40C66FF867C}">
                  <a14:compatExt spid="_x0000_s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Check Box -1021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285750</xdr:colOff>
          <xdr:row>56</xdr:row>
          <xdr:rowOff>152400</xdr:rowOff>
        </xdr:from>
        <xdr:to>
          <xdr:col>5</xdr:col>
          <xdr:colOff>628650</xdr:colOff>
          <xdr:row>58</xdr:row>
          <xdr:rowOff>104775</xdr:rowOff>
        </xdr:to>
        <xdr:sp macro="" textlink="">
          <xdr:nvSpPr>
            <xdr:cNvPr id="13313" name="Check Box 1" hidden="1">
              <a:extLst>
                <a:ext uri="{63B3BB69-23CF-44E3-9099-C40C66FF867C}">
                  <a14:compatExt spid="_x0000_s13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Check Box -1021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285750</xdr:colOff>
          <xdr:row>56</xdr:row>
          <xdr:rowOff>152400</xdr:rowOff>
        </xdr:from>
        <xdr:to>
          <xdr:col>5</xdr:col>
          <xdr:colOff>628650</xdr:colOff>
          <xdr:row>58</xdr:row>
          <xdr:rowOff>104775</xdr:rowOff>
        </xdr:to>
        <xdr:sp macro="" textlink="">
          <xdr:nvSpPr>
            <xdr:cNvPr id="13314" name="Check Box 2" hidden="1">
              <a:extLst>
                <a:ext uri="{63B3BB69-23CF-44E3-9099-C40C66FF867C}">
                  <a14:compatExt spid="_x0000_s133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Check Box -1021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285750</xdr:colOff>
          <xdr:row>56</xdr:row>
          <xdr:rowOff>152400</xdr:rowOff>
        </xdr:from>
        <xdr:to>
          <xdr:col>5</xdr:col>
          <xdr:colOff>628650</xdr:colOff>
          <xdr:row>58</xdr:row>
          <xdr:rowOff>104775</xdr:rowOff>
        </xdr:to>
        <xdr:sp macro="" textlink="">
          <xdr:nvSpPr>
            <xdr:cNvPr id="13315" name="Check Box 3" hidden="1">
              <a:extLst>
                <a:ext uri="{63B3BB69-23CF-44E3-9099-C40C66FF867C}">
                  <a14:compatExt spid="_x0000_s133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Check Box -1021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285750</xdr:colOff>
          <xdr:row>56</xdr:row>
          <xdr:rowOff>152400</xdr:rowOff>
        </xdr:from>
        <xdr:to>
          <xdr:col>5</xdr:col>
          <xdr:colOff>628650</xdr:colOff>
          <xdr:row>58</xdr:row>
          <xdr:rowOff>104775</xdr:rowOff>
        </xdr:to>
        <xdr:sp macro="" textlink="">
          <xdr:nvSpPr>
            <xdr:cNvPr id="13316" name="Check Box -1021" hidden="1">
              <a:extLst>
                <a:ext uri="{63B3BB69-23CF-44E3-9099-C40C66FF867C}">
                  <a14:compatExt spid="_x0000_s133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Check Box -1021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285750</xdr:colOff>
          <xdr:row>56</xdr:row>
          <xdr:rowOff>152400</xdr:rowOff>
        </xdr:from>
        <xdr:to>
          <xdr:col>5</xdr:col>
          <xdr:colOff>628650</xdr:colOff>
          <xdr:row>58</xdr:row>
          <xdr:rowOff>104775</xdr:rowOff>
        </xdr:to>
        <xdr:sp macro="" textlink="">
          <xdr:nvSpPr>
            <xdr:cNvPr id="13317" name="Check Box 5" hidden="1">
              <a:extLst>
                <a:ext uri="{63B3BB69-23CF-44E3-9099-C40C66FF867C}">
                  <a14:compatExt spid="_x0000_s133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Check Box -1021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285750</xdr:colOff>
          <xdr:row>56</xdr:row>
          <xdr:rowOff>152400</xdr:rowOff>
        </xdr:from>
        <xdr:to>
          <xdr:col>5</xdr:col>
          <xdr:colOff>628650</xdr:colOff>
          <xdr:row>58</xdr:row>
          <xdr:rowOff>104775</xdr:rowOff>
        </xdr:to>
        <xdr:sp macro="" textlink="">
          <xdr:nvSpPr>
            <xdr:cNvPr id="13318" name="Check Box 6" hidden="1">
              <a:extLst>
                <a:ext uri="{63B3BB69-23CF-44E3-9099-C40C66FF867C}">
                  <a14:compatExt spid="_x0000_s133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Check Box -1021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285750</xdr:colOff>
          <xdr:row>56</xdr:row>
          <xdr:rowOff>152400</xdr:rowOff>
        </xdr:from>
        <xdr:to>
          <xdr:col>5</xdr:col>
          <xdr:colOff>628650</xdr:colOff>
          <xdr:row>58</xdr:row>
          <xdr:rowOff>104775</xdr:rowOff>
        </xdr:to>
        <xdr:sp macro="" textlink="">
          <xdr:nvSpPr>
            <xdr:cNvPr id="13319" name="Check Box 7" hidden="1">
              <a:extLst>
                <a:ext uri="{63B3BB69-23CF-44E3-9099-C40C66FF867C}">
                  <a14:compatExt spid="_x0000_s1331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Check Box -1021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285750</xdr:colOff>
          <xdr:row>56</xdr:row>
          <xdr:rowOff>152400</xdr:rowOff>
        </xdr:from>
        <xdr:to>
          <xdr:col>5</xdr:col>
          <xdr:colOff>628650</xdr:colOff>
          <xdr:row>58</xdr:row>
          <xdr:rowOff>104775</xdr:rowOff>
        </xdr:to>
        <xdr:sp macro="" textlink="">
          <xdr:nvSpPr>
            <xdr:cNvPr id="13320" name="Check Box 8" hidden="1">
              <a:extLst>
                <a:ext uri="{63B3BB69-23CF-44E3-9099-C40C66FF867C}">
                  <a14:compatExt spid="_x0000_s1332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Check Box -1021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285750</xdr:colOff>
          <xdr:row>56</xdr:row>
          <xdr:rowOff>152400</xdr:rowOff>
        </xdr:from>
        <xdr:to>
          <xdr:col>5</xdr:col>
          <xdr:colOff>628650</xdr:colOff>
          <xdr:row>58</xdr:row>
          <xdr:rowOff>104775</xdr:rowOff>
        </xdr:to>
        <xdr:sp macro="" textlink="">
          <xdr:nvSpPr>
            <xdr:cNvPr id="13321" name="Check Box 9" hidden="1">
              <a:extLst>
                <a:ext uri="{63B3BB69-23CF-44E3-9099-C40C66FF867C}">
                  <a14:compatExt spid="_x0000_s133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Check Box -1021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285750</xdr:colOff>
          <xdr:row>56</xdr:row>
          <xdr:rowOff>152400</xdr:rowOff>
        </xdr:from>
        <xdr:to>
          <xdr:col>5</xdr:col>
          <xdr:colOff>628650</xdr:colOff>
          <xdr:row>58</xdr:row>
          <xdr:rowOff>104775</xdr:rowOff>
        </xdr:to>
        <xdr:sp macro="" textlink="">
          <xdr:nvSpPr>
            <xdr:cNvPr id="2" name="Check Box 10" hidden="1">
              <a:extLst>
                <a:ext uri="{63B3BB69-23CF-44E3-9099-C40C66FF867C}">
                  <a14:compatExt spid="_x0000_s133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Check Box -1021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285750</xdr:colOff>
          <xdr:row>56</xdr:row>
          <xdr:rowOff>152400</xdr:rowOff>
        </xdr:from>
        <xdr:to>
          <xdr:col>5</xdr:col>
          <xdr:colOff>628650</xdr:colOff>
          <xdr:row>58</xdr:row>
          <xdr:rowOff>104775</xdr:rowOff>
        </xdr:to>
        <xdr:sp macro="" textlink="">
          <xdr:nvSpPr>
            <xdr:cNvPr id="13323" name="Check Box 11" hidden="1">
              <a:extLst>
                <a:ext uri="{63B3BB69-23CF-44E3-9099-C40C66FF867C}">
                  <a14:compatExt spid="_x0000_s133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Check Box -1021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285750</xdr:colOff>
          <xdr:row>56</xdr:row>
          <xdr:rowOff>152400</xdr:rowOff>
        </xdr:from>
        <xdr:to>
          <xdr:col>5</xdr:col>
          <xdr:colOff>628650</xdr:colOff>
          <xdr:row>58</xdr:row>
          <xdr:rowOff>104775</xdr:rowOff>
        </xdr:to>
        <xdr:sp macro="" textlink="">
          <xdr:nvSpPr>
            <xdr:cNvPr id="13324" name="Check Box 12" hidden="1">
              <a:extLst>
                <a:ext uri="{63B3BB69-23CF-44E3-9099-C40C66FF867C}">
                  <a14:compatExt spid="_x0000_s133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Check Box -1021</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28575</xdr:colOff>
      <xdr:row>51</xdr:row>
      <xdr:rowOff>38100</xdr:rowOff>
    </xdr:from>
    <xdr:to>
      <xdr:col>8</xdr:col>
      <xdr:colOff>885825</xdr:colOff>
      <xdr:row>68</xdr:row>
      <xdr:rowOff>95250</xdr:rowOff>
    </xdr:to>
    <xdr:pic>
      <xdr:nvPicPr>
        <xdr:cNvPr id="17868" name="Picture 7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 y="6324600"/>
          <a:ext cx="5591175" cy="2886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7</xdr:col>
      <xdr:colOff>53975</xdr:colOff>
      <xdr:row>67</xdr:row>
      <xdr:rowOff>38100</xdr:rowOff>
    </xdr:from>
    <xdr:to>
      <xdr:col>8</xdr:col>
      <xdr:colOff>50851</xdr:colOff>
      <xdr:row>68</xdr:row>
      <xdr:rowOff>95250</xdr:rowOff>
    </xdr:to>
    <xdr:sp macro="" textlink="">
      <xdr:nvSpPr>
        <xdr:cNvPr id="12313" name="Text Box 25"/>
        <xdr:cNvSpPr txBox="1">
          <a:spLocks noChangeArrowheads="1"/>
        </xdr:cNvSpPr>
      </xdr:nvSpPr>
      <xdr:spPr bwMode="auto">
        <a:xfrm>
          <a:off x="4483100" y="9042400"/>
          <a:ext cx="1028700" cy="2667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969696" mc:Ignorable="a14" a14:legacySpreadsheetColorIndex="55"/>
          </a:solidFill>
          <a:miter lim="800000"/>
          <a:headEnd/>
          <a:tailEnd/>
        </a:ln>
      </xdr:spPr>
      <xdr:txBody>
        <a:bodyPr vertOverflow="clip" wrap="square" lIns="27432" tIns="18288" rIns="0" bIns="0" anchor="t" upright="1"/>
        <a:lstStyle/>
        <a:p>
          <a:pPr algn="l" rtl="0">
            <a:defRPr sz="1000"/>
          </a:pPr>
          <a:r>
            <a:rPr lang="en-US" sz="800" b="1" i="0" u="none" strike="noStrike" baseline="0">
              <a:solidFill>
                <a:srgbClr val="000000"/>
              </a:solidFill>
              <a:latin typeface="Arial"/>
              <a:ea typeface="Arial"/>
              <a:cs typeface="Arial"/>
            </a:rPr>
            <a:t>Operator:</a:t>
          </a:r>
        </a:p>
      </xdr:txBody>
    </xdr:sp>
    <xdr:clientData/>
  </xdr:twoCellAnchor>
  <xdr:twoCellAnchor>
    <xdr:from>
      <xdr:col>8</xdr:col>
      <xdr:colOff>50800</xdr:colOff>
      <xdr:row>67</xdr:row>
      <xdr:rowOff>38100</xdr:rowOff>
    </xdr:from>
    <xdr:to>
      <xdr:col>8</xdr:col>
      <xdr:colOff>844382</xdr:colOff>
      <xdr:row>68</xdr:row>
      <xdr:rowOff>95250</xdr:rowOff>
    </xdr:to>
    <xdr:sp macro="" textlink="">
      <xdr:nvSpPr>
        <xdr:cNvPr id="12314" name="Text Box 26"/>
        <xdr:cNvSpPr txBox="1">
          <a:spLocks noChangeArrowheads="1"/>
        </xdr:cNvSpPr>
      </xdr:nvSpPr>
      <xdr:spPr bwMode="auto">
        <a:xfrm>
          <a:off x="5511800" y="9042400"/>
          <a:ext cx="927100" cy="2667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969696" mc:Ignorable="a14" a14:legacySpreadsheetColorIndex="55"/>
          </a:solidFill>
          <a:miter lim="800000"/>
          <a:headEnd/>
          <a:tailEnd/>
        </a:ln>
      </xdr:spPr>
      <xdr:txBody>
        <a:bodyPr vertOverflow="clip" wrap="square" lIns="27432" tIns="18288" rIns="0" bIns="0" anchor="t" upright="1"/>
        <a:lstStyle/>
        <a:p>
          <a:pPr algn="l" rtl="0">
            <a:defRPr sz="1000"/>
          </a:pPr>
          <a:r>
            <a:rPr lang="en-US" sz="800" b="1" i="0" u="none" strike="noStrike" baseline="0">
              <a:solidFill>
                <a:srgbClr val="000000"/>
              </a:solidFill>
              <a:latin typeface="Arial"/>
              <a:ea typeface="Arial"/>
              <a:cs typeface="Arial"/>
            </a:rPr>
            <a:t>Checker:</a:t>
          </a:r>
        </a:p>
      </xdr:txBody>
    </xdr:sp>
    <xdr:clientData/>
  </xdr:twoCellAnchor>
  <xdr:twoCellAnchor>
    <xdr:from>
      <xdr:col>0</xdr:col>
      <xdr:colOff>27516</xdr:colOff>
      <xdr:row>41</xdr:row>
      <xdr:rowOff>44452</xdr:rowOff>
    </xdr:from>
    <xdr:to>
      <xdr:col>8</xdr:col>
      <xdr:colOff>862697</xdr:colOff>
      <xdr:row>49</xdr:row>
      <xdr:rowOff>116418</xdr:rowOff>
    </xdr:to>
    <xdr:sp macro="" textlink="" fLocksText="0">
      <xdr:nvSpPr>
        <xdr:cNvPr id="12320" name="Text Box 32"/>
        <xdr:cNvSpPr txBox="1">
          <a:spLocks noChangeArrowheads="1"/>
        </xdr:cNvSpPr>
      </xdr:nvSpPr>
      <xdr:spPr bwMode="auto">
        <a:xfrm>
          <a:off x="37041" y="4986869"/>
          <a:ext cx="6346942" cy="117263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lnSpc>
              <a:spcPts val="1100"/>
            </a:lnSpc>
            <a:defRPr sz="1000"/>
          </a:pPr>
          <a:endParaRPr lang="en-US" sz="1000" b="0" i="0" u="none" strike="noStrike" baseline="0">
            <a:solidFill>
              <a:srgbClr val="000000"/>
            </a:solidFill>
            <a:latin typeface="Arial"/>
            <a:ea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66675</xdr:colOff>
      <xdr:row>3</xdr:row>
      <xdr:rowOff>28575</xdr:rowOff>
    </xdr:from>
    <xdr:to>
      <xdr:col>14</xdr:col>
      <xdr:colOff>85725</xdr:colOff>
      <xdr:row>21</xdr:row>
      <xdr:rowOff>66675</xdr:rowOff>
    </xdr:to>
    <xdr:pic>
      <xdr:nvPicPr>
        <xdr:cNvPr id="7518" name="Picture 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75" y="609600"/>
          <a:ext cx="8286750" cy="2981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34</xdr:col>
      <xdr:colOff>88876</xdr:colOff>
      <xdr:row>56</xdr:row>
      <xdr:rowOff>100813</xdr:rowOff>
    </xdr:from>
    <xdr:to>
      <xdr:col>34</xdr:col>
      <xdr:colOff>88876</xdr:colOff>
      <xdr:row>62</xdr:row>
      <xdr:rowOff>193</xdr:rowOff>
    </xdr:to>
    <xdr:cxnSp macro="">
      <xdr:nvCxnSpPr>
        <xdr:cNvPr id="3" name="Straight Connector 2"/>
        <xdr:cNvCxnSpPr/>
      </xdr:nvCxnSpPr>
      <xdr:spPr>
        <a:xfrm>
          <a:off x="3620453" y="16154101"/>
          <a:ext cx="0" cy="514842"/>
        </a:xfrm>
        <a:prstGeom prst="line">
          <a:avLst/>
        </a:prstGeom>
        <a:ln>
          <a:prstDash val="lgDash"/>
        </a:ln>
      </xdr:spPr>
      <xdr:style>
        <a:lnRef idx="1">
          <a:schemeClr val="dk1"/>
        </a:lnRef>
        <a:fillRef idx="0">
          <a:schemeClr val="dk1"/>
        </a:fillRef>
        <a:effectRef idx="0">
          <a:schemeClr val="dk1"/>
        </a:effectRef>
        <a:fontRef idx="minor">
          <a:schemeClr val="tx1"/>
        </a:fontRef>
      </xdr:style>
    </xdr:cxnSp>
    <xdr:clientData/>
  </xdr:twoCellAnchor>
  <xdr:twoCellAnchor>
    <xdr:from>
      <xdr:col>20</xdr:col>
      <xdr:colOff>100758</xdr:colOff>
      <xdr:row>57</xdr:row>
      <xdr:rowOff>7569</xdr:rowOff>
    </xdr:from>
    <xdr:to>
      <xdr:col>20</xdr:col>
      <xdr:colOff>100758</xdr:colOff>
      <xdr:row>62</xdr:row>
      <xdr:rowOff>9526</xdr:rowOff>
    </xdr:to>
    <xdr:cxnSp macro="">
      <xdr:nvCxnSpPr>
        <xdr:cNvPr id="4" name="Straight Connector 3"/>
        <xdr:cNvCxnSpPr/>
      </xdr:nvCxnSpPr>
      <xdr:spPr>
        <a:xfrm>
          <a:off x="2152296" y="16163434"/>
          <a:ext cx="0" cy="514842"/>
        </a:xfrm>
        <a:prstGeom prst="line">
          <a:avLst/>
        </a:prstGeom>
        <a:ln>
          <a:prstDash val="lgDash"/>
        </a:ln>
      </xdr:spPr>
      <xdr:style>
        <a:lnRef idx="1">
          <a:schemeClr val="dk1"/>
        </a:lnRef>
        <a:fillRef idx="0">
          <a:schemeClr val="dk1"/>
        </a:fillRef>
        <a:effectRef idx="0">
          <a:schemeClr val="dk1"/>
        </a:effectRef>
        <a:fontRef idx="minor">
          <a:schemeClr val="tx1"/>
        </a:fontRef>
      </xdr:style>
    </xdr:cxnSp>
    <xdr:clientData/>
  </xdr:twoCellAnchor>
  <xdr:twoCellAnchor>
    <xdr:from>
      <xdr:col>21</xdr:col>
      <xdr:colOff>59702</xdr:colOff>
      <xdr:row>59</xdr:row>
      <xdr:rowOff>28097</xdr:rowOff>
    </xdr:from>
    <xdr:to>
      <xdr:col>34</xdr:col>
      <xdr:colOff>52142</xdr:colOff>
      <xdr:row>59</xdr:row>
      <xdr:rowOff>37424</xdr:rowOff>
    </xdr:to>
    <xdr:cxnSp macro="">
      <xdr:nvCxnSpPr>
        <xdr:cNvPr id="5" name="Straight Arrow Connector 4"/>
        <xdr:cNvCxnSpPr/>
      </xdr:nvCxnSpPr>
      <xdr:spPr>
        <a:xfrm flipH="1" flipV="1">
          <a:off x="2213817" y="16389116"/>
          <a:ext cx="1369902" cy="9327"/>
        </a:xfrm>
        <a:prstGeom prst="straightConnector1">
          <a:avLst/>
        </a:prstGeom>
        <a:ln w="19050" cmpd="sng">
          <a:headEnd type="triangle" w="med" len="lg"/>
          <a:tailEnd type="triangle" w="med" len="lg"/>
        </a:ln>
      </xdr:spPr>
      <xdr:style>
        <a:lnRef idx="1">
          <a:schemeClr val="dk1"/>
        </a:lnRef>
        <a:fillRef idx="0">
          <a:schemeClr val="dk1"/>
        </a:fillRef>
        <a:effectRef idx="0">
          <a:schemeClr val="dk1"/>
        </a:effectRef>
        <a:fontRef idx="minor">
          <a:schemeClr val="tx1"/>
        </a:fontRef>
      </xdr:style>
    </xdr:cxnSp>
    <xdr:clientData/>
  </xdr:twoCellAnchor>
  <xdr:twoCellAnchor>
    <xdr:from>
      <xdr:col>21</xdr:col>
      <xdr:colOff>2127</xdr:colOff>
      <xdr:row>55</xdr:row>
      <xdr:rowOff>0</xdr:rowOff>
    </xdr:from>
    <xdr:to>
      <xdr:col>36</xdr:col>
      <xdr:colOff>36207</xdr:colOff>
      <xdr:row>57</xdr:row>
      <xdr:rowOff>87459</xdr:rowOff>
    </xdr:to>
    <xdr:sp macro="" textlink="">
      <xdr:nvSpPr>
        <xdr:cNvPr id="6" name="TextBox 5"/>
        <xdr:cNvSpPr txBox="1"/>
      </xdr:nvSpPr>
      <xdr:spPr>
        <a:xfrm>
          <a:off x="2156242" y="15950712"/>
          <a:ext cx="1616696" cy="2926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en-US" sz="1400" b="1">
              <a:latin typeface="Times New Roman" pitchFamily="18" charset="0"/>
              <a:cs typeface="Times New Roman" pitchFamily="18" charset="0"/>
            </a:rPr>
            <a:t>PRINT WIDTH</a:t>
          </a:r>
        </a:p>
      </xdr:txBody>
    </xdr:sp>
    <xdr:clientData/>
  </xdr:twoCellAnchor>
  <xdr:twoCellAnchor>
    <xdr:from>
      <xdr:col>24</xdr:col>
      <xdr:colOff>33884</xdr:colOff>
      <xdr:row>57</xdr:row>
      <xdr:rowOff>26224</xdr:rowOff>
    </xdr:from>
    <xdr:to>
      <xdr:col>31</xdr:col>
      <xdr:colOff>70280</xdr:colOff>
      <xdr:row>61</xdr:row>
      <xdr:rowOff>27790</xdr:rowOff>
    </xdr:to>
    <xdr:sp macro="" textlink="' S+R'!B21:C21">
      <xdr:nvSpPr>
        <xdr:cNvPr id="7" name="TextBox 6"/>
        <xdr:cNvSpPr txBox="1"/>
      </xdr:nvSpPr>
      <xdr:spPr>
        <a:xfrm>
          <a:off x="2495730" y="16182089"/>
          <a:ext cx="798396" cy="4118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D5F8B66-8281-4E90-BB0A-6A4893726FC6}" type="TxLink">
            <a:rPr lang="en-US" sz="1000" b="1" i="0" u="none" strike="noStrike">
              <a:solidFill>
                <a:srgbClr val="000000"/>
              </a:solidFill>
              <a:latin typeface="Arial"/>
              <a:cs typeface="Arial"/>
            </a:rPr>
            <a:pPr algn="ctr"/>
            <a:t> </a:t>
          </a:fld>
          <a:endParaRPr lang="en-US" sz="1600">
            <a:latin typeface="Times New Roman" pitchFamily="18" charset="0"/>
            <a:cs typeface="Times New Roman" pitchFamily="18" charset="0"/>
          </a:endParaRPr>
        </a:p>
      </xdr:txBody>
    </xdr:sp>
    <xdr:clientData/>
  </xdr:twoCellAnchor>
  <xdr:twoCellAnchor>
    <xdr:from>
      <xdr:col>79</xdr:col>
      <xdr:colOff>104775</xdr:colOff>
      <xdr:row>62</xdr:row>
      <xdr:rowOff>0</xdr:rowOff>
    </xdr:from>
    <xdr:to>
      <xdr:col>79</xdr:col>
      <xdr:colOff>104775</xdr:colOff>
      <xdr:row>90</xdr:row>
      <xdr:rowOff>0</xdr:rowOff>
    </xdr:to>
    <xdr:cxnSp macro="">
      <xdr:nvCxnSpPr>
        <xdr:cNvPr id="8" name="Straight Arrow Connector 7"/>
        <xdr:cNvCxnSpPr/>
      </xdr:nvCxnSpPr>
      <xdr:spPr>
        <a:xfrm>
          <a:off x="8420100" y="16659225"/>
          <a:ext cx="0" cy="2933700"/>
        </a:xfrm>
        <a:prstGeom prst="straightConnector1">
          <a:avLst/>
        </a:prstGeom>
        <a:ln w="19050" cap="flat">
          <a:bevel/>
          <a:headEnd type="none" w="lg" len="lg"/>
          <a:tailEnd type="stealth" w="lg" len="lg"/>
        </a:ln>
      </xdr:spPr>
      <xdr:style>
        <a:lnRef idx="1">
          <a:schemeClr val="dk1"/>
        </a:lnRef>
        <a:fillRef idx="0">
          <a:schemeClr val="dk1"/>
        </a:fillRef>
        <a:effectRef idx="0">
          <a:schemeClr val="dk1"/>
        </a:effectRef>
        <a:fontRef idx="minor">
          <a:schemeClr val="tx1"/>
        </a:fontRef>
      </xdr:style>
    </xdr:cxnSp>
    <xdr:clientData/>
  </xdr:twoCellAnchor>
  <xdr:twoCellAnchor>
    <xdr:from>
      <xdr:col>78</xdr:col>
      <xdr:colOff>16320</xdr:colOff>
      <xdr:row>66</xdr:row>
      <xdr:rowOff>47625</xdr:rowOff>
    </xdr:from>
    <xdr:to>
      <xdr:col>81</xdr:col>
      <xdr:colOff>40823</xdr:colOff>
      <xdr:row>84</xdr:row>
      <xdr:rowOff>61231</xdr:rowOff>
    </xdr:to>
    <xdr:sp macro="" textlink="">
      <xdr:nvSpPr>
        <xdr:cNvPr id="9" name="Rectangle 8"/>
        <xdr:cNvSpPr/>
      </xdr:nvSpPr>
      <xdr:spPr>
        <a:xfrm rot="16200000">
          <a:off x="7446506" y="17906314"/>
          <a:ext cx="1899556" cy="338828"/>
        </a:xfrm>
        <a:prstGeom prst="rect">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ysClr val="windowText" lastClr="000000"/>
              </a:solidFill>
              <a:latin typeface="Times New Roman" pitchFamily="18" charset="0"/>
              <a:cs typeface="Times New Roman" pitchFamily="18" charset="0"/>
            </a:rPr>
            <a:t>WEB DIRECTION</a:t>
          </a:r>
          <a:endParaRPr lang="en-CA" sz="1200" b="1">
            <a:solidFill>
              <a:sysClr val="windowText" lastClr="000000"/>
            </a:solidFill>
            <a:latin typeface="Times New Roman" pitchFamily="18" charset="0"/>
            <a:cs typeface="Times New Roman" pitchFamily="18" charset="0"/>
          </a:endParaRPr>
        </a:p>
      </xdr:txBody>
    </xdr:sp>
    <xdr:clientData/>
  </xdr:twoCellAnchor>
  <xdr:twoCellAnchor>
    <xdr:from>
      <xdr:col>6</xdr:col>
      <xdr:colOff>76300</xdr:colOff>
      <xdr:row>67</xdr:row>
      <xdr:rowOff>76201</xdr:rowOff>
    </xdr:from>
    <xdr:to>
      <xdr:col>13</xdr:col>
      <xdr:colOff>46752</xdr:colOff>
      <xdr:row>67</xdr:row>
      <xdr:rowOff>76201</xdr:rowOff>
    </xdr:to>
    <xdr:cxnSp macro="">
      <xdr:nvCxnSpPr>
        <xdr:cNvPr id="11" name="Straight Connector 10"/>
        <xdr:cNvCxnSpPr/>
      </xdr:nvCxnSpPr>
      <xdr:spPr>
        <a:xfrm>
          <a:off x="691762" y="17257836"/>
          <a:ext cx="688490" cy="0"/>
        </a:xfrm>
        <a:prstGeom prst="line">
          <a:avLst/>
        </a:prstGeom>
        <a:ln w="19050">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29550</xdr:colOff>
      <xdr:row>82</xdr:row>
      <xdr:rowOff>93658</xdr:rowOff>
    </xdr:from>
    <xdr:to>
      <xdr:col>14</xdr:col>
      <xdr:colOff>1</xdr:colOff>
      <xdr:row>82</xdr:row>
      <xdr:rowOff>93658</xdr:rowOff>
    </xdr:to>
    <xdr:cxnSp macro="">
      <xdr:nvCxnSpPr>
        <xdr:cNvPr id="12" name="Straight Connector 11"/>
        <xdr:cNvCxnSpPr/>
      </xdr:nvCxnSpPr>
      <xdr:spPr>
        <a:xfrm>
          <a:off x="747588" y="18813946"/>
          <a:ext cx="688490" cy="0"/>
        </a:xfrm>
        <a:prstGeom prst="line">
          <a:avLst/>
        </a:prstGeom>
        <a:ln w="19050">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15327</xdr:colOff>
      <xdr:row>67</xdr:row>
      <xdr:rowOff>85517</xdr:rowOff>
    </xdr:from>
    <xdr:to>
      <xdr:col>10</xdr:col>
      <xdr:colOff>28848</xdr:colOff>
      <xdr:row>83</xdr:row>
      <xdr:rowOff>9525</xdr:rowOff>
    </xdr:to>
    <xdr:cxnSp macro="">
      <xdr:nvCxnSpPr>
        <xdr:cNvPr id="13" name="Straight Arrow Connector 12"/>
        <xdr:cNvCxnSpPr/>
      </xdr:nvCxnSpPr>
      <xdr:spPr>
        <a:xfrm flipH="1">
          <a:off x="1041096" y="17267152"/>
          <a:ext cx="13521" cy="1565238"/>
        </a:xfrm>
        <a:prstGeom prst="straightConnector1">
          <a:avLst/>
        </a:prstGeom>
        <a:ln w="19050">
          <a:headEnd type="triangle" w="med" len="lg"/>
          <a:tailEnd type="triangle" w="med" len="lg"/>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100697</xdr:colOff>
      <xdr:row>71</xdr:row>
      <xdr:rowOff>84712</xdr:rowOff>
    </xdr:from>
    <xdr:to>
      <xdr:col>13</xdr:col>
      <xdr:colOff>9541</xdr:colOff>
      <xdr:row>78</xdr:row>
      <xdr:rowOff>47333</xdr:rowOff>
    </xdr:to>
    <xdr:sp macro="" textlink="' S+R'!F21">
      <xdr:nvSpPr>
        <xdr:cNvPr id="14" name="TextBox 13"/>
        <xdr:cNvSpPr txBox="1"/>
      </xdr:nvSpPr>
      <xdr:spPr>
        <a:xfrm rot="16200000">
          <a:off x="586693" y="17600966"/>
          <a:ext cx="680660" cy="83203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2928662-7F47-418C-A0BD-07AF1DC129EF}" type="TxLink">
            <a:rPr lang="en-US" sz="1000" b="1" i="0" u="none" strike="noStrike">
              <a:solidFill>
                <a:srgbClr val="000000"/>
              </a:solidFill>
              <a:latin typeface="Arial"/>
              <a:cs typeface="Arial"/>
            </a:rPr>
            <a:pPr algn="ctr"/>
            <a:t>#DIV/0!</a:t>
          </a:fld>
          <a:endParaRPr lang="en-US" sz="1200" b="1">
            <a:latin typeface="Times New Roman" pitchFamily="18" charset="0"/>
            <a:cs typeface="Times New Roman" pitchFamily="18" charset="0"/>
          </a:endParaRPr>
        </a:p>
      </xdr:txBody>
    </xdr:sp>
    <xdr:clientData/>
  </xdr:twoCellAnchor>
  <xdr:twoCellAnchor>
    <xdr:from>
      <xdr:col>2</xdr:col>
      <xdr:colOff>47625</xdr:colOff>
      <xdr:row>44</xdr:row>
      <xdr:rowOff>85725</xdr:rowOff>
    </xdr:from>
    <xdr:to>
      <xdr:col>2</xdr:col>
      <xdr:colOff>47625</xdr:colOff>
      <xdr:row>114</xdr:row>
      <xdr:rowOff>0</xdr:rowOff>
    </xdr:to>
    <xdr:cxnSp macro="">
      <xdr:nvCxnSpPr>
        <xdr:cNvPr id="15" name="Straight Connector 14"/>
        <xdr:cNvCxnSpPr/>
      </xdr:nvCxnSpPr>
      <xdr:spPr>
        <a:xfrm>
          <a:off x="257175" y="14859000"/>
          <a:ext cx="0" cy="7143750"/>
        </a:xfrm>
        <a:prstGeom prst="line">
          <a:avLst/>
        </a:prstGeom>
        <a:ln w="44450"/>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66675</xdr:colOff>
      <xdr:row>88</xdr:row>
      <xdr:rowOff>57612</xdr:rowOff>
    </xdr:from>
    <xdr:to>
      <xdr:col>14</xdr:col>
      <xdr:colOff>0</xdr:colOff>
      <xdr:row>91</xdr:row>
      <xdr:rowOff>42087</xdr:rowOff>
    </xdr:to>
    <xdr:grpSp>
      <xdr:nvGrpSpPr>
        <xdr:cNvPr id="16" name="Group 15"/>
        <xdr:cNvGrpSpPr/>
      </xdr:nvGrpSpPr>
      <xdr:grpSpPr>
        <a:xfrm>
          <a:off x="282023" y="19637699"/>
          <a:ext cx="1225412" cy="307497"/>
          <a:chOff x="161925" y="4817774"/>
          <a:chExt cx="1076325" cy="274874"/>
        </a:xfrm>
      </xdr:grpSpPr>
      <xdr:cxnSp macro="">
        <xdr:nvCxnSpPr>
          <xdr:cNvPr id="17" name="Straight Arrow Connector 16"/>
          <xdr:cNvCxnSpPr/>
        </xdr:nvCxnSpPr>
        <xdr:spPr>
          <a:xfrm>
            <a:off x="161925" y="4953000"/>
            <a:ext cx="1076325" cy="0"/>
          </a:xfrm>
          <a:prstGeom prst="straightConnector1">
            <a:avLst/>
          </a:prstGeom>
          <a:ln w="19050">
            <a:headEnd type="triangle" w="med" len="lg"/>
            <a:tailEnd type="triangle" w="med" len="lg"/>
          </a:ln>
        </xdr:spPr>
        <xdr:style>
          <a:lnRef idx="1">
            <a:schemeClr val="dk1"/>
          </a:lnRef>
          <a:fillRef idx="0">
            <a:schemeClr val="dk1"/>
          </a:fillRef>
          <a:effectRef idx="0">
            <a:schemeClr val="dk1"/>
          </a:effectRef>
          <a:fontRef idx="minor">
            <a:schemeClr val="tx1"/>
          </a:fontRef>
        </xdr:style>
      </xdr:cxnSp>
      <xdr:sp macro="" textlink="">
        <xdr:nvSpPr>
          <xdr:cNvPr id="18" name="TextBox 17"/>
          <xdr:cNvSpPr txBox="1"/>
        </xdr:nvSpPr>
        <xdr:spPr>
          <a:xfrm>
            <a:off x="581558" y="4817774"/>
            <a:ext cx="248088" cy="274874"/>
          </a:xfrm>
          <a:prstGeom prst="rect">
            <a:avLst/>
          </a:prstGeom>
          <a:solidFill>
            <a:sysClr val="window" lastClr="FFFFFF"/>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en-US" sz="1400">
                <a:latin typeface="Times New Roman" pitchFamily="18" charset="0"/>
                <a:cs typeface="Times New Roman" pitchFamily="18" charset="0"/>
              </a:rPr>
              <a:t>5</a:t>
            </a:r>
          </a:p>
        </xdr:txBody>
      </xdr:sp>
    </xdr:grpSp>
    <xdr:clientData/>
  </xdr:twoCellAnchor>
  <xdr:oneCellAnchor>
    <xdr:from>
      <xdr:col>3</xdr:col>
      <xdr:colOff>7761</xdr:colOff>
      <xdr:row>66</xdr:row>
      <xdr:rowOff>104774</xdr:rowOff>
    </xdr:from>
    <xdr:ext cx="306563" cy="1885949"/>
    <xdr:sp macro="" textlink="">
      <xdr:nvSpPr>
        <xdr:cNvPr id="34" name="TextBox 33"/>
        <xdr:cNvSpPr txBox="1"/>
      </xdr:nvSpPr>
      <xdr:spPr>
        <a:xfrm rot="16200000">
          <a:off x="-467607" y="17972792"/>
          <a:ext cx="1885949" cy="3065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US" sz="1400" b="1">
              <a:latin typeface="Times New Roman" pitchFamily="18" charset="0"/>
              <a:cs typeface="Times New Roman" pitchFamily="18" charset="0"/>
            </a:rPr>
            <a:t>PRINT REPEAT</a:t>
          </a:r>
        </a:p>
      </xdr:txBody>
    </xdr:sp>
    <xdr:clientData/>
  </xdr:oneCellAnchor>
  <xdr:twoCellAnchor>
    <xdr:from>
      <xdr:col>25</xdr:col>
      <xdr:colOff>9525</xdr:colOff>
      <xdr:row>16</xdr:row>
      <xdr:rowOff>200025</xdr:rowOff>
    </xdr:from>
    <xdr:to>
      <xdr:col>27</xdr:col>
      <xdr:colOff>9525</xdr:colOff>
      <xdr:row>16</xdr:row>
      <xdr:rowOff>200025</xdr:rowOff>
    </xdr:to>
    <xdr:cxnSp macro="">
      <xdr:nvCxnSpPr>
        <xdr:cNvPr id="35" name="Straight Connector 34"/>
        <xdr:cNvCxnSpPr/>
      </xdr:nvCxnSpPr>
      <xdr:spPr>
        <a:xfrm>
          <a:off x="2667000" y="4676775"/>
          <a:ext cx="209550" cy="0"/>
        </a:xfrm>
        <a:prstGeom prst="line">
          <a:avLst/>
        </a:prstGeom>
        <a:ln w="28575"/>
      </xdr:spPr>
      <xdr:style>
        <a:lnRef idx="1">
          <a:schemeClr val="dk1"/>
        </a:lnRef>
        <a:fillRef idx="0">
          <a:schemeClr val="dk1"/>
        </a:fillRef>
        <a:effectRef idx="0">
          <a:schemeClr val="dk1"/>
        </a:effectRef>
        <a:fontRef idx="minor">
          <a:schemeClr val="tx1"/>
        </a:fontRef>
      </xdr:style>
    </xdr:cxnSp>
    <xdr:clientData/>
  </xdr:twoCellAnchor>
  <xdr:twoCellAnchor>
    <xdr:from>
      <xdr:col>42</xdr:col>
      <xdr:colOff>0</xdr:colOff>
      <xdr:row>32</xdr:row>
      <xdr:rowOff>0</xdr:rowOff>
    </xdr:from>
    <xdr:to>
      <xdr:col>87</xdr:col>
      <xdr:colOff>0</xdr:colOff>
      <xdr:row>41</xdr:row>
      <xdr:rowOff>0</xdr:rowOff>
    </xdr:to>
    <xdr:sp macro="" textlink="">
      <xdr:nvSpPr>
        <xdr:cNvPr id="36" name="TextBox 35"/>
        <xdr:cNvSpPr txBox="1"/>
      </xdr:nvSpPr>
      <xdr:spPr>
        <a:xfrm>
          <a:off x="4438650" y="10191750"/>
          <a:ext cx="4714875" cy="3857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endParaRPr lang="en-US" sz="4400" b="1" baseline="0">
            <a:latin typeface="Times New Roman" pitchFamily="18" charset="0"/>
            <a:cs typeface="Times New Roman" pitchFamily="18" charset="0"/>
          </a:endParaRPr>
        </a:p>
      </xdr:txBody>
    </xdr:sp>
    <xdr:clientData/>
  </xdr:twoCellAnchor>
  <xdr:twoCellAnchor>
    <xdr:from>
      <xdr:col>92</xdr:col>
      <xdr:colOff>0</xdr:colOff>
      <xdr:row>81</xdr:row>
      <xdr:rowOff>0</xdr:rowOff>
    </xdr:from>
    <xdr:to>
      <xdr:col>96</xdr:col>
      <xdr:colOff>0</xdr:colOff>
      <xdr:row>85</xdr:row>
      <xdr:rowOff>1</xdr:rowOff>
    </xdr:to>
    <xdr:sp macro="" textlink="" fLocksText="0">
      <xdr:nvSpPr>
        <xdr:cNvPr id="43" name="Right Arrow 42"/>
        <xdr:cNvSpPr/>
      </xdr:nvSpPr>
      <xdr:spPr>
        <a:xfrm rot="16200000">
          <a:off x="9323294" y="18512118"/>
          <a:ext cx="403412" cy="403412"/>
        </a:xfrm>
        <a:prstGeom prst="rightArrow">
          <a:avLst/>
        </a:prstGeom>
        <a:solidFill>
          <a:srgbClr val="0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fLocksWithSheet="0"/>
  </xdr:twoCellAnchor>
  <xdr:twoCellAnchor>
    <xdr:from>
      <xdr:col>92</xdr:col>
      <xdr:colOff>0</xdr:colOff>
      <xdr:row>87</xdr:row>
      <xdr:rowOff>0</xdr:rowOff>
    </xdr:from>
    <xdr:to>
      <xdr:col>96</xdr:col>
      <xdr:colOff>0</xdr:colOff>
      <xdr:row>91</xdr:row>
      <xdr:rowOff>0</xdr:rowOff>
    </xdr:to>
    <xdr:sp macro="" textlink="" fLocksText="0">
      <xdr:nvSpPr>
        <xdr:cNvPr id="48" name="Right Arrow 47"/>
        <xdr:cNvSpPr/>
      </xdr:nvSpPr>
      <xdr:spPr>
        <a:xfrm rot="5400000">
          <a:off x="9677400" y="19278600"/>
          <a:ext cx="419100" cy="419100"/>
        </a:xfrm>
        <a:prstGeom prst="rightArrow">
          <a:avLst/>
        </a:prstGeom>
        <a:solidFill>
          <a:srgbClr val="0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fLocksWithSheet="0"/>
  </xdr:twoCellAnchor>
  <xdr:twoCellAnchor>
    <xdr:from>
      <xdr:col>96</xdr:col>
      <xdr:colOff>93526</xdr:colOff>
      <xdr:row>81</xdr:row>
      <xdr:rowOff>0</xdr:rowOff>
    </xdr:from>
    <xdr:to>
      <xdr:col>100</xdr:col>
      <xdr:colOff>0</xdr:colOff>
      <xdr:row>83</xdr:row>
      <xdr:rowOff>0</xdr:rowOff>
    </xdr:to>
    <xdr:sp macro="" textlink="">
      <xdr:nvSpPr>
        <xdr:cNvPr id="52" name="Rectangle 51"/>
        <xdr:cNvSpPr/>
      </xdr:nvSpPr>
      <xdr:spPr>
        <a:xfrm>
          <a:off x="9820232" y="18512118"/>
          <a:ext cx="309886" cy="201706"/>
        </a:xfrm>
        <a:prstGeom prst="rect">
          <a:avLst/>
        </a:prstGeom>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21140</xdr:colOff>
      <xdr:row>155</xdr:row>
      <xdr:rowOff>137532</xdr:rowOff>
    </xdr:from>
    <xdr:to>
      <xdr:col>23</xdr:col>
      <xdr:colOff>62975</xdr:colOff>
      <xdr:row>160</xdr:row>
      <xdr:rowOff>135526</xdr:rowOff>
    </xdr:to>
    <xdr:pic>
      <xdr:nvPicPr>
        <xdr:cNvPr id="56" name="Picture 5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0690" y="27407607"/>
          <a:ext cx="2242110" cy="712368"/>
        </a:xfrm>
        <a:prstGeom prst="rect">
          <a:avLst/>
        </a:prstGeom>
      </xdr:spPr>
    </xdr:pic>
    <xdr:clientData/>
  </xdr:twoCellAnchor>
  <xdr:twoCellAnchor editAs="oneCell">
    <xdr:from>
      <xdr:col>32</xdr:col>
      <xdr:colOff>0</xdr:colOff>
      <xdr:row>1</xdr:row>
      <xdr:rowOff>26365</xdr:rowOff>
    </xdr:from>
    <xdr:to>
      <xdr:col>48</xdr:col>
      <xdr:colOff>0</xdr:colOff>
      <xdr:row>3</xdr:row>
      <xdr:rowOff>174238</xdr:rowOff>
    </xdr:to>
    <xdr:pic>
      <xdr:nvPicPr>
        <xdr:cNvPr id="57" name="Picture 56"/>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390900" y="216865"/>
          <a:ext cx="1676400" cy="528873"/>
        </a:xfrm>
        <a:prstGeom prst="rect">
          <a:avLst/>
        </a:prstGeom>
      </xdr:spPr>
    </xdr:pic>
    <xdr:clientData/>
  </xdr:twoCellAnchor>
  <xdr:twoCellAnchor>
    <xdr:from>
      <xdr:col>94</xdr:col>
      <xdr:colOff>100852</xdr:colOff>
      <xdr:row>84</xdr:row>
      <xdr:rowOff>11205</xdr:rowOff>
    </xdr:from>
    <xdr:to>
      <xdr:col>99</xdr:col>
      <xdr:colOff>0</xdr:colOff>
      <xdr:row>88</xdr:row>
      <xdr:rowOff>11206</xdr:rowOff>
    </xdr:to>
    <xdr:sp macro="" textlink="" fLocksText="0">
      <xdr:nvSpPr>
        <xdr:cNvPr id="58" name="Right Arrow 57"/>
        <xdr:cNvSpPr/>
      </xdr:nvSpPr>
      <xdr:spPr>
        <a:xfrm>
          <a:off x="9625852" y="18825881"/>
          <a:ext cx="403413" cy="403413"/>
        </a:xfrm>
        <a:prstGeom prst="rightArrow">
          <a:avLst/>
        </a:prstGeom>
        <a:solidFill>
          <a:srgbClr val="0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fLocksWithSheet="0"/>
  </xdr:twoCellAnchor>
  <xdr:twoCellAnchor>
    <xdr:from>
      <xdr:col>89</xdr:col>
      <xdr:colOff>0</xdr:colOff>
      <xdr:row>84</xdr:row>
      <xdr:rowOff>19050</xdr:rowOff>
    </xdr:from>
    <xdr:to>
      <xdr:col>93</xdr:col>
      <xdr:colOff>0</xdr:colOff>
      <xdr:row>88</xdr:row>
      <xdr:rowOff>19050</xdr:rowOff>
    </xdr:to>
    <xdr:sp macro="" textlink="" fLocksText="0">
      <xdr:nvSpPr>
        <xdr:cNvPr id="67" name="Right Arrow 66"/>
        <xdr:cNvSpPr/>
      </xdr:nvSpPr>
      <xdr:spPr>
        <a:xfrm rot="10800000">
          <a:off x="9363075" y="18983325"/>
          <a:ext cx="419100" cy="419100"/>
        </a:xfrm>
        <a:prstGeom prst="rightArrow">
          <a:avLst/>
        </a:prstGeom>
        <a:solidFill>
          <a:srgbClr val="0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100"/>
            <a:t> </a:t>
          </a:r>
        </a:p>
      </xdr:txBody>
    </xdr:sp>
    <xdr:clientData fLocksWithSheet="0"/>
  </xdr:twoCellAnchor>
  <xdr:twoCellAnchor>
    <xdr:from>
      <xdr:col>5</xdr:col>
      <xdr:colOff>0</xdr:colOff>
      <xdr:row>100</xdr:row>
      <xdr:rowOff>0</xdr:rowOff>
    </xdr:from>
    <xdr:to>
      <xdr:col>7</xdr:col>
      <xdr:colOff>0</xdr:colOff>
      <xdr:row>100</xdr:row>
      <xdr:rowOff>0</xdr:rowOff>
    </xdr:to>
    <xdr:cxnSp macro="">
      <xdr:nvCxnSpPr>
        <xdr:cNvPr id="45" name="Straight Arrow Connector 44"/>
        <xdr:cNvCxnSpPr/>
      </xdr:nvCxnSpPr>
      <xdr:spPr>
        <a:xfrm>
          <a:off x="538370" y="20872174"/>
          <a:ext cx="215347" cy="0"/>
        </a:xfrm>
        <a:prstGeom prst="straightConnector1">
          <a:avLst/>
        </a:prstGeom>
        <a:ln w="19050">
          <a:headEnd type="triangl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100</xdr:row>
      <xdr:rowOff>0</xdr:rowOff>
    </xdr:from>
    <xdr:to>
      <xdr:col>14</xdr:col>
      <xdr:colOff>107673</xdr:colOff>
      <xdr:row>100</xdr:row>
      <xdr:rowOff>0</xdr:rowOff>
    </xdr:to>
    <xdr:cxnSp macro="">
      <xdr:nvCxnSpPr>
        <xdr:cNvPr id="46" name="Straight Arrow Connector 45"/>
        <xdr:cNvCxnSpPr/>
      </xdr:nvCxnSpPr>
      <xdr:spPr>
        <a:xfrm>
          <a:off x="1399761" y="20872174"/>
          <a:ext cx="215347" cy="0"/>
        </a:xfrm>
        <a:prstGeom prst="straightConnector1">
          <a:avLst/>
        </a:prstGeom>
        <a:ln w="19050">
          <a:headEnd type="none" w="med" len="med"/>
          <a:tailEnd type="triangl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100</xdr:row>
      <xdr:rowOff>0</xdr:rowOff>
    </xdr:from>
    <xdr:to>
      <xdr:col>17</xdr:col>
      <xdr:colOff>0</xdr:colOff>
      <xdr:row>100</xdr:row>
      <xdr:rowOff>0</xdr:rowOff>
    </xdr:to>
    <xdr:cxnSp macro="">
      <xdr:nvCxnSpPr>
        <xdr:cNvPr id="49" name="Straight Arrow Connector 48"/>
        <xdr:cNvCxnSpPr/>
      </xdr:nvCxnSpPr>
      <xdr:spPr>
        <a:xfrm>
          <a:off x="538370" y="20872174"/>
          <a:ext cx="215347" cy="0"/>
        </a:xfrm>
        <a:prstGeom prst="straightConnector1">
          <a:avLst/>
        </a:prstGeom>
        <a:ln w="19050">
          <a:headEnd type="triangl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23</xdr:col>
      <xdr:colOff>0</xdr:colOff>
      <xdr:row>100</xdr:row>
      <xdr:rowOff>0</xdr:rowOff>
    </xdr:from>
    <xdr:to>
      <xdr:col>24</xdr:col>
      <xdr:colOff>107673</xdr:colOff>
      <xdr:row>100</xdr:row>
      <xdr:rowOff>0</xdr:rowOff>
    </xdr:to>
    <xdr:cxnSp macro="">
      <xdr:nvCxnSpPr>
        <xdr:cNvPr id="50" name="Straight Arrow Connector 49"/>
        <xdr:cNvCxnSpPr/>
      </xdr:nvCxnSpPr>
      <xdr:spPr>
        <a:xfrm>
          <a:off x="1399761" y="20872174"/>
          <a:ext cx="215347" cy="0"/>
        </a:xfrm>
        <a:prstGeom prst="straightConnector1">
          <a:avLst/>
        </a:prstGeom>
        <a:ln w="19050">
          <a:headEnd type="none" w="med" len="med"/>
          <a:tailEnd type="triangl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25</xdr:col>
      <xdr:colOff>0</xdr:colOff>
      <xdr:row>100</xdr:row>
      <xdr:rowOff>0</xdr:rowOff>
    </xdr:from>
    <xdr:to>
      <xdr:col>27</xdr:col>
      <xdr:colOff>0</xdr:colOff>
      <xdr:row>100</xdr:row>
      <xdr:rowOff>0</xdr:rowOff>
    </xdr:to>
    <xdr:cxnSp macro="">
      <xdr:nvCxnSpPr>
        <xdr:cNvPr id="51" name="Straight Arrow Connector 50"/>
        <xdr:cNvCxnSpPr/>
      </xdr:nvCxnSpPr>
      <xdr:spPr>
        <a:xfrm>
          <a:off x="538370" y="20872174"/>
          <a:ext cx="215347" cy="0"/>
        </a:xfrm>
        <a:prstGeom prst="straightConnector1">
          <a:avLst/>
        </a:prstGeom>
        <a:ln w="19050">
          <a:headEnd type="triangl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0</xdr:colOff>
      <xdr:row>100</xdr:row>
      <xdr:rowOff>0</xdr:rowOff>
    </xdr:from>
    <xdr:to>
      <xdr:col>34</xdr:col>
      <xdr:colOff>107673</xdr:colOff>
      <xdr:row>100</xdr:row>
      <xdr:rowOff>0</xdr:rowOff>
    </xdr:to>
    <xdr:cxnSp macro="">
      <xdr:nvCxnSpPr>
        <xdr:cNvPr id="53" name="Straight Arrow Connector 52"/>
        <xdr:cNvCxnSpPr/>
      </xdr:nvCxnSpPr>
      <xdr:spPr>
        <a:xfrm>
          <a:off x="1399761" y="20872174"/>
          <a:ext cx="215347" cy="0"/>
        </a:xfrm>
        <a:prstGeom prst="straightConnector1">
          <a:avLst/>
        </a:prstGeom>
        <a:ln w="19050">
          <a:headEnd type="none" w="med" len="med"/>
          <a:tailEnd type="triangl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35</xdr:col>
      <xdr:colOff>0</xdr:colOff>
      <xdr:row>100</xdr:row>
      <xdr:rowOff>0</xdr:rowOff>
    </xdr:from>
    <xdr:to>
      <xdr:col>37</xdr:col>
      <xdr:colOff>0</xdr:colOff>
      <xdr:row>100</xdr:row>
      <xdr:rowOff>0</xdr:rowOff>
    </xdr:to>
    <xdr:cxnSp macro="">
      <xdr:nvCxnSpPr>
        <xdr:cNvPr id="59" name="Straight Arrow Connector 58"/>
        <xdr:cNvCxnSpPr/>
      </xdr:nvCxnSpPr>
      <xdr:spPr>
        <a:xfrm>
          <a:off x="538370" y="20872174"/>
          <a:ext cx="215347" cy="0"/>
        </a:xfrm>
        <a:prstGeom prst="straightConnector1">
          <a:avLst/>
        </a:prstGeom>
        <a:ln w="19050">
          <a:headEnd type="triangl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43</xdr:col>
      <xdr:colOff>0</xdr:colOff>
      <xdr:row>100</xdr:row>
      <xdr:rowOff>0</xdr:rowOff>
    </xdr:from>
    <xdr:to>
      <xdr:col>44</xdr:col>
      <xdr:colOff>107673</xdr:colOff>
      <xdr:row>100</xdr:row>
      <xdr:rowOff>0</xdr:rowOff>
    </xdr:to>
    <xdr:cxnSp macro="">
      <xdr:nvCxnSpPr>
        <xdr:cNvPr id="60" name="Straight Arrow Connector 59"/>
        <xdr:cNvCxnSpPr/>
      </xdr:nvCxnSpPr>
      <xdr:spPr>
        <a:xfrm>
          <a:off x="1399761" y="20872174"/>
          <a:ext cx="215347" cy="0"/>
        </a:xfrm>
        <a:prstGeom prst="straightConnector1">
          <a:avLst/>
        </a:prstGeom>
        <a:ln w="19050">
          <a:headEnd type="none" w="med" len="med"/>
          <a:tailEnd type="triangl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45</xdr:col>
      <xdr:colOff>0</xdr:colOff>
      <xdr:row>100</xdr:row>
      <xdr:rowOff>0</xdr:rowOff>
    </xdr:from>
    <xdr:to>
      <xdr:col>47</xdr:col>
      <xdr:colOff>0</xdr:colOff>
      <xdr:row>100</xdr:row>
      <xdr:rowOff>0</xdr:rowOff>
    </xdr:to>
    <xdr:cxnSp macro="">
      <xdr:nvCxnSpPr>
        <xdr:cNvPr id="61" name="Straight Arrow Connector 60"/>
        <xdr:cNvCxnSpPr/>
      </xdr:nvCxnSpPr>
      <xdr:spPr>
        <a:xfrm>
          <a:off x="538370" y="20872174"/>
          <a:ext cx="215347" cy="0"/>
        </a:xfrm>
        <a:prstGeom prst="straightConnector1">
          <a:avLst/>
        </a:prstGeom>
        <a:ln w="19050">
          <a:headEnd type="triangl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53</xdr:col>
      <xdr:colOff>0</xdr:colOff>
      <xdr:row>100</xdr:row>
      <xdr:rowOff>0</xdr:rowOff>
    </xdr:from>
    <xdr:to>
      <xdr:col>54</xdr:col>
      <xdr:colOff>107673</xdr:colOff>
      <xdr:row>100</xdr:row>
      <xdr:rowOff>0</xdr:rowOff>
    </xdr:to>
    <xdr:cxnSp macro="">
      <xdr:nvCxnSpPr>
        <xdr:cNvPr id="62" name="Straight Arrow Connector 61"/>
        <xdr:cNvCxnSpPr/>
      </xdr:nvCxnSpPr>
      <xdr:spPr>
        <a:xfrm>
          <a:off x="1399761" y="20872174"/>
          <a:ext cx="215347" cy="0"/>
        </a:xfrm>
        <a:prstGeom prst="straightConnector1">
          <a:avLst/>
        </a:prstGeom>
        <a:ln w="19050">
          <a:headEnd type="none" w="med" len="med"/>
          <a:tailEnd type="triangl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55</xdr:col>
      <xdr:colOff>0</xdr:colOff>
      <xdr:row>100</xdr:row>
      <xdr:rowOff>0</xdr:rowOff>
    </xdr:from>
    <xdr:to>
      <xdr:col>57</xdr:col>
      <xdr:colOff>0</xdr:colOff>
      <xdr:row>100</xdr:row>
      <xdr:rowOff>0</xdr:rowOff>
    </xdr:to>
    <xdr:cxnSp macro="">
      <xdr:nvCxnSpPr>
        <xdr:cNvPr id="63" name="Straight Arrow Connector 62"/>
        <xdr:cNvCxnSpPr/>
      </xdr:nvCxnSpPr>
      <xdr:spPr>
        <a:xfrm>
          <a:off x="538370" y="20872174"/>
          <a:ext cx="215347" cy="0"/>
        </a:xfrm>
        <a:prstGeom prst="straightConnector1">
          <a:avLst/>
        </a:prstGeom>
        <a:ln w="19050">
          <a:headEnd type="triangl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63</xdr:col>
      <xdr:colOff>0</xdr:colOff>
      <xdr:row>100</xdr:row>
      <xdr:rowOff>0</xdr:rowOff>
    </xdr:from>
    <xdr:to>
      <xdr:col>64</xdr:col>
      <xdr:colOff>107673</xdr:colOff>
      <xdr:row>100</xdr:row>
      <xdr:rowOff>0</xdr:rowOff>
    </xdr:to>
    <xdr:cxnSp macro="">
      <xdr:nvCxnSpPr>
        <xdr:cNvPr id="64" name="Straight Arrow Connector 63"/>
        <xdr:cNvCxnSpPr/>
      </xdr:nvCxnSpPr>
      <xdr:spPr>
        <a:xfrm>
          <a:off x="1399761" y="20872174"/>
          <a:ext cx="215347" cy="0"/>
        </a:xfrm>
        <a:prstGeom prst="straightConnector1">
          <a:avLst/>
        </a:prstGeom>
        <a:ln w="19050">
          <a:headEnd type="none" w="med" len="med"/>
          <a:tailEnd type="triangl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65</xdr:col>
      <xdr:colOff>0</xdr:colOff>
      <xdr:row>100</xdr:row>
      <xdr:rowOff>0</xdr:rowOff>
    </xdr:from>
    <xdr:to>
      <xdr:col>67</xdr:col>
      <xdr:colOff>0</xdr:colOff>
      <xdr:row>100</xdr:row>
      <xdr:rowOff>0</xdr:rowOff>
    </xdr:to>
    <xdr:cxnSp macro="">
      <xdr:nvCxnSpPr>
        <xdr:cNvPr id="65" name="Straight Arrow Connector 64"/>
        <xdr:cNvCxnSpPr/>
      </xdr:nvCxnSpPr>
      <xdr:spPr>
        <a:xfrm>
          <a:off x="538370" y="20872174"/>
          <a:ext cx="215347" cy="0"/>
        </a:xfrm>
        <a:prstGeom prst="straightConnector1">
          <a:avLst/>
        </a:prstGeom>
        <a:ln w="19050">
          <a:headEnd type="triangl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73</xdr:col>
      <xdr:colOff>0</xdr:colOff>
      <xdr:row>100</xdr:row>
      <xdr:rowOff>0</xdr:rowOff>
    </xdr:from>
    <xdr:to>
      <xdr:col>74</xdr:col>
      <xdr:colOff>107673</xdr:colOff>
      <xdr:row>100</xdr:row>
      <xdr:rowOff>0</xdr:rowOff>
    </xdr:to>
    <xdr:cxnSp macro="">
      <xdr:nvCxnSpPr>
        <xdr:cNvPr id="66" name="Straight Arrow Connector 65"/>
        <xdr:cNvCxnSpPr/>
      </xdr:nvCxnSpPr>
      <xdr:spPr>
        <a:xfrm>
          <a:off x="1399761" y="20872174"/>
          <a:ext cx="215347" cy="0"/>
        </a:xfrm>
        <a:prstGeom prst="straightConnector1">
          <a:avLst/>
        </a:prstGeom>
        <a:ln w="19050">
          <a:headEnd type="none" w="med" len="med"/>
          <a:tailEnd type="triangl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75</xdr:col>
      <xdr:colOff>0</xdr:colOff>
      <xdr:row>100</xdr:row>
      <xdr:rowOff>0</xdr:rowOff>
    </xdr:from>
    <xdr:to>
      <xdr:col>77</xdr:col>
      <xdr:colOff>0</xdr:colOff>
      <xdr:row>100</xdr:row>
      <xdr:rowOff>0</xdr:rowOff>
    </xdr:to>
    <xdr:cxnSp macro="">
      <xdr:nvCxnSpPr>
        <xdr:cNvPr id="68" name="Straight Arrow Connector 67"/>
        <xdr:cNvCxnSpPr/>
      </xdr:nvCxnSpPr>
      <xdr:spPr>
        <a:xfrm>
          <a:off x="538370" y="20872174"/>
          <a:ext cx="215347" cy="0"/>
        </a:xfrm>
        <a:prstGeom prst="straightConnector1">
          <a:avLst/>
        </a:prstGeom>
        <a:ln w="19050">
          <a:headEnd type="triangl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83</xdr:col>
      <xdr:colOff>0</xdr:colOff>
      <xdr:row>100</xdr:row>
      <xdr:rowOff>0</xdr:rowOff>
    </xdr:from>
    <xdr:to>
      <xdr:col>84</xdr:col>
      <xdr:colOff>107673</xdr:colOff>
      <xdr:row>100</xdr:row>
      <xdr:rowOff>0</xdr:rowOff>
    </xdr:to>
    <xdr:cxnSp macro="">
      <xdr:nvCxnSpPr>
        <xdr:cNvPr id="69" name="Straight Arrow Connector 68"/>
        <xdr:cNvCxnSpPr/>
      </xdr:nvCxnSpPr>
      <xdr:spPr>
        <a:xfrm>
          <a:off x="1399761" y="20872174"/>
          <a:ext cx="215347" cy="0"/>
        </a:xfrm>
        <a:prstGeom prst="straightConnector1">
          <a:avLst/>
        </a:prstGeom>
        <a:ln w="19050">
          <a:headEnd type="none" w="med" len="med"/>
          <a:tailEnd type="triangle" w="med" len="med"/>
        </a:ln>
      </xdr:spPr>
      <xdr:style>
        <a:lnRef idx="1">
          <a:schemeClr val="dk1"/>
        </a:lnRef>
        <a:fillRef idx="0">
          <a:schemeClr val="dk1"/>
        </a:fillRef>
        <a:effectRef idx="0">
          <a:schemeClr val="dk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9526</xdr:colOff>
      <xdr:row>41</xdr:row>
      <xdr:rowOff>9525</xdr:rowOff>
    </xdr:from>
    <xdr:to>
      <xdr:col>41</xdr:col>
      <xdr:colOff>1</xdr:colOff>
      <xdr:row>59</xdr:row>
      <xdr:rowOff>0</xdr:rowOff>
    </xdr:to>
    <xdr:sp macro="" textlink="">
      <xdr:nvSpPr>
        <xdr:cNvPr id="2" name="TextBox 1"/>
        <xdr:cNvSpPr txBox="1"/>
      </xdr:nvSpPr>
      <xdr:spPr>
        <a:xfrm>
          <a:off x="9526" y="7820025"/>
          <a:ext cx="8191500" cy="3419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2400">
            <a:latin typeface="Tahoma" panose="020B0604030504040204" pitchFamily="34" charset="0"/>
            <a:ea typeface="Tahoma" panose="020B0604030504040204" pitchFamily="34" charset="0"/>
            <a:cs typeface="Tahoma" panose="020B0604030504040204"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25</xdr:col>
          <xdr:colOff>123825</xdr:colOff>
          <xdr:row>11</xdr:row>
          <xdr:rowOff>76200</xdr:rowOff>
        </xdr:from>
        <xdr:to>
          <xdr:col>27</xdr:col>
          <xdr:colOff>28575</xdr:colOff>
          <xdr:row>12</xdr:row>
          <xdr:rowOff>123825</xdr:rowOff>
        </xdr:to>
        <xdr:sp macro="" textlink="">
          <xdr:nvSpPr>
            <xdr:cNvPr id="29698" name="Check Box 2" hidden="1">
              <a:extLst>
                <a:ext uri="{63B3BB69-23CF-44E3-9099-C40C66FF867C}">
                  <a14:compatExt spid="_x0000_s296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85725</xdr:colOff>
          <xdr:row>11</xdr:row>
          <xdr:rowOff>76200</xdr:rowOff>
        </xdr:from>
        <xdr:to>
          <xdr:col>31</xdr:col>
          <xdr:colOff>180975</xdr:colOff>
          <xdr:row>12</xdr:row>
          <xdr:rowOff>123825</xdr:rowOff>
        </xdr:to>
        <xdr:sp macro="" textlink="">
          <xdr:nvSpPr>
            <xdr:cNvPr id="29699" name="Check Box 3" hidden="1">
              <a:extLst>
                <a:ext uri="{63B3BB69-23CF-44E3-9099-C40C66FF867C}">
                  <a14:compatExt spid="_x0000_s296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85725</xdr:colOff>
          <xdr:row>3</xdr:row>
          <xdr:rowOff>76200</xdr:rowOff>
        </xdr:from>
        <xdr:to>
          <xdr:col>6</xdr:col>
          <xdr:colOff>180975</xdr:colOff>
          <xdr:row>4</xdr:row>
          <xdr:rowOff>123825</xdr:rowOff>
        </xdr:to>
        <xdr:sp macro="" textlink="">
          <xdr:nvSpPr>
            <xdr:cNvPr id="29700" name="Check Box 4" hidden="1">
              <a:extLst>
                <a:ext uri="{63B3BB69-23CF-44E3-9099-C40C66FF867C}">
                  <a14:compatExt spid="_x0000_s297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85725</xdr:colOff>
          <xdr:row>3</xdr:row>
          <xdr:rowOff>76200</xdr:rowOff>
        </xdr:from>
        <xdr:to>
          <xdr:col>13</xdr:col>
          <xdr:colOff>180975</xdr:colOff>
          <xdr:row>4</xdr:row>
          <xdr:rowOff>123825</xdr:rowOff>
        </xdr:to>
        <xdr:sp macro="" textlink="">
          <xdr:nvSpPr>
            <xdr:cNvPr id="29701" name="Check Box 5" hidden="1">
              <a:extLst>
                <a:ext uri="{63B3BB69-23CF-44E3-9099-C40C66FF867C}">
                  <a14:compatExt spid="_x0000_s297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85725</xdr:colOff>
          <xdr:row>3</xdr:row>
          <xdr:rowOff>76200</xdr:rowOff>
        </xdr:from>
        <xdr:to>
          <xdr:col>20</xdr:col>
          <xdr:colOff>180975</xdr:colOff>
          <xdr:row>4</xdr:row>
          <xdr:rowOff>123825</xdr:rowOff>
        </xdr:to>
        <xdr:sp macro="" textlink="">
          <xdr:nvSpPr>
            <xdr:cNvPr id="29702" name="Check Box 6" hidden="1">
              <a:extLst>
                <a:ext uri="{63B3BB69-23CF-44E3-9099-C40C66FF867C}">
                  <a14:compatExt spid="_x0000_s297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85725</xdr:colOff>
          <xdr:row>3</xdr:row>
          <xdr:rowOff>76200</xdr:rowOff>
        </xdr:from>
        <xdr:to>
          <xdr:col>27</xdr:col>
          <xdr:colOff>180975</xdr:colOff>
          <xdr:row>4</xdr:row>
          <xdr:rowOff>123825</xdr:rowOff>
        </xdr:to>
        <xdr:sp macro="" textlink="">
          <xdr:nvSpPr>
            <xdr:cNvPr id="29703" name="Check Box 7" hidden="1">
              <a:extLst>
                <a:ext uri="{63B3BB69-23CF-44E3-9099-C40C66FF867C}">
                  <a14:compatExt spid="_x0000_s297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85725</xdr:colOff>
          <xdr:row>3</xdr:row>
          <xdr:rowOff>76200</xdr:rowOff>
        </xdr:from>
        <xdr:to>
          <xdr:col>34</xdr:col>
          <xdr:colOff>180975</xdr:colOff>
          <xdr:row>4</xdr:row>
          <xdr:rowOff>123825</xdr:rowOff>
        </xdr:to>
        <xdr:sp macro="" textlink="">
          <xdr:nvSpPr>
            <xdr:cNvPr id="29704" name="Check Box 8" hidden="1">
              <a:extLst>
                <a:ext uri="{63B3BB69-23CF-44E3-9099-C40C66FF867C}">
                  <a14:compatExt spid="_x0000_s297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85725</xdr:colOff>
          <xdr:row>3</xdr:row>
          <xdr:rowOff>76200</xdr:rowOff>
        </xdr:from>
        <xdr:to>
          <xdr:col>41</xdr:col>
          <xdr:colOff>180975</xdr:colOff>
          <xdr:row>4</xdr:row>
          <xdr:rowOff>123825</xdr:rowOff>
        </xdr:to>
        <xdr:sp macro="" textlink="">
          <xdr:nvSpPr>
            <xdr:cNvPr id="29705" name="Check Box 9" hidden="1">
              <a:extLst>
                <a:ext uri="{63B3BB69-23CF-44E3-9099-C40C66FF867C}">
                  <a14:compatExt spid="_x0000_s297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GR%20Quote_Invoice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Quote Request"/>
      <sheetName val="Quote"/>
      <sheetName val="Invoice"/>
      <sheetName val="Invoice to Date"/>
      <sheetName val="Calculations"/>
    </sheetNames>
    <sheetDataSet>
      <sheetData sheetId="0"/>
      <sheetData sheetId="1"/>
      <sheetData sheetId="2" refreshError="1"/>
      <sheetData sheetId="3" refreshError="1"/>
      <sheetData sheetId="4">
        <row r="12">
          <cell r="F12">
            <v>0</v>
          </cell>
        </row>
        <row r="16">
          <cell r="F16">
            <v>0</v>
          </cell>
        </row>
        <row r="19">
          <cell r="B19" t="b">
            <v>0</v>
          </cell>
        </row>
        <row r="22">
          <cell r="B22">
            <v>0</v>
          </cell>
        </row>
        <row r="26">
          <cell r="C26">
            <v>3</v>
          </cell>
          <cell r="D26">
            <v>2</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3" Type="http://schemas.openxmlformats.org/officeDocument/2006/relationships/drawing" Target="../drawings/drawing1.xml"/><Relationship Id="rId7" Type="http://schemas.openxmlformats.org/officeDocument/2006/relationships/ctrlProp" Target="../ctrlProps/ctrlProp3.xml"/><Relationship Id="rId12" Type="http://schemas.openxmlformats.org/officeDocument/2006/relationships/ctrlProp" Target="../ctrlProps/ctrlProp8.xml"/><Relationship Id="rId2" Type="http://schemas.openxmlformats.org/officeDocument/2006/relationships/printerSettings" Target="../printerSettings/printerSettings1.bin"/><Relationship Id="rId1" Type="http://schemas.openxmlformats.org/officeDocument/2006/relationships/hyperlink" Target="file:///\\W15LAN12\Graphics\1Customers\T\Tillamook\Tillamook_PO20626\working\Customer%20PDF_PO20626\18%20Black%20Pepper%20Steak%20Cuts%203oz.pdf" TargetMode="Externa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ctrlProp" Target="../ctrlProps/ctrlProp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5.xml"/><Relationship Id="rId13" Type="http://schemas.openxmlformats.org/officeDocument/2006/relationships/ctrlProp" Target="../ctrlProps/ctrlProp20.xml"/><Relationship Id="rId18" Type="http://schemas.openxmlformats.org/officeDocument/2006/relationships/ctrlProp" Target="../ctrlProps/ctrlProp25.xml"/><Relationship Id="rId3" Type="http://schemas.openxmlformats.org/officeDocument/2006/relationships/ctrlProp" Target="../ctrlProps/ctrlProp10.xml"/><Relationship Id="rId21" Type="http://schemas.openxmlformats.org/officeDocument/2006/relationships/ctrlProp" Target="../ctrlProps/ctrlProp28.xml"/><Relationship Id="rId7" Type="http://schemas.openxmlformats.org/officeDocument/2006/relationships/ctrlProp" Target="../ctrlProps/ctrlProp14.xml"/><Relationship Id="rId12" Type="http://schemas.openxmlformats.org/officeDocument/2006/relationships/ctrlProp" Target="../ctrlProps/ctrlProp19.xml"/><Relationship Id="rId17" Type="http://schemas.openxmlformats.org/officeDocument/2006/relationships/ctrlProp" Target="../ctrlProps/ctrlProp24.xml"/><Relationship Id="rId2" Type="http://schemas.openxmlformats.org/officeDocument/2006/relationships/vmlDrawing" Target="../drawings/vmlDrawing2.vml"/><Relationship Id="rId16" Type="http://schemas.openxmlformats.org/officeDocument/2006/relationships/ctrlProp" Target="../ctrlProps/ctrlProp23.xml"/><Relationship Id="rId20" Type="http://schemas.openxmlformats.org/officeDocument/2006/relationships/ctrlProp" Target="../ctrlProps/ctrlProp27.xml"/><Relationship Id="rId1" Type="http://schemas.openxmlformats.org/officeDocument/2006/relationships/drawing" Target="../drawings/drawing2.xml"/><Relationship Id="rId6" Type="http://schemas.openxmlformats.org/officeDocument/2006/relationships/ctrlProp" Target="../ctrlProps/ctrlProp13.xml"/><Relationship Id="rId11" Type="http://schemas.openxmlformats.org/officeDocument/2006/relationships/ctrlProp" Target="../ctrlProps/ctrlProp18.xml"/><Relationship Id="rId24" Type="http://schemas.openxmlformats.org/officeDocument/2006/relationships/comments" Target="../comments1.xml"/><Relationship Id="rId5" Type="http://schemas.openxmlformats.org/officeDocument/2006/relationships/ctrlProp" Target="../ctrlProps/ctrlProp12.xml"/><Relationship Id="rId15" Type="http://schemas.openxmlformats.org/officeDocument/2006/relationships/ctrlProp" Target="../ctrlProps/ctrlProp22.xml"/><Relationship Id="rId23" Type="http://schemas.openxmlformats.org/officeDocument/2006/relationships/ctrlProp" Target="../ctrlProps/ctrlProp30.xml"/><Relationship Id="rId10" Type="http://schemas.openxmlformats.org/officeDocument/2006/relationships/ctrlProp" Target="../ctrlProps/ctrlProp17.xml"/><Relationship Id="rId19" Type="http://schemas.openxmlformats.org/officeDocument/2006/relationships/ctrlProp" Target="../ctrlProps/ctrlProp26.xml"/><Relationship Id="rId4" Type="http://schemas.openxmlformats.org/officeDocument/2006/relationships/ctrlProp" Target="../ctrlProps/ctrlProp11.xml"/><Relationship Id="rId9" Type="http://schemas.openxmlformats.org/officeDocument/2006/relationships/ctrlProp" Target="../ctrlProps/ctrlProp16.xml"/><Relationship Id="rId14" Type="http://schemas.openxmlformats.org/officeDocument/2006/relationships/ctrlProp" Target="../ctrlProps/ctrlProp21.xml"/><Relationship Id="rId22" Type="http://schemas.openxmlformats.org/officeDocument/2006/relationships/ctrlProp" Target="../ctrlProps/ctrlProp29.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2.bin"/><Relationship Id="rId6" Type="http://schemas.openxmlformats.org/officeDocument/2006/relationships/ctrlProp" Target="../ctrlProps/ctrlProp33.xml"/><Relationship Id="rId5" Type="http://schemas.openxmlformats.org/officeDocument/2006/relationships/ctrlProp" Target="../ctrlProps/ctrlProp32.xml"/><Relationship Id="rId4" Type="http://schemas.openxmlformats.org/officeDocument/2006/relationships/ctrlProp" Target="../ctrlProps/ctrlProp31.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38.xml"/><Relationship Id="rId13" Type="http://schemas.openxmlformats.org/officeDocument/2006/relationships/ctrlProp" Target="../ctrlProps/ctrlProp43.xml"/><Relationship Id="rId3" Type="http://schemas.openxmlformats.org/officeDocument/2006/relationships/vmlDrawing" Target="../drawings/vmlDrawing4.vml"/><Relationship Id="rId7" Type="http://schemas.openxmlformats.org/officeDocument/2006/relationships/ctrlProp" Target="../ctrlProps/ctrlProp37.xml"/><Relationship Id="rId12" Type="http://schemas.openxmlformats.org/officeDocument/2006/relationships/ctrlProp" Target="../ctrlProps/ctrlProp42.xml"/><Relationship Id="rId2" Type="http://schemas.openxmlformats.org/officeDocument/2006/relationships/drawing" Target="../drawings/drawing5.xml"/><Relationship Id="rId16" Type="http://schemas.openxmlformats.org/officeDocument/2006/relationships/ctrlProp" Target="../ctrlProps/ctrlProp46.xml"/><Relationship Id="rId1" Type="http://schemas.openxmlformats.org/officeDocument/2006/relationships/printerSettings" Target="../printerSettings/printerSettings3.bin"/><Relationship Id="rId6" Type="http://schemas.openxmlformats.org/officeDocument/2006/relationships/ctrlProp" Target="../ctrlProps/ctrlProp36.xml"/><Relationship Id="rId11" Type="http://schemas.openxmlformats.org/officeDocument/2006/relationships/ctrlProp" Target="../ctrlProps/ctrlProp41.xml"/><Relationship Id="rId5" Type="http://schemas.openxmlformats.org/officeDocument/2006/relationships/ctrlProp" Target="../ctrlProps/ctrlProp35.xml"/><Relationship Id="rId15" Type="http://schemas.openxmlformats.org/officeDocument/2006/relationships/ctrlProp" Target="../ctrlProps/ctrlProp45.xml"/><Relationship Id="rId10" Type="http://schemas.openxmlformats.org/officeDocument/2006/relationships/ctrlProp" Target="../ctrlProps/ctrlProp40.xml"/><Relationship Id="rId4" Type="http://schemas.openxmlformats.org/officeDocument/2006/relationships/ctrlProp" Target="../ctrlProps/ctrlProp34.xml"/><Relationship Id="rId9" Type="http://schemas.openxmlformats.org/officeDocument/2006/relationships/ctrlProp" Target="../ctrlProps/ctrlProp39.xml"/><Relationship Id="rId14" Type="http://schemas.openxmlformats.org/officeDocument/2006/relationships/ctrlProp" Target="../ctrlProps/ctrlProp4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file:///\\W15LAN12\Graphics\1Customers\T\Tillamook\Tillamook_PO20626\working\PO20626_Item%2018\Normalized%20PDF\18%20Black%20Pepper_SR_Dist.pdf" TargetMode="External"/><Relationship Id="rId1" Type="http://schemas.openxmlformats.org/officeDocument/2006/relationships/hyperlink" Target="file:///\\W15LAN12\Graphics\1Customers\T\Tillamook\Tillamook_PO20626\working\Customer%20PDF_PO20626\18%20Black%20Pepper%20Steak%20Cuts%203oz.pdf" TargetMode="External"/><Relationship Id="rId4"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51.xml"/><Relationship Id="rId3" Type="http://schemas.openxmlformats.org/officeDocument/2006/relationships/vmlDrawing" Target="../drawings/vmlDrawing5.vml"/><Relationship Id="rId7" Type="http://schemas.openxmlformats.org/officeDocument/2006/relationships/ctrlProp" Target="../ctrlProps/ctrlProp50.xml"/><Relationship Id="rId2" Type="http://schemas.openxmlformats.org/officeDocument/2006/relationships/drawing" Target="../drawings/drawing9.xml"/><Relationship Id="rId1" Type="http://schemas.openxmlformats.org/officeDocument/2006/relationships/printerSettings" Target="../printerSettings/printerSettings7.bin"/><Relationship Id="rId6" Type="http://schemas.openxmlformats.org/officeDocument/2006/relationships/ctrlProp" Target="../ctrlProps/ctrlProp49.xml"/><Relationship Id="rId11" Type="http://schemas.openxmlformats.org/officeDocument/2006/relationships/ctrlProp" Target="../ctrlProps/ctrlProp54.xml"/><Relationship Id="rId5" Type="http://schemas.openxmlformats.org/officeDocument/2006/relationships/ctrlProp" Target="../ctrlProps/ctrlProp48.xml"/><Relationship Id="rId10" Type="http://schemas.openxmlformats.org/officeDocument/2006/relationships/ctrlProp" Target="../ctrlProps/ctrlProp53.xml"/><Relationship Id="rId4" Type="http://schemas.openxmlformats.org/officeDocument/2006/relationships/ctrlProp" Target="../ctrlProps/ctrlProp47.xml"/><Relationship Id="rId9" Type="http://schemas.openxmlformats.org/officeDocument/2006/relationships/ctrlProp" Target="../ctrlProps/ctrlProp5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9"/>
    <pageSetUpPr fitToPage="1"/>
  </sheetPr>
  <dimension ref="A1:AD50"/>
  <sheetViews>
    <sheetView showGridLines="0" tabSelected="1" view="pageBreakPreview" zoomScale="115" zoomScaleNormal="100" zoomScaleSheetLayoutView="115" workbookViewId="0">
      <selection activeCell="L20" sqref="L20"/>
    </sheetView>
  </sheetViews>
  <sheetFormatPr defaultRowHeight="20.25"/>
  <cols>
    <col min="1" max="1" width="1.28515625" style="324" customWidth="1"/>
    <col min="2" max="2" width="17.7109375" style="324" customWidth="1"/>
    <col min="3" max="3" width="5.140625" style="324" customWidth="1"/>
    <col min="4" max="4" width="6.42578125" style="324" customWidth="1"/>
    <col min="5" max="5" width="6.28515625" style="324" customWidth="1"/>
    <col min="6" max="6" width="6.7109375" style="324" customWidth="1"/>
    <col min="7" max="7" width="13.42578125" style="324" customWidth="1"/>
    <col min="8" max="8" width="8" style="324" customWidth="1"/>
    <col min="9" max="9" width="7.140625" style="324" customWidth="1"/>
    <col min="10" max="10" width="6.85546875" style="324" customWidth="1"/>
    <col min="11" max="11" width="9.140625" style="324"/>
    <col min="12" max="12" width="14.42578125" style="324" bestFit="1" customWidth="1"/>
    <col min="13" max="13" width="6.42578125" style="324" customWidth="1"/>
    <col min="14" max="14" width="4.85546875" style="324" bestFit="1" customWidth="1"/>
    <col min="15" max="15" width="4.85546875" style="324" customWidth="1"/>
    <col min="16" max="16" width="3.7109375" style="324" bestFit="1" customWidth="1"/>
    <col min="17" max="17" width="1.28515625" style="324" customWidth="1"/>
    <col min="18" max="256" width="9.140625" style="324"/>
    <col min="257" max="257" width="1.28515625" style="324" customWidth="1"/>
    <col min="258" max="258" width="17.7109375" style="324" customWidth="1"/>
    <col min="259" max="259" width="5.140625" style="324" customWidth="1"/>
    <col min="260" max="260" width="6.42578125" style="324" customWidth="1"/>
    <col min="261" max="261" width="6.28515625" style="324" customWidth="1"/>
    <col min="262" max="262" width="6.7109375" style="324" customWidth="1"/>
    <col min="263" max="263" width="13.42578125" style="324" customWidth="1"/>
    <col min="264" max="264" width="8" style="324" customWidth="1"/>
    <col min="265" max="265" width="7.140625" style="324" customWidth="1"/>
    <col min="266" max="266" width="6.85546875" style="324" customWidth="1"/>
    <col min="267" max="267" width="9.140625" style="324"/>
    <col min="268" max="268" width="14.42578125" style="324" bestFit="1" customWidth="1"/>
    <col min="269" max="269" width="6.42578125" style="324" customWidth="1"/>
    <col min="270" max="270" width="4.85546875" style="324" bestFit="1" customWidth="1"/>
    <col min="271" max="271" width="4.85546875" style="324" customWidth="1"/>
    <col min="272" max="272" width="3.7109375" style="324" bestFit="1" customWidth="1"/>
    <col min="273" max="273" width="1.28515625" style="324" customWidth="1"/>
    <col min="274" max="512" width="9.140625" style="324"/>
    <col min="513" max="513" width="1.28515625" style="324" customWidth="1"/>
    <col min="514" max="514" width="17.7109375" style="324" customWidth="1"/>
    <col min="515" max="515" width="5.140625" style="324" customWidth="1"/>
    <col min="516" max="516" width="6.42578125" style="324" customWidth="1"/>
    <col min="517" max="517" width="6.28515625" style="324" customWidth="1"/>
    <col min="518" max="518" width="6.7109375" style="324" customWidth="1"/>
    <col min="519" max="519" width="13.42578125" style="324" customWidth="1"/>
    <col min="520" max="520" width="8" style="324" customWidth="1"/>
    <col min="521" max="521" width="7.140625" style="324" customWidth="1"/>
    <col min="522" max="522" width="6.85546875" style="324" customWidth="1"/>
    <col min="523" max="523" width="9.140625" style="324"/>
    <col min="524" max="524" width="14.42578125" style="324" bestFit="1" customWidth="1"/>
    <col min="525" max="525" width="6.42578125" style="324" customWidth="1"/>
    <col min="526" max="526" width="4.85546875" style="324" bestFit="1" customWidth="1"/>
    <col min="527" max="527" width="4.85546875" style="324" customWidth="1"/>
    <col min="528" max="528" width="3.7109375" style="324" bestFit="1" customWidth="1"/>
    <col min="529" max="529" width="1.28515625" style="324" customWidth="1"/>
    <col min="530" max="768" width="9.140625" style="324"/>
    <col min="769" max="769" width="1.28515625" style="324" customWidth="1"/>
    <col min="770" max="770" width="17.7109375" style="324" customWidth="1"/>
    <col min="771" max="771" width="5.140625" style="324" customWidth="1"/>
    <col min="772" max="772" width="6.42578125" style="324" customWidth="1"/>
    <col min="773" max="773" width="6.28515625" style="324" customWidth="1"/>
    <col min="774" max="774" width="6.7109375" style="324" customWidth="1"/>
    <col min="775" max="775" width="13.42578125" style="324" customWidth="1"/>
    <col min="776" max="776" width="8" style="324" customWidth="1"/>
    <col min="777" max="777" width="7.140625" style="324" customWidth="1"/>
    <col min="778" max="778" width="6.85546875" style="324" customWidth="1"/>
    <col min="779" max="779" width="9.140625" style="324"/>
    <col min="780" max="780" width="14.42578125" style="324" bestFit="1" customWidth="1"/>
    <col min="781" max="781" width="6.42578125" style="324" customWidth="1"/>
    <col min="782" max="782" width="4.85546875" style="324" bestFit="1" customWidth="1"/>
    <col min="783" max="783" width="4.85546875" style="324" customWidth="1"/>
    <col min="784" max="784" width="3.7109375" style="324" bestFit="1" customWidth="1"/>
    <col min="785" max="785" width="1.28515625" style="324" customWidth="1"/>
    <col min="786" max="1024" width="9.140625" style="324"/>
    <col min="1025" max="1025" width="1.28515625" style="324" customWidth="1"/>
    <col min="1026" max="1026" width="17.7109375" style="324" customWidth="1"/>
    <col min="1027" max="1027" width="5.140625" style="324" customWidth="1"/>
    <col min="1028" max="1028" width="6.42578125" style="324" customWidth="1"/>
    <col min="1029" max="1029" width="6.28515625" style="324" customWidth="1"/>
    <col min="1030" max="1030" width="6.7109375" style="324" customWidth="1"/>
    <col min="1031" max="1031" width="13.42578125" style="324" customWidth="1"/>
    <col min="1032" max="1032" width="8" style="324" customWidth="1"/>
    <col min="1033" max="1033" width="7.140625" style="324" customWidth="1"/>
    <col min="1034" max="1034" width="6.85546875" style="324" customWidth="1"/>
    <col min="1035" max="1035" width="9.140625" style="324"/>
    <col min="1036" max="1036" width="14.42578125" style="324" bestFit="1" customWidth="1"/>
    <col min="1037" max="1037" width="6.42578125" style="324" customWidth="1"/>
    <col min="1038" max="1038" width="4.85546875" style="324" bestFit="1" customWidth="1"/>
    <col min="1039" max="1039" width="4.85546875" style="324" customWidth="1"/>
    <col min="1040" max="1040" width="3.7109375" style="324" bestFit="1" customWidth="1"/>
    <col min="1041" max="1041" width="1.28515625" style="324" customWidth="1"/>
    <col min="1042" max="1280" width="9.140625" style="324"/>
    <col min="1281" max="1281" width="1.28515625" style="324" customWidth="1"/>
    <col min="1282" max="1282" width="17.7109375" style="324" customWidth="1"/>
    <col min="1283" max="1283" width="5.140625" style="324" customWidth="1"/>
    <col min="1284" max="1284" width="6.42578125" style="324" customWidth="1"/>
    <col min="1285" max="1285" width="6.28515625" style="324" customWidth="1"/>
    <col min="1286" max="1286" width="6.7109375" style="324" customWidth="1"/>
    <col min="1287" max="1287" width="13.42578125" style="324" customWidth="1"/>
    <col min="1288" max="1288" width="8" style="324" customWidth="1"/>
    <col min="1289" max="1289" width="7.140625" style="324" customWidth="1"/>
    <col min="1290" max="1290" width="6.85546875" style="324" customWidth="1"/>
    <col min="1291" max="1291" width="9.140625" style="324"/>
    <col min="1292" max="1292" width="14.42578125" style="324" bestFit="1" customWidth="1"/>
    <col min="1293" max="1293" width="6.42578125" style="324" customWidth="1"/>
    <col min="1294" max="1294" width="4.85546875" style="324" bestFit="1" customWidth="1"/>
    <col min="1295" max="1295" width="4.85546875" style="324" customWidth="1"/>
    <col min="1296" max="1296" width="3.7109375" style="324" bestFit="1" customWidth="1"/>
    <col min="1297" max="1297" width="1.28515625" style="324" customWidth="1"/>
    <col min="1298" max="1536" width="9.140625" style="324"/>
    <col min="1537" max="1537" width="1.28515625" style="324" customWidth="1"/>
    <col min="1538" max="1538" width="17.7109375" style="324" customWidth="1"/>
    <col min="1539" max="1539" width="5.140625" style="324" customWidth="1"/>
    <col min="1540" max="1540" width="6.42578125" style="324" customWidth="1"/>
    <col min="1541" max="1541" width="6.28515625" style="324" customWidth="1"/>
    <col min="1542" max="1542" width="6.7109375" style="324" customWidth="1"/>
    <col min="1543" max="1543" width="13.42578125" style="324" customWidth="1"/>
    <col min="1544" max="1544" width="8" style="324" customWidth="1"/>
    <col min="1545" max="1545" width="7.140625" style="324" customWidth="1"/>
    <col min="1546" max="1546" width="6.85546875" style="324" customWidth="1"/>
    <col min="1547" max="1547" width="9.140625" style="324"/>
    <col min="1548" max="1548" width="14.42578125" style="324" bestFit="1" customWidth="1"/>
    <col min="1549" max="1549" width="6.42578125" style="324" customWidth="1"/>
    <col min="1550" max="1550" width="4.85546875" style="324" bestFit="1" customWidth="1"/>
    <col min="1551" max="1551" width="4.85546875" style="324" customWidth="1"/>
    <col min="1552" max="1552" width="3.7109375" style="324" bestFit="1" customWidth="1"/>
    <col min="1553" max="1553" width="1.28515625" style="324" customWidth="1"/>
    <col min="1554" max="1792" width="9.140625" style="324"/>
    <col min="1793" max="1793" width="1.28515625" style="324" customWidth="1"/>
    <col min="1794" max="1794" width="17.7109375" style="324" customWidth="1"/>
    <col min="1795" max="1795" width="5.140625" style="324" customWidth="1"/>
    <col min="1796" max="1796" width="6.42578125" style="324" customWidth="1"/>
    <col min="1797" max="1797" width="6.28515625" style="324" customWidth="1"/>
    <col min="1798" max="1798" width="6.7109375" style="324" customWidth="1"/>
    <col min="1799" max="1799" width="13.42578125" style="324" customWidth="1"/>
    <col min="1800" max="1800" width="8" style="324" customWidth="1"/>
    <col min="1801" max="1801" width="7.140625" style="324" customWidth="1"/>
    <col min="1802" max="1802" width="6.85546875" style="324" customWidth="1"/>
    <col min="1803" max="1803" width="9.140625" style="324"/>
    <col min="1804" max="1804" width="14.42578125" style="324" bestFit="1" customWidth="1"/>
    <col min="1805" max="1805" width="6.42578125" style="324" customWidth="1"/>
    <col min="1806" max="1806" width="4.85546875" style="324" bestFit="1" customWidth="1"/>
    <col min="1807" max="1807" width="4.85546875" style="324" customWidth="1"/>
    <col min="1808" max="1808" width="3.7109375" style="324" bestFit="1" customWidth="1"/>
    <col min="1809" max="1809" width="1.28515625" style="324" customWidth="1"/>
    <col min="1810" max="2048" width="9.140625" style="324"/>
    <col min="2049" max="2049" width="1.28515625" style="324" customWidth="1"/>
    <col min="2050" max="2050" width="17.7109375" style="324" customWidth="1"/>
    <col min="2051" max="2051" width="5.140625" style="324" customWidth="1"/>
    <col min="2052" max="2052" width="6.42578125" style="324" customWidth="1"/>
    <col min="2053" max="2053" width="6.28515625" style="324" customWidth="1"/>
    <col min="2054" max="2054" width="6.7109375" style="324" customWidth="1"/>
    <col min="2055" max="2055" width="13.42578125" style="324" customWidth="1"/>
    <col min="2056" max="2056" width="8" style="324" customWidth="1"/>
    <col min="2057" max="2057" width="7.140625" style="324" customWidth="1"/>
    <col min="2058" max="2058" width="6.85546875" style="324" customWidth="1"/>
    <col min="2059" max="2059" width="9.140625" style="324"/>
    <col min="2060" max="2060" width="14.42578125" style="324" bestFit="1" customWidth="1"/>
    <col min="2061" max="2061" width="6.42578125" style="324" customWidth="1"/>
    <col min="2062" max="2062" width="4.85546875" style="324" bestFit="1" customWidth="1"/>
    <col min="2063" max="2063" width="4.85546875" style="324" customWidth="1"/>
    <col min="2064" max="2064" width="3.7109375" style="324" bestFit="1" customWidth="1"/>
    <col min="2065" max="2065" width="1.28515625" style="324" customWidth="1"/>
    <col min="2066" max="2304" width="9.140625" style="324"/>
    <col min="2305" max="2305" width="1.28515625" style="324" customWidth="1"/>
    <col min="2306" max="2306" width="17.7109375" style="324" customWidth="1"/>
    <col min="2307" max="2307" width="5.140625" style="324" customWidth="1"/>
    <col min="2308" max="2308" width="6.42578125" style="324" customWidth="1"/>
    <col min="2309" max="2309" width="6.28515625" style="324" customWidth="1"/>
    <col min="2310" max="2310" width="6.7109375" style="324" customWidth="1"/>
    <col min="2311" max="2311" width="13.42578125" style="324" customWidth="1"/>
    <col min="2312" max="2312" width="8" style="324" customWidth="1"/>
    <col min="2313" max="2313" width="7.140625" style="324" customWidth="1"/>
    <col min="2314" max="2314" width="6.85546875" style="324" customWidth="1"/>
    <col min="2315" max="2315" width="9.140625" style="324"/>
    <col min="2316" max="2316" width="14.42578125" style="324" bestFit="1" customWidth="1"/>
    <col min="2317" max="2317" width="6.42578125" style="324" customWidth="1"/>
    <col min="2318" max="2318" width="4.85546875" style="324" bestFit="1" customWidth="1"/>
    <col min="2319" max="2319" width="4.85546875" style="324" customWidth="1"/>
    <col min="2320" max="2320" width="3.7109375" style="324" bestFit="1" customWidth="1"/>
    <col min="2321" max="2321" width="1.28515625" style="324" customWidth="1"/>
    <col min="2322" max="2560" width="9.140625" style="324"/>
    <col min="2561" max="2561" width="1.28515625" style="324" customWidth="1"/>
    <col min="2562" max="2562" width="17.7109375" style="324" customWidth="1"/>
    <col min="2563" max="2563" width="5.140625" style="324" customWidth="1"/>
    <col min="2564" max="2564" width="6.42578125" style="324" customWidth="1"/>
    <col min="2565" max="2565" width="6.28515625" style="324" customWidth="1"/>
    <col min="2566" max="2566" width="6.7109375" style="324" customWidth="1"/>
    <col min="2567" max="2567" width="13.42578125" style="324" customWidth="1"/>
    <col min="2568" max="2568" width="8" style="324" customWidth="1"/>
    <col min="2569" max="2569" width="7.140625" style="324" customWidth="1"/>
    <col min="2570" max="2570" width="6.85546875" style="324" customWidth="1"/>
    <col min="2571" max="2571" width="9.140625" style="324"/>
    <col min="2572" max="2572" width="14.42578125" style="324" bestFit="1" customWidth="1"/>
    <col min="2573" max="2573" width="6.42578125" style="324" customWidth="1"/>
    <col min="2574" max="2574" width="4.85546875" style="324" bestFit="1" customWidth="1"/>
    <col min="2575" max="2575" width="4.85546875" style="324" customWidth="1"/>
    <col min="2576" max="2576" width="3.7109375" style="324" bestFit="1" customWidth="1"/>
    <col min="2577" max="2577" width="1.28515625" style="324" customWidth="1"/>
    <col min="2578" max="2816" width="9.140625" style="324"/>
    <col min="2817" max="2817" width="1.28515625" style="324" customWidth="1"/>
    <col min="2818" max="2818" width="17.7109375" style="324" customWidth="1"/>
    <col min="2819" max="2819" width="5.140625" style="324" customWidth="1"/>
    <col min="2820" max="2820" width="6.42578125" style="324" customWidth="1"/>
    <col min="2821" max="2821" width="6.28515625" style="324" customWidth="1"/>
    <col min="2822" max="2822" width="6.7109375" style="324" customWidth="1"/>
    <col min="2823" max="2823" width="13.42578125" style="324" customWidth="1"/>
    <col min="2824" max="2824" width="8" style="324" customWidth="1"/>
    <col min="2825" max="2825" width="7.140625" style="324" customWidth="1"/>
    <col min="2826" max="2826" width="6.85546875" style="324" customWidth="1"/>
    <col min="2827" max="2827" width="9.140625" style="324"/>
    <col min="2828" max="2828" width="14.42578125" style="324" bestFit="1" customWidth="1"/>
    <col min="2829" max="2829" width="6.42578125" style="324" customWidth="1"/>
    <col min="2830" max="2830" width="4.85546875" style="324" bestFit="1" customWidth="1"/>
    <col min="2831" max="2831" width="4.85546875" style="324" customWidth="1"/>
    <col min="2832" max="2832" width="3.7109375" style="324" bestFit="1" customWidth="1"/>
    <col min="2833" max="2833" width="1.28515625" style="324" customWidth="1"/>
    <col min="2834" max="3072" width="9.140625" style="324"/>
    <col min="3073" max="3073" width="1.28515625" style="324" customWidth="1"/>
    <col min="3074" max="3074" width="17.7109375" style="324" customWidth="1"/>
    <col min="3075" max="3075" width="5.140625" style="324" customWidth="1"/>
    <col min="3076" max="3076" width="6.42578125" style="324" customWidth="1"/>
    <col min="3077" max="3077" width="6.28515625" style="324" customWidth="1"/>
    <col min="3078" max="3078" width="6.7109375" style="324" customWidth="1"/>
    <col min="3079" max="3079" width="13.42578125" style="324" customWidth="1"/>
    <col min="3080" max="3080" width="8" style="324" customWidth="1"/>
    <col min="3081" max="3081" width="7.140625" style="324" customWidth="1"/>
    <col min="3082" max="3082" width="6.85546875" style="324" customWidth="1"/>
    <col min="3083" max="3083" width="9.140625" style="324"/>
    <col min="3084" max="3084" width="14.42578125" style="324" bestFit="1" customWidth="1"/>
    <col min="3085" max="3085" width="6.42578125" style="324" customWidth="1"/>
    <col min="3086" max="3086" width="4.85546875" style="324" bestFit="1" customWidth="1"/>
    <col min="3087" max="3087" width="4.85546875" style="324" customWidth="1"/>
    <col min="3088" max="3088" width="3.7109375" style="324" bestFit="1" customWidth="1"/>
    <col min="3089" max="3089" width="1.28515625" style="324" customWidth="1"/>
    <col min="3090" max="3328" width="9.140625" style="324"/>
    <col min="3329" max="3329" width="1.28515625" style="324" customWidth="1"/>
    <col min="3330" max="3330" width="17.7109375" style="324" customWidth="1"/>
    <col min="3331" max="3331" width="5.140625" style="324" customWidth="1"/>
    <col min="3332" max="3332" width="6.42578125" style="324" customWidth="1"/>
    <col min="3333" max="3333" width="6.28515625" style="324" customWidth="1"/>
    <col min="3334" max="3334" width="6.7109375" style="324" customWidth="1"/>
    <col min="3335" max="3335" width="13.42578125" style="324" customWidth="1"/>
    <col min="3336" max="3336" width="8" style="324" customWidth="1"/>
    <col min="3337" max="3337" width="7.140625" style="324" customWidth="1"/>
    <col min="3338" max="3338" width="6.85546875" style="324" customWidth="1"/>
    <col min="3339" max="3339" width="9.140625" style="324"/>
    <col min="3340" max="3340" width="14.42578125" style="324" bestFit="1" customWidth="1"/>
    <col min="3341" max="3341" width="6.42578125" style="324" customWidth="1"/>
    <col min="3342" max="3342" width="4.85546875" style="324" bestFit="1" customWidth="1"/>
    <col min="3343" max="3343" width="4.85546875" style="324" customWidth="1"/>
    <col min="3344" max="3344" width="3.7109375" style="324" bestFit="1" customWidth="1"/>
    <col min="3345" max="3345" width="1.28515625" style="324" customWidth="1"/>
    <col min="3346" max="3584" width="9.140625" style="324"/>
    <col min="3585" max="3585" width="1.28515625" style="324" customWidth="1"/>
    <col min="3586" max="3586" width="17.7109375" style="324" customWidth="1"/>
    <col min="3587" max="3587" width="5.140625" style="324" customWidth="1"/>
    <col min="3588" max="3588" width="6.42578125" style="324" customWidth="1"/>
    <col min="3589" max="3589" width="6.28515625" style="324" customWidth="1"/>
    <col min="3590" max="3590" width="6.7109375" style="324" customWidth="1"/>
    <col min="3591" max="3591" width="13.42578125" style="324" customWidth="1"/>
    <col min="3592" max="3592" width="8" style="324" customWidth="1"/>
    <col min="3593" max="3593" width="7.140625" style="324" customWidth="1"/>
    <col min="3594" max="3594" width="6.85546875" style="324" customWidth="1"/>
    <col min="3595" max="3595" width="9.140625" style="324"/>
    <col min="3596" max="3596" width="14.42578125" style="324" bestFit="1" customWidth="1"/>
    <col min="3597" max="3597" width="6.42578125" style="324" customWidth="1"/>
    <col min="3598" max="3598" width="4.85546875" style="324" bestFit="1" customWidth="1"/>
    <col min="3599" max="3599" width="4.85546875" style="324" customWidth="1"/>
    <col min="3600" max="3600" width="3.7109375" style="324" bestFit="1" customWidth="1"/>
    <col min="3601" max="3601" width="1.28515625" style="324" customWidth="1"/>
    <col min="3602" max="3840" width="9.140625" style="324"/>
    <col min="3841" max="3841" width="1.28515625" style="324" customWidth="1"/>
    <col min="3842" max="3842" width="17.7109375" style="324" customWidth="1"/>
    <col min="3843" max="3843" width="5.140625" style="324" customWidth="1"/>
    <col min="3844" max="3844" width="6.42578125" style="324" customWidth="1"/>
    <col min="3845" max="3845" width="6.28515625" style="324" customWidth="1"/>
    <col min="3846" max="3846" width="6.7109375" style="324" customWidth="1"/>
    <col min="3847" max="3847" width="13.42578125" style="324" customWidth="1"/>
    <col min="3848" max="3848" width="8" style="324" customWidth="1"/>
    <col min="3849" max="3849" width="7.140625" style="324" customWidth="1"/>
    <col min="3850" max="3850" width="6.85546875" style="324" customWidth="1"/>
    <col min="3851" max="3851" width="9.140625" style="324"/>
    <col min="3852" max="3852" width="14.42578125" style="324" bestFit="1" customWidth="1"/>
    <col min="3853" max="3853" width="6.42578125" style="324" customWidth="1"/>
    <col min="3854" max="3854" width="4.85546875" style="324" bestFit="1" customWidth="1"/>
    <col min="3855" max="3855" width="4.85546875" style="324" customWidth="1"/>
    <col min="3856" max="3856" width="3.7109375" style="324" bestFit="1" customWidth="1"/>
    <col min="3857" max="3857" width="1.28515625" style="324" customWidth="1"/>
    <col min="3858" max="4096" width="9.140625" style="324"/>
    <col min="4097" max="4097" width="1.28515625" style="324" customWidth="1"/>
    <col min="4098" max="4098" width="17.7109375" style="324" customWidth="1"/>
    <col min="4099" max="4099" width="5.140625" style="324" customWidth="1"/>
    <col min="4100" max="4100" width="6.42578125" style="324" customWidth="1"/>
    <col min="4101" max="4101" width="6.28515625" style="324" customWidth="1"/>
    <col min="4102" max="4102" width="6.7109375" style="324" customWidth="1"/>
    <col min="4103" max="4103" width="13.42578125" style="324" customWidth="1"/>
    <col min="4104" max="4104" width="8" style="324" customWidth="1"/>
    <col min="4105" max="4105" width="7.140625" style="324" customWidth="1"/>
    <col min="4106" max="4106" width="6.85546875" style="324" customWidth="1"/>
    <col min="4107" max="4107" width="9.140625" style="324"/>
    <col min="4108" max="4108" width="14.42578125" style="324" bestFit="1" customWidth="1"/>
    <col min="4109" max="4109" width="6.42578125" style="324" customWidth="1"/>
    <col min="4110" max="4110" width="4.85546875" style="324" bestFit="1" customWidth="1"/>
    <col min="4111" max="4111" width="4.85546875" style="324" customWidth="1"/>
    <col min="4112" max="4112" width="3.7109375" style="324" bestFit="1" customWidth="1"/>
    <col min="4113" max="4113" width="1.28515625" style="324" customWidth="1"/>
    <col min="4114" max="4352" width="9.140625" style="324"/>
    <col min="4353" max="4353" width="1.28515625" style="324" customWidth="1"/>
    <col min="4354" max="4354" width="17.7109375" style="324" customWidth="1"/>
    <col min="4355" max="4355" width="5.140625" style="324" customWidth="1"/>
    <col min="4356" max="4356" width="6.42578125" style="324" customWidth="1"/>
    <col min="4357" max="4357" width="6.28515625" style="324" customWidth="1"/>
    <col min="4358" max="4358" width="6.7109375" style="324" customWidth="1"/>
    <col min="4359" max="4359" width="13.42578125" style="324" customWidth="1"/>
    <col min="4360" max="4360" width="8" style="324" customWidth="1"/>
    <col min="4361" max="4361" width="7.140625" style="324" customWidth="1"/>
    <col min="4362" max="4362" width="6.85546875" style="324" customWidth="1"/>
    <col min="4363" max="4363" width="9.140625" style="324"/>
    <col min="4364" max="4364" width="14.42578125" style="324" bestFit="1" customWidth="1"/>
    <col min="4365" max="4365" width="6.42578125" style="324" customWidth="1"/>
    <col min="4366" max="4366" width="4.85546875" style="324" bestFit="1" customWidth="1"/>
    <col min="4367" max="4367" width="4.85546875" style="324" customWidth="1"/>
    <col min="4368" max="4368" width="3.7109375" style="324" bestFit="1" customWidth="1"/>
    <col min="4369" max="4369" width="1.28515625" style="324" customWidth="1"/>
    <col min="4370" max="4608" width="9.140625" style="324"/>
    <col min="4609" max="4609" width="1.28515625" style="324" customWidth="1"/>
    <col min="4610" max="4610" width="17.7109375" style="324" customWidth="1"/>
    <col min="4611" max="4611" width="5.140625" style="324" customWidth="1"/>
    <col min="4612" max="4612" width="6.42578125" style="324" customWidth="1"/>
    <col min="4613" max="4613" width="6.28515625" style="324" customWidth="1"/>
    <col min="4614" max="4614" width="6.7109375" style="324" customWidth="1"/>
    <col min="4615" max="4615" width="13.42578125" style="324" customWidth="1"/>
    <col min="4616" max="4616" width="8" style="324" customWidth="1"/>
    <col min="4617" max="4617" width="7.140625" style="324" customWidth="1"/>
    <col min="4618" max="4618" width="6.85546875" style="324" customWidth="1"/>
    <col min="4619" max="4619" width="9.140625" style="324"/>
    <col min="4620" max="4620" width="14.42578125" style="324" bestFit="1" customWidth="1"/>
    <col min="4621" max="4621" width="6.42578125" style="324" customWidth="1"/>
    <col min="4622" max="4622" width="4.85546875" style="324" bestFit="1" customWidth="1"/>
    <col min="4623" max="4623" width="4.85546875" style="324" customWidth="1"/>
    <col min="4624" max="4624" width="3.7109375" style="324" bestFit="1" customWidth="1"/>
    <col min="4625" max="4625" width="1.28515625" style="324" customWidth="1"/>
    <col min="4626" max="4864" width="9.140625" style="324"/>
    <col min="4865" max="4865" width="1.28515625" style="324" customWidth="1"/>
    <col min="4866" max="4866" width="17.7109375" style="324" customWidth="1"/>
    <col min="4867" max="4867" width="5.140625" style="324" customWidth="1"/>
    <col min="4868" max="4868" width="6.42578125" style="324" customWidth="1"/>
    <col min="4869" max="4869" width="6.28515625" style="324" customWidth="1"/>
    <col min="4870" max="4870" width="6.7109375" style="324" customWidth="1"/>
    <col min="4871" max="4871" width="13.42578125" style="324" customWidth="1"/>
    <col min="4872" max="4872" width="8" style="324" customWidth="1"/>
    <col min="4873" max="4873" width="7.140625" style="324" customWidth="1"/>
    <col min="4874" max="4874" width="6.85546875" style="324" customWidth="1"/>
    <col min="4875" max="4875" width="9.140625" style="324"/>
    <col min="4876" max="4876" width="14.42578125" style="324" bestFit="1" customWidth="1"/>
    <col min="4877" max="4877" width="6.42578125" style="324" customWidth="1"/>
    <col min="4878" max="4878" width="4.85546875" style="324" bestFit="1" customWidth="1"/>
    <col min="4879" max="4879" width="4.85546875" style="324" customWidth="1"/>
    <col min="4880" max="4880" width="3.7109375" style="324" bestFit="1" customWidth="1"/>
    <col min="4881" max="4881" width="1.28515625" style="324" customWidth="1"/>
    <col min="4882" max="5120" width="9.140625" style="324"/>
    <col min="5121" max="5121" width="1.28515625" style="324" customWidth="1"/>
    <col min="5122" max="5122" width="17.7109375" style="324" customWidth="1"/>
    <col min="5123" max="5123" width="5.140625" style="324" customWidth="1"/>
    <col min="5124" max="5124" width="6.42578125" style="324" customWidth="1"/>
    <col min="5125" max="5125" width="6.28515625" style="324" customWidth="1"/>
    <col min="5126" max="5126" width="6.7109375" style="324" customWidth="1"/>
    <col min="5127" max="5127" width="13.42578125" style="324" customWidth="1"/>
    <col min="5128" max="5128" width="8" style="324" customWidth="1"/>
    <col min="5129" max="5129" width="7.140625" style="324" customWidth="1"/>
    <col min="5130" max="5130" width="6.85546875" style="324" customWidth="1"/>
    <col min="5131" max="5131" width="9.140625" style="324"/>
    <col min="5132" max="5132" width="14.42578125" style="324" bestFit="1" customWidth="1"/>
    <col min="5133" max="5133" width="6.42578125" style="324" customWidth="1"/>
    <col min="5134" max="5134" width="4.85546875" style="324" bestFit="1" customWidth="1"/>
    <col min="5135" max="5135" width="4.85546875" style="324" customWidth="1"/>
    <col min="5136" max="5136" width="3.7109375" style="324" bestFit="1" customWidth="1"/>
    <col min="5137" max="5137" width="1.28515625" style="324" customWidth="1"/>
    <col min="5138" max="5376" width="9.140625" style="324"/>
    <col min="5377" max="5377" width="1.28515625" style="324" customWidth="1"/>
    <col min="5378" max="5378" width="17.7109375" style="324" customWidth="1"/>
    <col min="5379" max="5379" width="5.140625" style="324" customWidth="1"/>
    <col min="5380" max="5380" width="6.42578125" style="324" customWidth="1"/>
    <col min="5381" max="5381" width="6.28515625" style="324" customWidth="1"/>
    <col min="5382" max="5382" width="6.7109375" style="324" customWidth="1"/>
    <col min="5383" max="5383" width="13.42578125" style="324" customWidth="1"/>
    <col min="5384" max="5384" width="8" style="324" customWidth="1"/>
    <col min="5385" max="5385" width="7.140625" style="324" customWidth="1"/>
    <col min="5386" max="5386" width="6.85546875" style="324" customWidth="1"/>
    <col min="5387" max="5387" width="9.140625" style="324"/>
    <col min="5388" max="5388" width="14.42578125" style="324" bestFit="1" customWidth="1"/>
    <col min="5389" max="5389" width="6.42578125" style="324" customWidth="1"/>
    <col min="5390" max="5390" width="4.85546875" style="324" bestFit="1" customWidth="1"/>
    <col min="5391" max="5391" width="4.85546875" style="324" customWidth="1"/>
    <col min="5392" max="5392" width="3.7109375" style="324" bestFit="1" customWidth="1"/>
    <col min="5393" max="5393" width="1.28515625" style="324" customWidth="1"/>
    <col min="5394" max="5632" width="9.140625" style="324"/>
    <col min="5633" max="5633" width="1.28515625" style="324" customWidth="1"/>
    <col min="5634" max="5634" width="17.7109375" style="324" customWidth="1"/>
    <col min="5635" max="5635" width="5.140625" style="324" customWidth="1"/>
    <col min="5636" max="5636" width="6.42578125" style="324" customWidth="1"/>
    <col min="5637" max="5637" width="6.28515625" style="324" customWidth="1"/>
    <col min="5638" max="5638" width="6.7109375" style="324" customWidth="1"/>
    <col min="5639" max="5639" width="13.42578125" style="324" customWidth="1"/>
    <col min="5640" max="5640" width="8" style="324" customWidth="1"/>
    <col min="5641" max="5641" width="7.140625" style="324" customWidth="1"/>
    <col min="5642" max="5642" width="6.85546875" style="324" customWidth="1"/>
    <col min="5643" max="5643" width="9.140625" style="324"/>
    <col min="5644" max="5644" width="14.42578125" style="324" bestFit="1" customWidth="1"/>
    <col min="5645" max="5645" width="6.42578125" style="324" customWidth="1"/>
    <col min="5646" max="5646" width="4.85546875" style="324" bestFit="1" customWidth="1"/>
    <col min="5647" max="5647" width="4.85546875" style="324" customWidth="1"/>
    <col min="5648" max="5648" width="3.7109375" style="324" bestFit="1" customWidth="1"/>
    <col min="5649" max="5649" width="1.28515625" style="324" customWidth="1"/>
    <col min="5650" max="5888" width="9.140625" style="324"/>
    <col min="5889" max="5889" width="1.28515625" style="324" customWidth="1"/>
    <col min="5890" max="5890" width="17.7109375" style="324" customWidth="1"/>
    <col min="5891" max="5891" width="5.140625" style="324" customWidth="1"/>
    <col min="5892" max="5892" width="6.42578125" style="324" customWidth="1"/>
    <col min="5893" max="5893" width="6.28515625" style="324" customWidth="1"/>
    <col min="5894" max="5894" width="6.7109375" style="324" customWidth="1"/>
    <col min="5895" max="5895" width="13.42578125" style="324" customWidth="1"/>
    <col min="5896" max="5896" width="8" style="324" customWidth="1"/>
    <col min="5897" max="5897" width="7.140625" style="324" customWidth="1"/>
    <col min="5898" max="5898" width="6.85546875" style="324" customWidth="1"/>
    <col min="5899" max="5899" width="9.140625" style="324"/>
    <col min="5900" max="5900" width="14.42578125" style="324" bestFit="1" customWidth="1"/>
    <col min="5901" max="5901" width="6.42578125" style="324" customWidth="1"/>
    <col min="5902" max="5902" width="4.85546875" style="324" bestFit="1" customWidth="1"/>
    <col min="5903" max="5903" width="4.85546875" style="324" customWidth="1"/>
    <col min="5904" max="5904" width="3.7109375" style="324" bestFit="1" customWidth="1"/>
    <col min="5905" max="5905" width="1.28515625" style="324" customWidth="1"/>
    <col min="5906" max="6144" width="9.140625" style="324"/>
    <col min="6145" max="6145" width="1.28515625" style="324" customWidth="1"/>
    <col min="6146" max="6146" width="17.7109375" style="324" customWidth="1"/>
    <col min="6147" max="6147" width="5.140625" style="324" customWidth="1"/>
    <col min="6148" max="6148" width="6.42578125" style="324" customWidth="1"/>
    <col min="6149" max="6149" width="6.28515625" style="324" customWidth="1"/>
    <col min="6150" max="6150" width="6.7109375" style="324" customWidth="1"/>
    <col min="6151" max="6151" width="13.42578125" style="324" customWidth="1"/>
    <col min="6152" max="6152" width="8" style="324" customWidth="1"/>
    <col min="6153" max="6153" width="7.140625" style="324" customWidth="1"/>
    <col min="6154" max="6154" width="6.85546875" style="324" customWidth="1"/>
    <col min="6155" max="6155" width="9.140625" style="324"/>
    <col min="6156" max="6156" width="14.42578125" style="324" bestFit="1" customWidth="1"/>
    <col min="6157" max="6157" width="6.42578125" style="324" customWidth="1"/>
    <col min="6158" max="6158" width="4.85546875" style="324" bestFit="1" customWidth="1"/>
    <col min="6159" max="6159" width="4.85546875" style="324" customWidth="1"/>
    <col min="6160" max="6160" width="3.7109375" style="324" bestFit="1" customWidth="1"/>
    <col min="6161" max="6161" width="1.28515625" style="324" customWidth="1"/>
    <col min="6162" max="6400" width="9.140625" style="324"/>
    <col min="6401" max="6401" width="1.28515625" style="324" customWidth="1"/>
    <col min="6402" max="6402" width="17.7109375" style="324" customWidth="1"/>
    <col min="6403" max="6403" width="5.140625" style="324" customWidth="1"/>
    <col min="6404" max="6404" width="6.42578125" style="324" customWidth="1"/>
    <col min="6405" max="6405" width="6.28515625" style="324" customWidth="1"/>
    <col min="6406" max="6406" width="6.7109375" style="324" customWidth="1"/>
    <col min="6407" max="6407" width="13.42578125" style="324" customWidth="1"/>
    <col min="6408" max="6408" width="8" style="324" customWidth="1"/>
    <col min="6409" max="6409" width="7.140625" style="324" customWidth="1"/>
    <col min="6410" max="6410" width="6.85546875" style="324" customWidth="1"/>
    <col min="6411" max="6411" width="9.140625" style="324"/>
    <col min="6412" max="6412" width="14.42578125" style="324" bestFit="1" customWidth="1"/>
    <col min="6413" max="6413" width="6.42578125" style="324" customWidth="1"/>
    <col min="6414" max="6414" width="4.85546875" style="324" bestFit="1" customWidth="1"/>
    <col min="6415" max="6415" width="4.85546875" style="324" customWidth="1"/>
    <col min="6416" max="6416" width="3.7109375" style="324" bestFit="1" customWidth="1"/>
    <col min="6417" max="6417" width="1.28515625" style="324" customWidth="1"/>
    <col min="6418" max="6656" width="9.140625" style="324"/>
    <col min="6657" max="6657" width="1.28515625" style="324" customWidth="1"/>
    <col min="6658" max="6658" width="17.7109375" style="324" customWidth="1"/>
    <col min="6659" max="6659" width="5.140625" style="324" customWidth="1"/>
    <col min="6660" max="6660" width="6.42578125" style="324" customWidth="1"/>
    <col min="6661" max="6661" width="6.28515625" style="324" customWidth="1"/>
    <col min="6662" max="6662" width="6.7109375" style="324" customWidth="1"/>
    <col min="6663" max="6663" width="13.42578125" style="324" customWidth="1"/>
    <col min="6664" max="6664" width="8" style="324" customWidth="1"/>
    <col min="6665" max="6665" width="7.140625" style="324" customWidth="1"/>
    <col min="6666" max="6666" width="6.85546875" style="324" customWidth="1"/>
    <col min="6667" max="6667" width="9.140625" style="324"/>
    <col min="6668" max="6668" width="14.42578125" style="324" bestFit="1" customWidth="1"/>
    <col min="6669" max="6669" width="6.42578125" style="324" customWidth="1"/>
    <col min="6670" max="6670" width="4.85546875" style="324" bestFit="1" customWidth="1"/>
    <col min="6671" max="6671" width="4.85546875" style="324" customWidth="1"/>
    <col min="6672" max="6672" width="3.7109375" style="324" bestFit="1" customWidth="1"/>
    <col min="6673" max="6673" width="1.28515625" style="324" customWidth="1"/>
    <col min="6674" max="6912" width="9.140625" style="324"/>
    <col min="6913" max="6913" width="1.28515625" style="324" customWidth="1"/>
    <col min="6914" max="6914" width="17.7109375" style="324" customWidth="1"/>
    <col min="6915" max="6915" width="5.140625" style="324" customWidth="1"/>
    <col min="6916" max="6916" width="6.42578125" style="324" customWidth="1"/>
    <col min="6917" max="6917" width="6.28515625" style="324" customWidth="1"/>
    <col min="6918" max="6918" width="6.7109375" style="324" customWidth="1"/>
    <col min="6919" max="6919" width="13.42578125" style="324" customWidth="1"/>
    <col min="6920" max="6920" width="8" style="324" customWidth="1"/>
    <col min="6921" max="6921" width="7.140625" style="324" customWidth="1"/>
    <col min="6922" max="6922" width="6.85546875" style="324" customWidth="1"/>
    <col min="6923" max="6923" width="9.140625" style="324"/>
    <col min="6924" max="6924" width="14.42578125" style="324" bestFit="1" customWidth="1"/>
    <col min="6925" max="6925" width="6.42578125" style="324" customWidth="1"/>
    <col min="6926" max="6926" width="4.85546875" style="324" bestFit="1" customWidth="1"/>
    <col min="6927" max="6927" width="4.85546875" style="324" customWidth="1"/>
    <col min="6928" max="6928" width="3.7109375" style="324" bestFit="1" customWidth="1"/>
    <col min="6929" max="6929" width="1.28515625" style="324" customWidth="1"/>
    <col min="6930" max="7168" width="9.140625" style="324"/>
    <col min="7169" max="7169" width="1.28515625" style="324" customWidth="1"/>
    <col min="7170" max="7170" width="17.7109375" style="324" customWidth="1"/>
    <col min="7171" max="7171" width="5.140625" style="324" customWidth="1"/>
    <col min="7172" max="7172" width="6.42578125" style="324" customWidth="1"/>
    <col min="7173" max="7173" width="6.28515625" style="324" customWidth="1"/>
    <col min="7174" max="7174" width="6.7109375" style="324" customWidth="1"/>
    <col min="7175" max="7175" width="13.42578125" style="324" customWidth="1"/>
    <col min="7176" max="7176" width="8" style="324" customWidth="1"/>
    <col min="7177" max="7177" width="7.140625" style="324" customWidth="1"/>
    <col min="7178" max="7178" width="6.85546875" style="324" customWidth="1"/>
    <col min="7179" max="7179" width="9.140625" style="324"/>
    <col min="7180" max="7180" width="14.42578125" style="324" bestFit="1" customWidth="1"/>
    <col min="7181" max="7181" width="6.42578125" style="324" customWidth="1"/>
    <col min="7182" max="7182" width="4.85546875" style="324" bestFit="1" customWidth="1"/>
    <col min="7183" max="7183" width="4.85546875" style="324" customWidth="1"/>
    <col min="7184" max="7184" width="3.7109375" style="324" bestFit="1" customWidth="1"/>
    <col min="7185" max="7185" width="1.28515625" style="324" customWidth="1"/>
    <col min="7186" max="7424" width="9.140625" style="324"/>
    <col min="7425" max="7425" width="1.28515625" style="324" customWidth="1"/>
    <col min="7426" max="7426" width="17.7109375" style="324" customWidth="1"/>
    <col min="7427" max="7427" width="5.140625" style="324" customWidth="1"/>
    <col min="7428" max="7428" width="6.42578125" style="324" customWidth="1"/>
    <col min="7429" max="7429" width="6.28515625" style="324" customWidth="1"/>
    <col min="7430" max="7430" width="6.7109375" style="324" customWidth="1"/>
    <col min="7431" max="7431" width="13.42578125" style="324" customWidth="1"/>
    <col min="7432" max="7432" width="8" style="324" customWidth="1"/>
    <col min="7433" max="7433" width="7.140625" style="324" customWidth="1"/>
    <col min="7434" max="7434" width="6.85546875" style="324" customWidth="1"/>
    <col min="7435" max="7435" width="9.140625" style="324"/>
    <col min="7436" max="7436" width="14.42578125" style="324" bestFit="1" customWidth="1"/>
    <col min="7437" max="7437" width="6.42578125" style="324" customWidth="1"/>
    <col min="7438" max="7438" width="4.85546875" style="324" bestFit="1" customWidth="1"/>
    <col min="7439" max="7439" width="4.85546875" style="324" customWidth="1"/>
    <col min="7440" max="7440" width="3.7109375" style="324" bestFit="1" customWidth="1"/>
    <col min="7441" max="7441" width="1.28515625" style="324" customWidth="1"/>
    <col min="7442" max="7680" width="9.140625" style="324"/>
    <col min="7681" max="7681" width="1.28515625" style="324" customWidth="1"/>
    <col min="7682" max="7682" width="17.7109375" style="324" customWidth="1"/>
    <col min="7683" max="7683" width="5.140625" style="324" customWidth="1"/>
    <col min="7684" max="7684" width="6.42578125" style="324" customWidth="1"/>
    <col min="7685" max="7685" width="6.28515625" style="324" customWidth="1"/>
    <col min="7686" max="7686" width="6.7109375" style="324" customWidth="1"/>
    <col min="7687" max="7687" width="13.42578125" style="324" customWidth="1"/>
    <col min="7688" max="7688" width="8" style="324" customWidth="1"/>
    <col min="7689" max="7689" width="7.140625" style="324" customWidth="1"/>
    <col min="7690" max="7690" width="6.85546875" style="324" customWidth="1"/>
    <col min="7691" max="7691" width="9.140625" style="324"/>
    <col min="7692" max="7692" width="14.42578125" style="324" bestFit="1" customWidth="1"/>
    <col min="7693" max="7693" width="6.42578125" style="324" customWidth="1"/>
    <col min="7694" max="7694" width="4.85546875" style="324" bestFit="1" customWidth="1"/>
    <col min="7695" max="7695" width="4.85546875" style="324" customWidth="1"/>
    <col min="7696" max="7696" width="3.7109375" style="324" bestFit="1" customWidth="1"/>
    <col min="7697" max="7697" width="1.28515625" style="324" customWidth="1"/>
    <col min="7698" max="7936" width="9.140625" style="324"/>
    <col min="7937" max="7937" width="1.28515625" style="324" customWidth="1"/>
    <col min="7938" max="7938" width="17.7109375" style="324" customWidth="1"/>
    <col min="7939" max="7939" width="5.140625" style="324" customWidth="1"/>
    <col min="7940" max="7940" width="6.42578125" style="324" customWidth="1"/>
    <col min="7941" max="7941" width="6.28515625" style="324" customWidth="1"/>
    <col min="7942" max="7942" width="6.7109375" style="324" customWidth="1"/>
    <col min="7943" max="7943" width="13.42578125" style="324" customWidth="1"/>
    <col min="7944" max="7944" width="8" style="324" customWidth="1"/>
    <col min="7945" max="7945" width="7.140625" style="324" customWidth="1"/>
    <col min="7946" max="7946" width="6.85546875" style="324" customWidth="1"/>
    <col min="7947" max="7947" width="9.140625" style="324"/>
    <col min="7948" max="7948" width="14.42578125" style="324" bestFit="1" customWidth="1"/>
    <col min="7949" max="7949" width="6.42578125" style="324" customWidth="1"/>
    <col min="7950" max="7950" width="4.85546875" style="324" bestFit="1" customWidth="1"/>
    <col min="7951" max="7951" width="4.85546875" style="324" customWidth="1"/>
    <col min="7952" max="7952" width="3.7109375" style="324" bestFit="1" customWidth="1"/>
    <col min="7953" max="7953" width="1.28515625" style="324" customWidth="1"/>
    <col min="7954" max="8192" width="9.140625" style="324"/>
    <col min="8193" max="8193" width="1.28515625" style="324" customWidth="1"/>
    <col min="8194" max="8194" width="17.7109375" style="324" customWidth="1"/>
    <col min="8195" max="8195" width="5.140625" style="324" customWidth="1"/>
    <col min="8196" max="8196" width="6.42578125" style="324" customWidth="1"/>
    <col min="8197" max="8197" width="6.28515625" style="324" customWidth="1"/>
    <col min="8198" max="8198" width="6.7109375" style="324" customWidth="1"/>
    <col min="8199" max="8199" width="13.42578125" style="324" customWidth="1"/>
    <col min="8200" max="8200" width="8" style="324" customWidth="1"/>
    <col min="8201" max="8201" width="7.140625" style="324" customWidth="1"/>
    <col min="8202" max="8202" width="6.85546875" style="324" customWidth="1"/>
    <col min="8203" max="8203" width="9.140625" style="324"/>
    <col min="8204" max="8204" width="14.42578125" style="324" bestFit="1" customWidth="1"/>
    <col min="8205" max="8205" width="6.42578125" style="324" customWidth="1"/>
    <col min="8206" max="8206" width="4.85546875" style="324" bestFit="1" customWidth="1"/>
    <col min="8207" max="8207" width="4.85546875" style="324" customWidth="1"/>
    <col min="8208" max="8208" width="3.7109375" style="324" bestFit="1" customWidth="1"/>
    <col min="8209" max="8209" width="1.28515625" style="324" customWidth="1"/>
    <col min="8210" max="8448" width="9.140625" style="324"/>
    <col min="8449" max="8449" width="1.28515625" style="324" customWidth="1"/>
    <col min="8450" max="8450" width="17.7109375" style="324" customWidth="1"/>
    <col min="8451" max="8451" width="5.140625" style="324" customWidth="1"/>
    <col min="8452" max="8452" width="6.42578125" style="324" customWidth="1"/>
    <col min="8453" max="8453" width="6.28515625" style="324" customWidth="1"/>
    <col min="8454" max="8454" width="6.7109375" style="324" customWidth="1"/>
    <col min="8455" max="8455" width="13.42578125" style="324" customWidth="1"/>
    <col min="8456" max="8456" width="8" style="324" customWidth="1"/>
    <col min="8457" max="8457" width="7.140625" style="324" customWidth="1"/>
    <col min="8458" max="8458" width="6.85546875" style="324" customWidth="1"/>
    <col min="8459" max="8459" width="9.140625" style="324"/>
    <col min="8460" max="8460" width="14.42578125" style="324" bestFit="1" customWidth="1"/>
    <col min="8461" max="8461" width="6.42578125" style="324" customWidth="1"/>
    <col min="8462" max="8462" width="4.85546875" style="324" bestFit="1" customWidth="1"/>
    <col min="8463" max="8463" width="4.85546875" style="324" customWidth="1"/>
    <col min="8464" max="8464" width="3.7109375" style="324" bestFit="1" customWidth="1"/>
    <col min="8465" max="8465" width="1.28515625" style="324" customWidth="1"/>
    <col min="8466" max="8704" width="9.140625" style="324"/>
    <col min="8705" max="8705" width="1.28515625" style="324" customWidth="1"/>
    <col min="8706" max="8706" width="17.7109375" style="324" customWidth="1"/>
    <col min="8707" max="8707" width="5.140625" style="324" customWidth="1"/>
    <col min="8708" max="8708" width="6.42578125" style="324" customWidth="1"/>
    <col min="8709" max="8709" width="6.28515625" style="324" customWidth="1"/>
    <col min="8710" max="8710" width="6.7109375" style="324" customWidth="1"/>
    <col min="8711" max="8711" width="13.42578125" style="324" customWidth="1"/>
    <col min="8712" max="8712" width="8" style="324" customWidth="1"/>
    <col min="8713" max="8713" width="7.140625" style="324" customWidth="1"/>
    <col min="8714" max="8714" width="6.85546875" style="324" customWidth="1"/>
    <col min="8715" max="8715" width="9.140625" style="324"/>
    <col min="8716" max="8716" width="14.42578125" style="324" bestFit="1" customWidth="1"/>
    <col min="8717" max="8717" width="6.42578125" style="324" customWidth="1"/>
    <col min="8718" max="8718" width="4.85546875" style="324" bestFit="1" customWidth="1"/>
    <col min="8719" max="8719" width="4.85546875" style="324" customWidth="1"/>
    <col min="8720" max="8720" width="3.7109375" style="324" bestFit="1" customWidth="1"/>
    <col min="8721" max="8721" width="1.28515625" style="324" customWidth="1"/>
    <col min="8722" max="8960" width="9.140625" style="324"/>
    <col min="8961" max="8961" width="1.28515625" style="324" customWidth="1"/>
    <col min="8962" max="8962" width="17.7109375" style="324" customWidth="1"/>
    <col min="8963" max="8963" width="5.140625" style="324" customWidth="1"/>
    <col min="8964" max="8964" width="6.42578125" style="324" customWidth="1"/>
    <col min="8965" max="8965" width="6.28515625" style="324" customWidth="1"/>
    <col min="8966" max="8966" width="6.7109375" style="324" customWidth="1"/>
    <col min="8967" max="8967" width="13.42578125" style="324" customWidth="1"/>
    <col min="8968" max="8968" width="8" style="324" customWidth="1"/>
    <col min="8969" max="8969" width="7.140625" style="324" customWidth="1"/>
    <col min="8970" max="8970" width="6.85546875" style="324" customWidth="1"/>
    <col min="8971" max="8971" width="9.140625" style="324"/>
    <col min="8972" max="8972" width="14.42578125" style="324" bestFit="1" customWidth="1"/>
    <col min="8973" max="8973" width="6.42578125" style="324" customWidth="1"/>
    <col min="8974" max="8974" width="4.85546875" style="324" bestFit="1" customWidth="1"/>
    <col min="8975" max="8975" width="4.85546875" style="324" customWidth="1"/>
    <col min="8976" max="8976" width="3.7109375" style="324" bestFit="1" customWidth="1"/>
    <col min="8977" max="8977" width="1.28515625" style="324" customWidth="1"/>
    <col min="8978" max="9216" width="9.140625" style="324"/>
    <col min="9217" max="9217" width="1.28515625" style="324" customWidth="1"/>
    <col min="9218" max="9218" width="17.7109375" style="324" customWidth="1"/>
    <col min="9219" max="9219" width="5.140625" style="324" customWidth="1"/>
    <col min="9220" max="9220" width="6.42578125" style="324" customWidth="1"/>
    <col min="9221" max="9221" width="6.28515625" style="324" customWidth="1"/>
    <col min="9222" max="9222" width="6.7109375" style="324" customWidth="1"/>
    <col min="9223" max="9223" width="13.42578125" style="324" customWidth="1"/>
    <col min="9224" max="9224" width="8" style="324" customWidth="1"/>
    <col min="9225" max="9225" width="7.140625" style="324" customWidth="1"/>
    <col min="9226" max="9226" width="6.85546875" style="324" customWidth="1"/>
    <col min="9227" max="9227" width="9.140625" style="324"/>
    <col min="9228" max="9228" width="14.42578125" style="324" bestFit="1" customWidth="1"/>
    <col min="9229" max="9229" width="6.42578125" style="324" customWidth="1"/>
    <col min="9230" max="9230" width="4.85546875" style="324" bestFit="1" customWidth="1"/>
    <col min="9231" max="9231" width="4.85546875" style="324" customWidth="1"/>
    <col min="9232" max="9232" width="3.7109375" style="324" bestFit="1" customWidth="1"/>
    <col min="9233" max="9233" width="1.28515625" style="324" customWidth="1"/>
    <col min="9234" max="9472" width="9.140625" style="324"/>
    <col min="9473" max="9473" width="1.28515625" style="324" customWidth="1"/>
    <col min="9474" max="9474" width="17.7109375" style="324" customWidth="1"/>
    <col min="9475" max="9475" width="5.140625" style="324" customWidth="1"/>
    <col min="9476" max="9476" width="6.42578125" style="324" customWidth="1"/>
    <col min="9477" max="9477" width="6.28515625" style="324" customWidth="1"/>
    <col min="9478" max="9478" width="6.7109375" style="324" customWidth="1"/>
    <col min="9479" max="9479" width="13.42578125" style="324" customWidth="1"/>
    <col min="9480" max="9480" width="8" style="324" customWidth="1"/>
    <col min="9481" max="9481" width="7.140625" style="324" customWidth="1"/>
    <col min="9482" max="9482" width="6.85546875" style="324" customWidth="1"/>
    <col min="9483" max="9483" width="9.140625" style="324"/>
    <col min="9484" max="9484" width="14.42578125" style="324" bestFit="1" customWidth="1"/>
    <col min="9485" max="9485" width="6.42578125" style="324" customWidth="1"/>
    <col min="9486" max="9486" width="4.85546875" style="324" bestFit="1" customWidth="1"/>
    <col min="9487" max="9487" width="4.85546875" style="324" customWidth="1"/>
    <col min="9488" max="9488" width="3.7109375" style="324" bestFit="1" customWidth="1"/>
    <col min="9489" max="9489" width="1.28515625" style="324" customWidth="1"/>
    <col min="9490" max="9728" width="9.140625" style="324"/>
    <col min="9729" max="9729" width="1.28515625" style="324" customWidth="1"/>
    <col min="9730" max="9730" width="17.7109375" style="324" customWidth="1"/>
    <col min="9731" max="9731" width="5.140625" style="324" customWidth="1"/>
    <col min="9732" max="9732" width="6.42578125" style="324" customWidth="1"/>
    <col min="9733" max="9733" width="6.28515625" style="324" customWidth="1"/>
    <col min="9734" max="9734" width="6.7109375" style="324" customWidth="1"/>
    <col min="9735" max="9735" width="13.42578125" style="324" customWidth="1"/>
    <col min="9736" max="9736" width="8" style="324" customWidth="1"/>
    <col min="9737" max="9737" width="7.140625" style="324" customWidth="1"/>
    <col min="9738" max="9738" width="6.85546875" style="324" customWidth="1"/>
    <col min="9739" max="9739" width="9.140625" style="324"/>
    <col min="9740" max="9740" width="14.42578125" style="324" bestFit="1" customWidth="1"/>
    <col min="9741" max="9741" width="6.42578125" style="324" customWidth="1"/>
    <col min="9742" max="9742" width="4.85546875" style="324" bestFit="1" customWidth="1"/>
    <col min="9743" max="9743" width="4.85546875" style="324" customWidth="1"/>
    <col min="9744" max="9744" width="3.7109375" style="324" bestFit="1" customWidth="1"/>
    <col min="9745" max="9745" width="1.28515625" style="324" customWidth="1"/>
    <col min="9746" max="9984" width="9.140625" style="324"/>
    <col min="9985" max="9985" width="1.28515625" style="324" customWidth="1"/>
    <col min="9986" max="9986" width="17.7109375" style="324" customWidth="1"/>
    <col min="9987" max="9987" width="5.140625" style="324" customWidth="1"/>
    <col min="9988" max="9988" width="6.42578125" style="324" customWidth="1"/>
    <col min="9989" max="9989" width="6.28515625" style="324" customWidth="1"/>
    <col min="9990" max="9990" width="6.7109375" style="324" customWidth="1"/>
    <col min="9991" max="9991" width="13.42578125" style="324" customWidth="1"/>
    <col min="9992" max="9992" width="8" style="324" customWidth="1"/>
    <col min="9993" max="9993" width="7.140625" style="324" customWidth="1"/>
    <col min="9994" max="9994" width="6.85546875" style="324" customWidth="1"/>
    <col min="9995" max="9995" width="9.140625" style="324"/>
    <col min="9996" max="9996" width="14.42578125" style="324" bestFit="1" customWidth="1"/>
    <col min="9997" max="9997" width="6.42578125" style="324" customWidth="1"/>
    <col min="9998" max="9998" width="4.85546875" style="324" bestFit="1" customWidth="1"/>
    <col min="9999" max="9999" width="4.85546875" style="324" customWidth="1"/>
    <col min="10000" max="10000" width="3.7109375" style="324" bestFit="1" customWidth="1"/>
    <col min="10001" max="10001" width="1.28515625" style="324" customWidth="1"/>
    <col min="10002" max="10240" width="9.140625" style="324"/>
    <col min="10241" max="10241" width="1.28515625" style="324" customWidth="1"/>
    <col min="10242" max="10242" width="17.7109375" style="324" customWidth="1"/>
    <col min="10243" max="10243" width="5.140625" style="324" customWidth="1"/>
    <col min="10244" max="10244" width="6.42578125" style="324" customWidth="1"/>
    <col min="10245" max="10245" width="6.28515625" style="324" customWidth="1"/>
    <col min="10246" max="10246" width="6.7109375" style="324" customWidth="1"/>
    <col min="10247" max="10247" width="13.42578125" style="324" customWidth="1"/>
    <col min="10248" max="10248" width="8" style="324" customWidth="1"/>
    <col min="10249" max="10249" width="7.140625" style="324" customWidth="1"/>
    <col min="10250" max="10250" width="6.85546875" style="324" customWidth="1"/>
    <col min="10251" max="10251" width="9.140625" style="324"/>
    <col min="10252" max="10252" width="14.42578125" style="324" bestFit="1" customWidth="1"/>
    <col min="10253" max="10253" width="6.42578125" style="324" customWidth="1"/>
    <col min="10254" max="10254" width="4.85546875" style="324" bestFit="1" customWidth="1"/>
    <col min="10255" max="10255" width="4.85546875" style="324" customWidth="1"/>
    <col min="10256" max="10256" width="3.7109375" style="324" bestFit="1" customWidth="1"/>
    <col min="10257" max="10257" width="1.28515625" style="324" customWidth="1"/>
    <col min="10258" max="10496" width="9.140625" style="324"/>
    <col min="10497" max="10497" width="1.28515625" style="324" customWidth="1"/>
    <col min="10498" max="10498" width="17.7109375" style="324" customWidth="1"/>
    <col min="10499" max="10499" width="5.140625" style="324" customWidth="1"/>
    <col min="10500" max="10500" width="6.42578125" style="324" customWidth="1"/>
    <col min="10501" max="10501" width="6.28515625" style="324" customWidth="1"/>
    <col min="10502" max="10502" width="6.7109375" style="324" customWidth="1"/>
    <col min="10503" max="10503" width="13.42578125" style="324" customWidth="1"/>
    <col min="10504" max="10504" width="8" style="324" customWidth="1"/>
    <col min="10505" max="10505" width="7.140625" style="324" customWidth="1"/>
    <col min="10506" max="10506" width="6.85546875" style="324" customWidth="1"/>
    <col min="10507" max="10507" width="9.140625" style="324"/>
    <col min="10508" max="10508" width="14.42578125" style="324" bestFit="1" customWidth="1"/>
    <col min="10509" max="10509" width="6.42578125" style="324" customWidth="1"/>
    <col min="10510" max="10510" width="4.85546875" style="324" bestFit="1" customWidth="1"/>
    <col min="10511" max="10511" width="4.85546875" style="324" customWidth="1"/>
    <col min="10512" max="10512" width="3.7109375" style="324" bestFit="1" customWidth="1"/>
    <col min="10513" max="10513" width="1.28515625" style="324" customWidth="1"/>
    <col min="10514" max="10752" width="9.140625" style="324"/>
    <col min="10753" max="10753" width="1.28515625" style="324" customWidth="1"/>
    <col min="10754" max="10754" width="17.7109375" style="324" customWidth="1"/>
    <col min="10755" max="10755" width="5.140625" style="324" customWidth="1"/>
    <col min="10756" max="10756" width="6.42578125" style="324" customWidth="1"/>
    <col min="10757" max="10757" width="6.28515625" style="324" customWidth="1"/>
    <col min="10758" max="10758" width="6.7109375" style="324" customWidth="1"/>
    <col min="10759" max="10759" width="13.42578125" style="324" customWidth="1"/>
    <col min="10760" max="10760" width="8" style="324" customWidth="1"/>
    <col min="10761" max="10761" width="7.140625" style="324" customWidth="1"/>
    <col min="10762" max="10762" width="6.85546875" style="324" customWidth="1"/>
    <col min="10763" max="10763" width="9.140625" style="324"/>
    <col min="10764" max="10764" width="14.42578125" style="324" bestFit="1" customWidth="1"/>
    <col min="10765" max="10765" width="6.42578125" style="324" customWidth="1"/>
    <col min="10766" max="10766" width="4.85546875" style="324" bestFit="1" customWidth="1"/>
    <col min="10767" max="10767" width="4.85546875" style="324" customWidth="1"/>
    <col min="10768" max="10768" width="3.7109375" style="324" bestFit="1" customWidth="1"/>
    <col min="10769" max="10769" width="1.28515625" style="324" customWidth="1"/>
    <col min="10770" max="11008" width="9.140625" style="324"/>
    <col min="11009" max="11009" width="1.28515625" style="324" customWidth="1"/>
    <col min="11010" max="11010" width="17.7109375" style="324" customWidth="1"/>
    <col min="11011" max="11011" width="5.140625" style="324" customWidth="1"/>
    <col min="11012" max="11012" width="6.42578125" style="324" customWidth="1"/>
    <col min="11013" max="11013" width="6.28515625" style="324" customWidth="1"/>
    <col min="11014" max="11014" width="6.7109375" style="324" customWidth="1"/>
    <col min="11015" max="11015" width="13.42578125" style="324" customWidth="1"/>
    <col min="11016" max="11016" width="8" style="324" customWidth="1"/>
    <col min="11017" max="11017" width="7.140625" style="324" customWidth="1"/>
    <col min="11018" max="11018" width="6.85546875" style="324" customWidth="1"/>
    <col min="11019" max="11019" width="9.140625" style="324"/>
    <col min="11020" max="11020" width="14.42578125" style="324" bestFit="1" customWidth="1"/>
    <col min="11021" max="11021" width="6.42578125" style="324" customWidth="1"/>
    <col min="11022" max="11022" width="4.85546875" style="324" bestFit="1" customWidth="1"/>
    <col min="11023" max="11023" width="4.85546875" style="324" customWidth="1"/>
    <col min="11024" max="11024" width="3.7109375" style="324" bestFit="1" customWidth="1"/>
    <col min="11025" max="11025" width="1.28515625" style="324" customWidth="1"/>
    <col min="11026" max="11264" width="9.140625" style="324"/>
    <col min="11265" max="11265" width="1.28515625" style="324" customWidth="1"/>
    <col min="11266" max="11266" width="17.7109375" style="324" customWidth="1"/>
    <col min="11267" max="11267" width="5.140625" style="324" customWidth="1"/>
    <col min="11268" max="11268" width="6.42578125" style="324" customWidth="1"/>
    <col min="11269" max="11269" width="6.28515625" style="324" customWidth="1"/>
    <col min="11270" max="11270" width="6.7109375" style="324" customWidth="1"/>
    <col min="11271" max="11271" width="13.42578125" style="324" customWidth="1"/>
    <col min="11272" max="11272" width="8" style="324" customWidth="1"/>
    <col min="11273" max="11273" width="7.140625" style="324" customWidth="1"/>
    <col min="11274" max="11274" width="6.85546875" style="324" customWidth="1"/>
    <col min="11275" max="11275" width="9.140625" style="324"/>
    <col min="11276" max="11276" width="14.42578125" style="324" bestFit="1" customWidth="1"/>
    <col min="11277" max="11277" width="6.42578125" style="324" customWidth="1"/>
    <col min="11278" max="11278" width="4.85546875" style="324" bestFit="1" customWidth="1"/>
    <col min="11279" max="11279" width="4.85546875" style="324" customWidth="1"/>
    <col min="11280" max="11280" width="3.7109375" style="324" bestFit="1" customWidth="1"/>
    <col min="11281" max="11281" width="1.28515625" style="324" customWidth="1"/>
    <col min="11282" max="11520" width="9.140625" style="324"/>
    <col min="11521" max="11521" width="1.28515625" style="324" customWidth="1"/>
    <col min="11522" max="11522" width="17.7109375" style="324" customWidth="1"/>
    <col min="11523" max="11523" width="5.140625" style="324" customWidth="1"/>
    <col min="11524" max="11524" width="6.42578125" style="324" customWidth="1"/>
    <col min="11525" max="11525" width="6.28515625" style="324" customWidth="1"/>
    <col min="11526" max="11526" width="6.7109375" style="324" customWidth="1"/>
    <col min="11527" max="11527" width="13.42578125" style="324" customWidth="1"/>
    <col min="11528" max="11528" width="8" style="324" customWidth="1"/>
    <col min="11529" max="11529" width="7.140625" style="324" customWidth="1"/>
    <col min="11530" max="11530" width="6.85546875" style="324" customWidth="1"/>
    <col min="11531" max="11531" width="9.140625" style="324"/>
    <col min="11532" max="11532" width="14.42578125" style="324" bestFit="1" customWidth="1"/>
    <col min="11533" max="11533" width="6.42578125" style="324" customWidth="1"/>
    <col min="11534" max="11534" width="4.85546875" style="324" bestFit="1" customWidth="1"/>
    <col min="11535" max="11535" width="4.85546875" style="324" customWidth="1"/>
    <col min="11536" max="11536" width="3.7109375" style="324" bestFit="1" customWidth="1"/>
    <col min="11537" max="11537" width="1.28515625" style="324" customWidth="1"/>
    <col min="11538" max="11776" width="9.140625" style="324"/>
    <col min="11777" max="11777" width="1.28515625" style="324" customWidth="1"/>
    <col min="11778" max="11778" width="17.7109375" style="324" customWidth="1"/>
    <col min="11779" max="11779" width="5.140625" style="324" customWidth="1"/>
    <col min="11780" max="11780" width="6.42578125" style="324" customWidth="1"/>
    <col min="11781" max="11781" width="6.28515625" style="324" customWidth="1"/>
    <col min="11782" max="11782" width="6.7109375" style="324" customWidth="1"/>
    <col min="11783" max="11783" width="13.42578125" style="324" customWidth="1"/>
    <col min="11784" max="11784" width="8" style="324" customWidth="1"/>
    <col min="11785" max="11785" width="7.140625" style="324" customWidth="1"/>
    <col min="11786" max="11786" width="6.85546875" style="324" customWidth="1"/>
    <col min="11787" max="11787" width="9.140625" style="324"/>
    <col min="11788" max="11788" width="14.42578125" style="324" bestFit="1" customWidth="1"/>
    <col min="11789" max="11789" width="6.42578125" style="324" customWidth="1"/>
    <col min="11790" max="11790" width="4.85546875" style="324" bestFit="1" customWidth="1"/>
    <col min="11791" max="11791" width="4.85546875" style="324" customWidth="1"/>
    <col min="11792" max="11792" width="3.7109375" style="324" bestFit="1" customWidth="1"/>
    <col min="11793" max="11793" width="1.28515625" style="324" customWidth="1"/>
    <col min="11794" max="12032" width="9.140625" style="324"/>
    <col min="12033" max="12033" width="1.28515625" style="324" customWidth="1"/>
    <col min="12034" max="12034" width="17.7109375" style="324" customWidth="1"/>
    <col min="12035" max="12035" width="5.140625" style="324" customWidth="1"/>
    <col min="12036" max="12036" width="6.42578125" style="324" customWidth="1"/>
    <col min="12037" max="12037" width="6.28515625" style="324" customWidth="1"/>
    <col min="12038" max="12038" width="6.7109375" style="324" customWidth="1"/>
    <col min="12039" max="12039" width="13.42578125" style="324" customWidth="1"/>
    <col min="12040" max="12040" width="8" style="324" customWidth="1"/>
    <col min="12041" max="12041" width="7.140625" style="324" customWidth="1"/>
    <col min="12042" max="12042" width="6.85546875" style="324" customWidth="1"/>
    <col min="12043" max="12043" width="9.140625" style="324"/>
    <col min="12044" max="12044" width="14.42578125" style="324" bestFit="1" customWidth="1"/>
    <col min="12045" max="12045" width="6.42578125" style="324" customWidth="1"/>
    <col min="12046" max="12046" width="4.85546875" style="324" bestFit="1" customWidth="1"/>
    <col min="12047" max="12047" width="4.85546875" style="324" customWidth="1"/>
    <col min="12048" max="12048" width="3.7109375" style="324" bestFit="1" customWidth="1"/>
    <col min="12049" max="12049" width="1.28515625" style="324" customWidth="1"/>
    <col min="12050" max="12288" width="9.140625" style="324"/>
    <col min="12289" max="12289" width="1.28515625" style="324" customWidth="1"/>
    <col min="12290" max="12290" width="17.7109375" style="324" customWidth="1"/>
    <col min="12291" max="12291" width="5.140625" style="324" customWidth="1"/>
    <col min="12292" max="12292" width="6.42578125" style="324" customWidth="1"/>
    <col min="12293" max="12293" width="6.28515625" style="324" customWidth="1"/>
    <col min="12294" max="12294" width="6.7109375" style="324" customWidth="1"/>
    <col min="12295" max="12295" width="13.42578125" style="324" customWidth="1"/>
    <col min="12296" max="12296" width="8" style="324" customWidth="1"/>
    <col min="12297" max="12297" width="7.140625" style="324" customWidth="1"/>
    <col min="12298" max="12298" width="6.85546875" style="324" customWidth="1"/>
    <col min="12299" max="12299" width="9.140625" style="324"/>
    <col min="12300" max="12300" width="14.42578125" style="324" bestFit="1" customWidth="1"/>
    <col min="12301" max="12301" width="6.42578125" style="324" customWidth="1"/>
    <col min="12302" max="12302" width="4.85546875" style="324" bestFit="1" customWidth="1"/>
    <col min="12303" max="12303" width="4.85546875" style="324" customWidth="1"/>
    <col min="12304" max="12304" width="3.7109375" style="324" bestFit="1" customWidth="1"/>
    <col min="12305" max="12305" width="1.28515625" style="324" customWidth="1"/>
    <col min="12306" max="12544" width="9.140625" style="324"/>
    <col min="12545" max="12545" width="1.28515625" style="324" customWidth="1"/>
    <col min="12546" max="12546" width="17.7109375" style="324" customWidth="1"/>
    <col min="12547" max="12547" width="5.140625" style="324" customWidth="1"/>
    <col min="12548" max="12548" width="6.42578125" style="324" customWidth="1"/>
    <col min="12549" max="12549" width="6.28515625" style="324" customWidth="1"/>
    <col min="12550" max="12550" width="6.7109375" style="324" customWidth="1"/>
    <col min="12551" max="12551" width="13.42578125" style="324" customWidth="1"/>
    <col min="12552" max="12552" width="8" style="324" customWidth="1"/>
    <col min="12553" max="12553" width="7.140625" style="324" customWidth="1"/>
    <col min="12554" max="12554" width="6.85546875" style="324" customWidth="1"/>
    <col min="12555" max="12555" width="9.140625" style="324"/>
    <col min="12556" max="12556" width="14.42578125" style="324" bestFit="1" customWidth="1"/>
    <col min="12557" max="12557" width="6.42578125" style="324" customWidth="1"/>
    <col min="12558" max="12558" width="4.85546875" style="324" bestFit="1" customWidth="1"/>
    <col min="12559" max="12559" width="4.85546875" style="324" customWidth="1"/>
    <col min="12560" max="12560" width="3.7109375" style="324" bestFit="1" customWidth="1"/>
    <col min="12561" max="12561" width="1.28515625" style="324" customWidth="1"/>
    <col min="12562" max="12800" width="9.140625" style="324"/>
    <col min="12801" max="12801" width="1.28515625" style="324" customWidth="1"/>
    <col min="12802" max="12802" width="17.7109375" style="324" customWidth="1"/>
    <col min="12803" max="12803" width="5.140625" style="324" customWidth="1"/>
    <col min="12804" max="12804" width="6.42578125" style="324" customWidth="1"/>
    <col min="12805" max="12805" width="6.28515625" style="324" customWidth="1"/>
    <col min="12806" max="12806" width="6.7109375" style="324" customWidth="1"/>
    <col min="12807" max="12807" width="13.42578125" style="324" customWidth="1"/>
    <col min="12808" max="12808" width="8" style="324" customWidth="1"/>
    <col min="12809" max="12809" width="7.140625" style="324" customWidth="1"/>
    <col min="12810" max="12810" width="6.85546875" style="324" customWidth="1"/>
    <col min="12811" max="12811" width="9.140625" style="324"/>
    <col min="12812" max="12812" width="14.42578125" style="324" bestFit="1" customWidth="1"/>
    <col min="12813" max="12813" width="6.42578125" style="324" customWidth="1"/>
    <col min="12814" max="12814" width="4.85546875" style="324" bestFit="1" customWidth="1"/>
    <col min="12815" max="12815" width="4.85546875" style="324" customWidth="1"/>
    <col min="12816" max="12816" width="3.7109375" style="324" bestFit="1" customWidth="1"/>
    <col min="12817" max="12817" width="1.28515625" style="324" customWidth="1"/>
    <col min="12818" max="13056" width="9.140625" style="324"/>
    <col min="13057" max="13057" width="1.28515625" style="324" customWidth="1"/>
    <col min="13058" max="13058" width="17.7109375" style="324" customWidth="1"/>
    <col min="13059" max="13059" width="5.140625" style="324" customWidth="1"/>
    <col min="13060" max="13060" width="6.42578125" style="324" customWidth="1"/>
    <col min="13061" max="13061" width="6.28515625" style="324" customWidth="1"/>
    <col min="13062" max="13062" width="6.7109375" style="324" customWidth="1"/>
    <col min="13063" max="13063" width="13.42578125" style="324" customWidth="1"/>
    <col min="13064" max="13064" width="8" style="324" customWidth="1"/>
    <col min="13065" max="13065" width="7.140625" style="324" customWidth="1"/>
    <col min="13066" max="13066" width="6.85546875" style="324" customWidth="1"/>
    <col min="13067" max="13067" width="9.140625" style="324"/>
    <col min="13068" max="13068" width="14.42578125" style="324" bestFit="1" customWidth="1"/>
    <col min="13069" max="13069" width="6.42578125" style="324" customWidth="1"/>
    <col min="13070" max="13070" width="4.85546875" style="324" bestFit="1" customWidth="1"/>
    <col min="13071" max="13071" width="4.85546875" style="324" customWidth="1"/>
    <col min="13072" max="13072" width="3.7109375" style="324" bestFit="1" customWidth="1"/>
    <col min="13073" max="13073" width="1.28515625" style="324" customWidth="1"/>
    <col min="13074" max="13312" width="9.140625" style="324"/>
    <col min="13313" max="13313" width="1.28515625" style="324" customWidth="1"/>
    <col min="13314" max="13314" width="17.7109375" style="324" customWidth="1"/>
    <col min="13315" max="13315" width="5.140625" style="324" customWidth="1"/>
    <col min="13316" max="13316" width="6.42578125" style="324" customWidth="1"/>
    <col min="13317" max="13317" width="6.28515625" style="324" customWidth="1"/>
    <col min="13318" max="13318" width="6.7109375" style="324" customWidth="1"/>
    <col min="13319" max="13319" width="13.42578125" style="324" customWidth="1"/>
    <col min="13320" max="13320" width="8" style="324" customWidth="1"/>
    <col min="13321" max="13321" width="7.140625" style="324" customWidth="1"/>
    <col min="13322" max="13322" width="6.85546875" style="324" customWidth="1"/>
    <col min="13323" max="13323" width="9.140625" style="324"/>
    <col min="13324" max="13324" width="14.42578125" style="324" bestFit="1" customWidth="1"/>
    <col min="13325" max="13325" width="6.42578125" style="324" customWidth="1"/>
    <col min="13326" max="13326" width="4.85546875" style="324" bestFit="1" customWidth="1"/>
    <col min="13327" max="13327" width="4.85546875" style="324" customWidth="1"/>
    <col min="13328" max="13328" width="3.7109375" style="324" bestFit="1" customWidth="1"/>
    <col min="13329" max="13329" width="1.28515625" style="324" customWidth="1"/>
    <col min="13330" max="13568" width="9.140625" style="324"/>
    <col min="13569" max="13569" width="1.28515625" style="324" customWidth="1"/>
    <col min="13570" max="13570" width="17.7109375" style="324" customWidth="1"/>
    <col min="13571" max="13571" width="5.140625" style="324" customWidth="1"/>
    <col min="13572" max="13572" width="6.42578125" style="324" customWidth="1"/>
    <col min="13573" max="13573" width="6.28515625" style="324" customWidth="1"/>
    <col min="13574" max="13574" width="6.7109375" style="324" customWidth="1"/>
    <col min="13575" max="13575" width="13.42578125" style="324" customWidth="1"/>
    <col min="13576" max="13576" width="8" style="324" customWidth="1"/>
    <col min="13577" max="13577" width="7.140625" style="324" customWidth="1"/>
    <col min="13578" max="13578" width="6.85546875" style="324" customWidth="1"/>
    <col min="13579" max="13579" width="9.140625" style="324"/>
    <col min="13580" max="13580" width="14.42578125" style="324" bestFit="1" customWidth="1"/>
    <col min="13581" max="13581" width="6.42578125" style="324" customWidth="1"/>
    <col min="13582" max="13582" width="4.85546875" style="324" bestFit="1" customWidth="1"/>
    <col min="13583" max="13583" width="4.85546875" style="324" customWidth="1"/>
    <col min="13584" max="13584" width="3.7109375" style="324" bestFit="1" customWidth="1"/>
    <col min="13585" max="13585" width="1.28515625" style="324" customWidth="1"/>
    <col min="13586" max="13824" width="9.140625" style="324"/>
    <col min="13825" max="13825" width="1.28515625" style="324" customWidth="1"/>
    <col min="13826" max="13826" width="17.7109375" style="324" customWidth="1"/>
    <col min="13827" max="13827" width="5.140625" style="324" customWidth="1"/>
    <col min="13828" max="13828" width="6.42578125" style="324" customWidth="1"/>
    <col min="13829" max="13829" width="6.28515625" style="324" customWidth="1"/>
    <col min="13830" max="13830" width="6.7109375" style="324" customWidth="1"/>
    <col min="13831" max="13831" width="13.42578125" style="324" customWidth="1"/>
    <col min="13832" max="13832" width="8" style="324" customWidth="1"/>
    <col min="13833" max="13833" width="7.140625" style="324" customWidth="1"/>
    <col min="13834" max="13834" width="6.85546875" style="324" customWidth="1"/>
    <col min="13835" max="13835" width="9.140625" style="324"/>
    <col min="13836" max="13836" width="14.42578125" style="324" bestFit="1" customWidth="1"/>
    <col min="13837" max="13837" width="6.42578125" style="324" customWidth="1"/>
    <col min="13838" max="13838" width="4.85546875" style="324" bestFit="1" customWidth="1"/>
    <col min="13839" max="13839" width="4.85546875" style="324" customWidth="1"/>
    <col min="13840" max="13840" width="3.7109375" style="324" bestFit="1" customWidth="1"/>
    <col min="13841" max="13841" width="1.28515625" style="324" customWidth="1"/>
    <col min="13842" max="14080" width="9.140625" style="324"/>
    <col min="14081" max="14081" width="1.28515625" style="324" customWidth="1"/>
    <col min="14082" max="14082" width="17.7109375" style="324" customWidth="1"/>
    <col min="14083" max="14083" width="5.140625" style="324" customWidth="1"/>
    <col min="14084" max="14084" width="6.42578125" style="324" customWidth="1"/>
    <col min="14085" max="14085" width="6.28515625" style="324" customWidth="1"/>
    <col min="14086" max="14086" width="6.7109375" style="324" customWidth="1"/>
    <col min="14087" max="14087" width="13.42578125" style="324" customWidth="1"/>
    <col min="14088" max="14088" width="8" style="324" customWidth="1"/>
    <col min="14089" max="14089" width="7.140625" style="324" customWidth="1"/>
    <col min="14090" max="14090" width="6.85546875" style="324" customWidth="1"/>
    <col min="14091" max="14091" width="9.140625" style="324"/>
    <col min="14092" max="14092" width="14.42578125" style="324" bestFit="1" customWidth="1"/>
    <col min="14093" max="14093" width="6.42578125" style="324" customWidth="1"/>
    <col min="14094" max="14094" width="4.85546875" style="324" bestFit="1" customWidth="1"/>
    <col min="14095" max="14095" width="4.85546875" style="324" customWidth="1"/>
    <col min="14096" max="14096" width="3.7109375" style="324" bestFit="1" customWidth="1"/>
    <col min="14097" max="14097" width="1.28515625" style="324" customWidth="1"/>
    <col min="14098" max="14336" width="9.140625" style="324"/>
    <col min="14337" max="14337" width="1.28515625" style="324" customWidth="1"/>
    <col min="14338" max="14338" width="17.7109375" style="324" customWidth="1"/>
    <col min="14339" max="14339" width="5.140625" style="324" customWidth="1"/>
    <col min="14340" max="14340" width="6.42578125" style="324" customWidth="1"/>
    <col min="14341" max="14341" width="6.28515625" style="324" customWidth="1"/>
    <col min="14342" max="14342" width="6.7109375" style="324" customWidth="1"/>
    <col min="14343" max="14343" width="13.42578125" style="324" customWidth="1"/>
    <col min="14344" max="14344" width="8" style="324" customWidth="1"/>
    <col min="14345" max="14345" width="7.140625" style="324" customWidth="1"/>
    <col min="14346" max="14346" width="6.85546875" style="324" customWidth="1"/>
    <col min="14347" max="14347" width="9.140625" style="324"/>
    <col min="14348" max="14348" width="14.42578125" style="324" bestFit="1" customWidth="1"/>
    <col min="14349" max="14349" width="6.42578125" style="324" customWidth="1"/>
    <col min="14350" max="14350" width="4.85546875" style="324" bestFit="1" customWidth="1"/>
    <col min="14351" max="14351" width="4.85546875" style="324" customWidth="1"/>
    <col min="14352" max="14352" width="3.7109375" style="324" bestFit="1" customWidth="1"/>
    <col min="14353" max="14353" width="1.28515625" style="324" customWidth="1"/>
    <col min="14354" max="14592" width="9.140625" style="324"/>
    <col min="14593" max="14593" width="1.28515625" style="324" customWidth="1"/>
    <col min="14594" max="14594" width="17.7109375" style="324" customWidth="1"/>
    <col min="14595" max="14595" width="5.140625" style="324" customWidth="1"/>
    <col min="14596" max="14596" width="6.42578125" style="324" customWidth="1"/>
    <col min="14597" max="14597" width="6.28515625" style="324" customWidth="1"/>
    <col min="14598" max="14598" width="6.7109375" style="324" customWidth="1"/>
    <col min="14599" max="14599" width="13.42578125" style="324" customWidth="1"/>
    <col min="14600" max="14600" width="8" style="324" customWidth="1"/>
    <col min="14601" max="14601" width="7.140625" style="324" customWidth="1"/>
    <col min="14602" max="14602" width="6.85546875" style="324" customWidth="1"/>
    <col min="14603" max="14603" width="9.140625" style="324"/>
    <col min="14604" max="14604" width="14.42578125" style="324" bestFit="1" customWidth="1"/>
    <col min="14605" max="14605" width="6.42578125" style="324" customWidth="1"/>
    <col min="14606" max="14606" width="4.85546875" style="324" bestFit="1" customWidth="1"/>
    <col min="14607" max="14607" width="4.85546875" style="324" customWidth="1"/>
    <col min="14608" max="14608" width="3.7109375" style="324" bestFit="1" customWidth="1"/>
    <col min="14609" max="14609" width="1.28515625" style="324" customWidth="1"/>
    <col min="14610" max="14848" width="9.140625" style="324"/>
    <col min="14849" max="14849" width="1.28515625" style="324" customWidth="1"/>
    <col min="14850" max="14850" width="17.7109375" style="324" customWidth="1"/>
    <col min="14851" max="14851" width="5.140625" style="324" customWidth="1"/>
    <col min="14852" max="14852" width="6.42578125" style="324" customWidth="1"/>
    <col min="14853" max="14853" width="6.28515625" style="324" customWidth="1"/>
    <col min="14854" max="14854" width="6.7109375" style="324" customWidth="1"/>
    <col min="14855" max="14855" width="13.42578125" style="324" customWidth="1"/>
    <col min="14856" max="14856" width="8" style="324" customWidth="1"/>
    <col min="14857" max="14857" width="7.140625" style="324" customWidth="1"/>
    <col min="14858" max="14858" width="6.85546875" style="324" customWidth="1"/>
    <col min="14859" max="14859" width="9.140625" style="324"/>
    <col min="14860" max="14860" width="14.42578125" style="324" bestFit="1" customWidth="1"/>
    <col min="14861" max="14861" width="6.42578125" style="324" customWidth="1"/>
    <col min="14862" max="14862" width="4.85546875" style="324" bestFit="1" customWidth="1"/>
    <col min="14863" max="14863" width="4.85546875" style="324" customWidth="1"/>
    <col min="14864" max="14864" width="3.7109375" style="324" bestFit="1" customWidth="1"/>
    <col min="14865" max="14865" width="1.28515625" style="324" customWidth="1"/>
    <col min="14866" max="15104" width="9.140625" style="324"/>
    <col min="15105" max="15105" width="1.28515625" style="324" customWidth="1"/>
    <col min="15106" max="15106" width="17.7109375" style="324" customWidth="1"/>
    <col min="15107" max="15107" width="5.140625" style="324" customWidth="1"/>
    <col min="15108" max="15108" width="6.42578125" style="324" customWidth="1"/>
    <col min="15109" max="15109" width="6.28515625" style="324" customWidth="1"/>
    <col min="15110" max="15110" width="6.7109375" style="324" customWidth="1"/>
    <col min="15111" max="15111" width="13.42578125" style="324" customWidth="1"/>
    <col min="15112" max="15112" width="8" style="324" customWidth="1"/>
    <col min="15113" max="15113" width="7.140625" style="324" customWidth="1"/>
    <col min="15114" max="15114" width="6.85546875" style="324" customWidth="1"/>
    <col min="15115" max="15115" width="9.140625" style="324"/>
    <col min="15116" max="15116" width="14.42578125" style="324" bestFit="1" customWidth="1"/>
    <col min="15117" max="15117" width="6.42578125" style="324" customWidth="1"/>
    <col min="15118" max="15118" width="4.85546875" style="324" bestFit="1" customWidth="1"/>
    <col min="15119" max="15119" width="4.85546875" style="324" customWidth="1"/>
    <col min="15120" max="15120" width="3.7109375" style="324" bestFit="1" customWidth="1"/>
    <col min="15121" max="15121" width="1.28515625" style="324" customWidth="1"/>
    <col min="15122" max="15360" width="9.140625" style="324"/>
    <col min="15361" max="15361" width="1.28515625" style="324" customWidth="1"/>
    <col min="15362" max="15362" width="17.7109375" style="324" customWidth="1"/>
    <col min="15363" max="15363" width="5.140625" style="324" customWidth="1"/>
    <col min="15364" max="15364" width="6.42578125" style="324" customWidth="1"/>
    <col min="15365" max="15365" width="6.28515625" style="324" customWidth="1"/>
    <col min="15366" max="15366" width="6.7109375" style="324" customWidth="1"/>
    <col min="15367" max="15367" width="13.42578125" style="324" customWidth="1"/>
    <col min="15368" max="15368" width="8" style="324" customWidth="1"/>
    <col min="15369" max="15369" width="7.140625" style="324" customWidth="1"/>
    <col min="15370" max="15370" width="6.85546875" style="324" customWidth="1"/>
    <col min="15371" max="15371" width="9.140625" style="324"/>
    <col min="15372" max="15372" width="14.42578125" style="324" bestFit="1" customWidth="1"/>
    <col min="15373" max="15373" width="6.42578125" style="324" customWidth="1"/>
    <col min="15374" max="15374" width="4.85546875" style="324" bestFit="1" customWidth="1"/>
    <col min="15375" max="15375" width="4.85546875" style="324" customWidth="1"/>
    <col min="15376" max="15376" width="3.7109375" style="324" bestFit="1" customWidth="1"/>
    <col min="15377" max="15377" width="1.28515625" style="324" customWidth="1"/>
    <col min="15378" max="15616" width="9.140625" style="324"/>
    <col min="15617" max="15617" width="1.28515625" style="324" customWidth="1"/>
    <col min="15618" max="15618" width="17.7109375" style="324" customWidth="1"/>
    <col min="15619" max="15619" width="5.140625" style="324" customWidth="1"/>
    <col min="15620" max="15620" width="6.42578125" style="324" customWidth="1"/>
    <col min="15621" max="15621" width="6.28515625" style="324" customWidth="1"/>
    <col min="15622" max="15622" width="6.7109375" style="324" customWidth="1"/>
    <col min="15623" max="15623" width="13.42578125" style="324" customWidth="1"/>
    <col min="15624" max="15624" width="8" style="324" customWidth="1"/>
    <col min="15625" max="15625" width="7.140625" style="324" customWidth="1"/>
    <col min="15626" max="15626" width="6.85546875" style="324" customWidth="1"/>
    <col min="15627" max="15627" width="9.140625" style="324"/>
    <col min="15628" max="15628" width="14.42578125" style="324" bestFit="1" customWidth="1"/>
    <col min="15629" max="15629" width="6.42578125" style="324" customWidth="1"/>
    <col min="15630" max="15630" width="4.85546875" style="324" bestFit="1" customWidth="1"/>
    <col min="15631" max="15631" width="4.85546875" style="324" customWidth="1"/>
    <col min="15632" max="15632" width="3.7109375" style="324" bestFit="1" customWidth="1"/>
    <col min="15633" max="15633" width="1.28515625" style="324" customWidth="1"/>
    <col min="15634" max="15872" width="9.140625" style="324"/>
    <col min="15873" max="15873" width="1.28515625" style="324" customWidth="1"/>
    <col min="15874" max="15874" width="17.7109375" style="324" customWidth="1"/>
    <col min="15875" max="15875" width="5.140625" style="324" customWidth="1"/>
    <col min="15876" max="15876" width="6.42578125" style="324" customWidth="1"/>
    <col min="15877" max="15877" width="6.28515625" style="324" customWidth="1"/>
    <col min="15878" max="15878" width="6.7109375" style="324" customWidth="1"/>
    <col min="15879" max="15879" width="13.42578125" style="324" customWidth="1"/>
    <col min="15880" max="15880" width="8" style="324" customWidth="1"/>
    <col min="15881" max="15881" width="7.140625" style="324" customWidth="1"/>
    <col min="15882" max="15882" width="6.85546875" style="324" customWidth="1"/>
    <col min="15883" max="15883" width="9.140625" style="324"/>
    <col min="15884" max="15884" width="14.42578125" style="324" bestFit="1" customWidth="1"/>
    <col min="15885" max="15885" width="6.42578125" style="324" customWidth="1"/>
    <col min="15886" max="15886" width="4.85546875" style="324" bestFit="1" customWidth="1"/>
    <col min="15887" max="15887" width="4.85546875" style="324" customWidth="1"/>
    <col min="15888" max="15888" width="3.7109375" style="324" bestFit="1" customWidth="1"/>
    <col min="15889" max="15889" width="1.28515625" style="324" customWidth="1"/>
    <col min="15890" max="16128" width="9.140625" style="324"/>
    <col min="16129" max="16129" width="1.28515625" style="324" customWidth="1"/>
    <col min="16130" max="16130" width="17.7109375" style="324" customWidth="1"/>
    <col min="16131" max="16131" width="5.140625" style="324" customWidth="1"/>
    <col min="16132" max="16132" width="6.42578125" style="324" customWidth="1"/>
    <col min="16133" max="16133" width="6.28515625" style="324" customWidth="1"/>
    <col min="16134" max="16134" width="6.7109375" style="324" customWidth="1"/>
    <col min="16135" max="16135" width="13.42578125" style="324" customWidth="1"/>
    <col min="16136" max="16136" width="8" style="324" customWidth="1"/>
    <col min="16137" max="16137" width="7.140625" style="324" customWidth="1"/>
    <col min="16138" max="16138" width="6.85546875" style="324" customWidth="1"/>
    <col min="16139" max="16139" width="9.140625" style="324"/>
    <col min="16140" max="16140" width="14.42578125" style="324" bestFit="1" customWidth="1"/>
    <col min="16141" max="16141" width="6.42578125" style="324" customWidth="1"/>
    <col min="16142" max="16142" width="4.85546875" style="324" bestFit="1" customWidth="1"/>
    <col min="16143" max="16143" width="4.85546875" style="324" customWidth="1"/>
    <col min="16144" max="16144" width="3.7109375" style="324" bestFit="1" customWidth="1"/>
    <col min="16145" max="16145" width="1.28515625" style="324" customWidth="1"/>
    <col min="16146" max="16384" width="9.140625" style="324"/>
  </cols>
  <sheetData>
    <row r="1" spans="1:18" ht="6.75" customHeight="1">
      <c r="A1" s="320"/>
      <c r="B1" s="321"/>
      <c r="C1" s="321"/>
      <c r="D1" s="321"/>
      <c r="E1" s="321"/>
      <c r="F1" s="321"/>
      <c r="G1" s="321"/>
      <c r="H1" s="321"/>
      <c r="I1" s="321"/>
      <c r="J1" s="321"/>
      <c r="K1" s="321"/>
      <c r="L1" s="321"/>
      <c r="M1" s="321"/>
      <c r="N1" s="321"/>
      <c r="O1" s="321"/>
      <c r="P1" s="321"/>
      <c r="Q1" s="322"/>
      <c r="R1" s="323"/>
    </row>
    <row r="2" spans="1:18">
      <c r="A2" s="325"/>
      <c r="B2" s="463" t="s">
        <v>470</v>
      </c>
      <c r="C2" s="463"/>
      <c r="D2" s="463"/>
      <c r="E2" s="463"/>
      <c r="F2" s="463"/>
      <c r="G2" s="323"/>
      <c r="H2" s="323"/>
      <c r="I2" s="323"/>
      <c r="J2" s="323"/>
      <c r="K2" s="323"/>
      <c r="L2" s="323"/>
      <c r="M2" s="323"/>
      <c r="N2" s="323"/>
      <c r="O2" s="323"/>
      <c r="P2" s="323"/>
      <c r="Q2" s="326"/>
      <c r="R2" s="323"/>
    </row>
    <row r="3" spans="1:18">
      <c r="A3" s="325"/>
      <c r="B3" s="463"/>
      <c r="C3" s="463"/>
      <c r="D3" s="463"/>
      <c r="E3" s="463"/>
      <c r="F3" s="463"/>
      <c r="G3" s="323"/>
      <c r="H3" s="323"/>
      <c r="I3" s="323"/>
      <c r="J3" s="323"/>
      <c r="K3" s="323"/>
      <c r="L3" s="323"/>
      <c r="M3" s="323"/>
      <c r="N3" s="323"/>
      <c r="O3" s="323"/>
      <c r="P3" s="323"/>
      <c r="Q3" s="326"/>
      <c r="R3" s="323"/>
    </row>
    <row r="4" spans="1:18">
      <c r="A4" s="325"/>
      <c r="B4" s="323"/>
      <c r="C4" s="323"/>
      <c r="D4" s="323"/>
      <c r="E4" s="323"/>
      <c r="F4" s="323"/>
      <c r="G4" s="323"/>
      <c r="H4" s="323"/>
      <c r="I4" s="323"/>
      <c r="J4" s="323"/>
      <c r="K4" s="323"/>
      <c r="L4" s="323"/>
      <c r="M4" s="323"/>
      <c r="N4" s="323"/>
      <c r="O4" s="323"/>
      <c r="P4" s="323"/>
      <c r="Q4" s="326"/>
      <c r="R4" s="323"/>
    </row>
    <row r="5" spans="1:18" ht="22.5" customHeight="1">
      <c r="A5" s="325"/>
      <c r="B5" s="327" t="s">
        <v>471</v>
      </c>
      <c r="C5" s="475"/>
      <c r="D5" s="475"/>
      <c r="E5" s="475"/>
      <c r="F5" s="475"/>
      <c r="G5" s="475"/>
      <c r="H5" s="475"/>
      <c r="I5" s="476" t="s">
        <v>472</v>
      </c>
      <c r="J5" s="476"/>
      <c r="K5" s="467"/>
      <c r="L5" s="467"/>
      <c r="M5" s="467"/>
      <c r="N5" s="467"/>
      <c r="O5" s="467"/>
      <c r="P5" s="467"/>
      <c r="Q5" s="326"/>
      <c r="R5" s="323"/>
    </row>
    <row r="6" spans="1:18" ht="22.5" customHeight="1">
      <c r="A6" s="325"/>
      <c r="B6" s="327" t="s">
        <v>54</v>
      </c>
      <c r="C6" s="464"/>
      <c r="D6" s="464"/>
      <c r="E6" s="464"/>
      <c r="F6" s="464"/>
      <c r="G6" s="464"/>
      <c r="H6" s="464"/>
      <c r="I6" s="476" t="s">
        <v>473</v>
      </c>
      <c r="J6" s="476"/>
      <c r="K6" s="464"/>
      <c r="L6" s="464"/>
      <c r="M6" s="464"/>
      <c r="N6" s="464"/>
      <c r="O6" s="464"/>
      <c r="P6" s="464"/>
      <c r="Q6" s="326"/>
      <c r="R6" s="323"/>
    </row>
    <row r="7" spans="1:18" ht="22.5" customHeight="1">
      <c r="A7" s="325"/>
      <c r="B7" s="327" t="s">
        <v>474</v>
      </c>
      <c r="C7" s="467"/>
      <c r="D7" s="467"/>
      <c r="E7" s="476" t="s">
        <v>475</v>
      </c>
      <c r="F7" s="476"/>
      <c r="G7" s="476"/>
      <c r="H7" s="461"/>
      <c r="I7" s="461"/>
      <c r="J7" s="468" t="s">
        <v>578</v>
      </c>
      <c r="K7" s="468"/>
      <c r="L7" s="460"/>
      <c r="M7" s="460"/>
      <c r="N7" s="460"/>
      <c r="O7" s="460"/>
      <c r="P7" s="460"/>
      <c r="Q7" s="326"/>
      <c r="R7" s="323"/>
    </row>
    <row r="8" spans="1:18" ht="22.5" customHeight="1">
      <c r="A8" s="325"/>
      <c r="B8" s="327" t="s">
        <v>476</v>
      </c>
      <c r="C8" s="461"/>
      <c r="D8" s="461"/>
      <c r="E8" s="461"/>
      <c r="F8" s="461"/>
      <c r="G8" s="461"/>
      <c r="H8" s="461"/>
      <c r="I8" s="461"/>
      <c r="J8" s="461"/>
      <c r="K8" s="461"/>
      <c r="L8" s="461"/>
      <c r="M8" s="461"/>
      <c r="N8" s="461"/>
      <c r="O8" s="461"/>
      <c r="P8" s="461"/>
      <c r="Q8" s="326"/>
      <c r="R8" s="323"/>
    </row>
    <row r="9" spans="1:18" ht="22.5" customHeight="1">
      <c r="A9" s="325"/>
      <c r="B9" s="328" t="s">
        <v>477</v>
      </c>
      <c r="C9" s="323"/>
      <c r="D9" s="329"/>
      <c r="E9" s="460"/>
      <c r="F9" s="460"/>
      <c r="G9" s="460"/>
      <c r="H9" s="460"/>
      <c r="I9" s="460"/>
      <c r="J9" s="460"/>
      <c r="K9" s="460"/>
      <c r="L9" s="460"/>
      <c r="M9" s="460"/>
      <c r="N9" s="460"/>
      <c r="O9" s="460"/>
      <c r="P9" s="460"/>
      <c r="Q9" s="326"/>
      <c r="R9" s="323"/>
    </row>
    <row r="10" spans="1:18" ht="22.5" customHeight="1">
      <c r="A10" s="325"/>
      <c r="B10" s="477" t="s">
        <v>478</v>
      </c>
      <c r="C10" s="477"/>
      <c r="D10" s="477"/>
      <c r="E10" s="477"/>
      <c r="F10" s="477"/>
      <c r="G10" s="471"/>
      <c r="H10" s="471"/>
      <c r="I10" s="469" t="s">
        <v>579</v>
      </c>
      <c r="J10" s="469"/>
      <c r="K10" s="469"/>
      <c r="L10" s="470"/>
      <c r="M10" s="470"/>
      <c r="N10" s="470"/>
      <c r="O10" s="470"/>
      <c r="P10" s="470"/>
      <c r="Q10" s="326"/>
      <c r="R10" s="323"/>
    </row>
    <row r="11" spans="1:18">
      <c r="A11" s="325"/>
      <c r="B11" s="461"/>
      <c r="C11" s="461"/>
      <c r="D11" s="461"/>
      <c r="E11" s="461"/>
      <c r="F11" s="461"/>
      <c r="G11" s="461"/>
      <c r="H11" s="323"/>
      <c r="I11" s="461"/>
      <c r="J11" s="461"/>
      <c r="K11" s="461"/>
      <c r="L11" s="461"/>
      <c r="M11" s="461"/>
      <c r="N11" s="461"/>
      <c r="O11" s="461"/>
      <c r="P11" s="461"/>
      <c r="Q11" s="326"/>
      <c r="R11" s="323"/>
    </row>
    <row r="12" spans="1:18">
      <c r="A12" s="325"/>
      <c r="B12" s="464"/>
      <c r="C12" s="464"/>
      <c r="D12" s="464"/>
      <c r="E12" s="464"/>
      <c r="F12" s="464"/>
      <c r="G12" s="464"/>
      <c r="H12" s="323"/>
      <c r="I12" s="461"/>
      <c r="J12" s="461"/>
      <c r="K12" s="461"/>
      <c r="L12" s="461"/>
      <c r="M12" s="461"/>
      <c r="N12" s="461"/>
      <c r="O12" s="461"/>
      <c r="P12" s="461"/>
      <c r="Q12" s="326"/>
      <c r="R12" s="323"/>
    </row>
    <row r="13" spans="1:18">
      <c r="A13" s="325"/>
      <c r="B13" s="464"/>
      <c r="C13" s="464"/>
      <c r="D13" s="464"/>
      <c r="E13" s="464"/>
      <c r="F13" s="464"/>
      <c r="G13" s="464"/>
      <c r="H13" s="323"/>
      <c r="I13" s="461"/>
      <c r="J13" s="461"/>
      <c r="K13" s="461"/>
      <c r="L13" s="461"/>
      <c r="M13" s="461"/>
      <c r="N13" s="461"/>
      <c r="O13" s="461"/>
      <c r="P13" s="461"/>
      <c r="Q13" s="326"/>
      <c r="R13" s="323"/>
    </row>
    <row r="14" spans="1:18">
      <c r="A14" s="325"/>
      <c r="B14" s="464"/>
      <c r="C14" s="464"/>
      <c r="D14" s="464"/>
      <c r="E14" s="464"/>
      <c r="F14" s="464"/>
      <c r="G14" s="464"/>
      <c r="H14" s="323"/>
      <c r="I14" s="461"/>
      <c r="J14" s="461"/>
      <c r="K14" s="461"/>
      <c r="L14" s="461"/>
      <c r="M14" s="461"/>
      <c r="N14" s="461"/>
      <c r="O14" s="461"/>
      <c r="P14" s="461"/>
      <c r="Q14" s="326"/>
      <c r="R14" s="323"/>
    </row>
    <row r="15" spans="1:18">
      <c r="A15" s="325"/>
      <c r="B15" s="464"/>
      <c r="C15" s="464"/>
      <c r="D15" s="464"/>
      <c r="E15" s="464"/>
      <c r="F15" s="464"/>
      <c r="G15" s="464"/>
      <c r="H15" s="323"/>
      <c r="I15" s="461"/>
      <c r="J15" s="461"/>
      <c r="K15" s="461"/>
      <c r="L15" s="461"/>
      <c r="M15" s="461"/>
      <c r="N15" s="461"/>
      <c r="O15" s="461"/>
      <c r="P15" s="461"/>
      <c r="Q15" s="326"/>
      <c r="R15" s="323"/>
    </row>
    <row r="16" spans="1:18">
      <c r="A16" s="325"/>
      <c r="B16" s="464"/>
      <c r="C16" s="464"/>
      <c r="D16" s="464"/>
      <c r="E16" s="464"/>
      <c r="F16" s="464"/>
      <c r="G16" s="464"/>
      <c r="H16" s="323"/>
      <c r="I16" s="461"/>
      <c r="J16" s="461"/>
      <c r="K16" s="461"/>
      <c r="L16" s="461"/>
      <c r="M16" s="461"/>
      <c r="N16" s="461"/>
      <c r="O16" s="461"/>
      <c r="P16" s="461"/>
      <c r="Q16" s="326"/>
      <c r="R16" s="323"/>
    </row>
    <row r="17" spans="1:24">
      <c r="A17" s="325"/>
      <c r="B17" s="464"/>
      <c r="C17" s="464"/>
      <c r="D17" s="464"/>
      <c r="E17" s="464"/>
      <c r="F17" s="464"/>
      <c r="G17" s="464"/>
      <c r="H17" s="323"/>
      <c r="I17" s="461"/>
      <c r="J17" s="461"/>
      <c r="K17" s="461"/>
      <c r="L17" s="461"/>
      <c r="M17" s="461"/>
      <c r="N17" s="461"/>
      <c r="O17" s="461"/>
      <c r="P17" s="461"/>
      <c r="Q17" s="326"/>
      <c r="R17" s="323"/>
    </row>
    <row r="18" spans="1:24">
      <c r="A18" s="325"/>
      <c r="B18" s="464"/>
      <c r="C18" s="464"/>
      <c r="D18" s="464"/>
      <c r="E18" s="464"/>
      <c r="F18" s="464"/>
      <c r="G18" s="464"/>
      <c r="H18" s="323"/>
      <c r="I18" s="461"/>
      <c r="J18" s="461"/>
      <c r="K18" s="461"/>
      <c r="L18" s="461"/>
      <c r="M18" s="461"/>
      <c r="N18" s="461"/>
      <c r="O18" s="461"/>
      <c r="P18" s="461"/>
      <c r="Q18" s="326"/>
      <c r="R18" s="323"/>
    </row>
    <row r="19" spans="1:24">
      <c r="A19" s="325"/>
      <c r="B19" s="330"/>
      <c r="C19" s="330"/>
      <c r="D19" s="330"/>
      <c r="E19" s="330"/>
      <c r="F19" s="330"/>
      <c r="G19" s="323"/>
      <c r="H19" s="330"/>
      <c r="I19" s="330"/>
      <c r="J19" s="330"/>
      <c r="K19" s="330"/>
      <c r="L19" s="330"/>
      <c r="M19" s="330"/>
      <c r="N19" s="330"/>
      <c r="O19" s="330"/>
      <c r="P19" s="330"/>
      <c r="Q19" s="326"/>
      <c r="R19" s="323"/>
    </row>
    <row r="20" spans="1:24">
      <c r="A20" s="325"/>
      <c r="B20" s="328" t="s">
        <v>647</v>
      </c>
      <c r="C20" s="323"/>
      <c r="D20" s="323"/>
      <c r="E20" s="323"/>
      <c r="F20" s="412"/>
      <c r="G20" s="331" t="s">
        <v>581</v>
      </c>
      <c r="H20" s="467"/>
      <c r="I20" s="467"/>
      <c r="J20" s="323"/>
      <c r="K20" s="323"/>
      <c r="L20" s="323"/>
      <c r="M20" s="323"/>
      <c r="N20" s="323"/>
      <c r="O20" s="323"/>
      <c r="P20" s="323"/>
      <c r="Q20" s="326"/>
      <c r="R20" s="323"/>
    </row>
    <row r="21" spans="1:24">
      <c r="A21" s="325"/>
      <c r="B21" s="461"/>
      <c r="C21" s="461"/>
      <c r="D21" s="461"/>
      <c r="E21" s="323"/>
      <c r="F21" s="461"/>
      <c r="G21" s="461"/>
      <c r="H21" s="461"/>
      <c r="I21" s="323"/>
      <c r="J21" s="461"/>
      <c r="K21" s="461"/>
      <c r="L21" s="461"/>
      <c r="M21" s="461"/>
      <c r="N21" s="461"/>
      <c r="O21" s="461"/>
      <c r="P21" s="461"/>
      <c r="Q21" s="326"/>
      <c r="R21" s="323"/>
    </row>
    <row r="22" spans="1:24">
      <c r="A22" s="325"/>
      <c r="B22" s="461"/>
      <c r="C22" s="461"/>
      <c r="D22" s="461"/>
      <c r="E22" s="323"/>
      <c r="F22" s="461"/>
      <c r="G22" s="461"/>
      <c r="H22" s="461"/>
      <c r="I22" s="323"/>
      <c r="J22" s="461"/>
      <c r="K22" s="461"/>
      <c r="L22" s="461"/>
      <c r="M22" s="461"/>
      <c r="N22" s="461"/>
      <c r="O22" s="461"/>
      <c r="P22" s="461"/>
      <c r="Q22" s="326"/>
      <c r="R22" s="323"/>
    </row>
    <row r="23" spans="1:24">
      <c r="A23" s="325"/>
      <c r="B23" s="461"/>
      <c r="C23" s="461"/>
      <c r="D23" s="461"/>
      <c r="E23" s="323"/>
      <c r="F23" s="461"/>
      <c r="G23" s="461"/>
      <c r="H23" s="461"/>
      <c r="I23" s="323"/>
      <c r="J23" s="461"/>
      <c r="K23" s="461"/>
      <c r="L23" s="461"/>
      <c r="M23" s="461"/>
      <c r="N23" s="461"/>
      <c r="O23" s="461"/>
      <c r="P23" s="461"/>
      <c r="Q23" s="326"/>
      <c r="R23" s="323"/>
    </row>
    <row r="24" spans="1:24">
      <c r="A24" s="325"/>
      <c r="B24" s="460"/>
      <c r="C24" s="460"/>
      <c r="D24" s="460"/>
      <c r="E24" s="323"/>
      <c r="F24" s="460"/>
      <c r="G24" s="460"/>
      <c r="H24" s="460"/>
      <c r="I24" s="323"/>
      <c r="J24" s="411"/>
      <c r="K24" s="411"/>
      <c r="L24" s="411"/>
      <c r="M24" s="411"/>
      <c r="N24" s="411"/>
      <c r="O24" s="411"/>
      <c r="P24" s="411"/>
      <c r="Q24" s="326"/>
      <c r="R24" s="323"/>
    </row>
    <row r="25" spans="1:24">
      <c r="A25" s="325"/>
      <c r="B25" s="461"/>
      <c r="C25" s="461"/>
      <c r="D25" s="461"/>
      <c r="E25" s="323"/>
      <c r="F25" s="461"/>
      <c r="G25" s="461"/>
      <c r="H25" s="461"/>
      <c r="I25" s="323"/>
      <c r="J25" s="461"/>
      <c r="K25" s="461"/>
      <c r="L25" s="461"/>
      <c r="M25" s="461"/>
      <c r="N25" s="461"/>
      <c r="O25" s="461"/>
      <c r="P25" s="461"/>
      <c r="Q25" s="326"/>
      <c r="R25" s="323"/>
    </row>
    <row r="26" spans="1:24">
      <c r="A26" s="325"/>
      <c r="B26" s="461"/>
      <c r="C26" s="461"/>
      <c r="D26" s="461"/>
      <c r="E26" s="323"/>
      <c r="F26" s="461"/>
      <c r="G26" s="461"/>
      <c r="H26" s="461"/>
      <c r="I26" s="323"/>
      <c r="J26" s="471" t="s">
        <v>580</v>
      </c>
      <c r="K26" s="471"/>
      <c r="L26" s="464"/>
      <c r="M26" s="464"/>
      <c r="N26" s="464"/>
      <c r="O26" s="464"/>
      <c r="P26" s="464"/>
      <c r="Q26" s="326"/>
      <c r="R26" s="323"/>
    </row>
    <row r="27" spans="1:24">
      <c r="A27" s="325"/>
      <c r="B27" s="323"/>
      <c r="C27" s="323"/>
      <c r="D27" s="323"/>
      <c r="E27" s="323"/>
      <c r="F27" s="323"/>
      <c r="G27" s="323"/>
      <c r="H27" s="323"/>
      <c r="I27" s="323"/>
      <c r="J27" s="323"/>
      <c r="K27" s="323"/>
      <c r="L27" s="323"/>
      <c r="M27" s="323"/>
      <c r="N27" s="323"/>
      <c r="O27" s="323"/>
      <c r="P27" s="323"/>
      <c r="Q27" s="326"/>
      <c r="R27" s="323"/>
      <c r="U27" s="323"/>
      <c r="V27" s="323"/>
      <c r="W27" s="323"/>
      <c r="X27" s="323"/>
    </row>
    <row r="28" spans="1:24">
      <c r="A28" s="325"/>
      <c r="B28" s="328" t="s">
        <v>479</v>
      </c>
      <c r="C28" s="323"/>
      <c r="D28" s="323"/>
      <c r="E28" s="465"/>
      <c r="F28" s="465"/>
      <c r="G28" s="465"/>
      <c r="H28" s="465"/>
      <c r="I28" s="465"/>
      <c r="J28" s="465"/>
      <c r="K28" s="328"/>
      <c r="L28" s="323"/>
      <c r="M28" s="323"/>
      <c r="N28" s="323"/>
      <c r="O28" s="323"/>
      <c r="P28" s="323"/>
      <c r="Q28" s="326"/>
      <c r="R28" s="323"/>
      <c r="U28" s="323"/>
      <c r="V28" s="323"/>
      <c r="W28" s="323"/>
      <c r="X28" s="323"/>
    </row>
    <row r="29" spans="1:24">
      <c r="A29" s="325"/>
      <c r="B29" s="323"/>
      <c r="C29" s="323"/>
      <c r="D29" s="323"/>
      <c r="E29" s="323"/>
      <c r="F29" s="323"/>
      <c r="G29" s="323"/>
      <c r="H29" s="323"/>
      <c r="I29" s="323"/>
      <c r="J29" s="323"/>
      <c r="K29" s="323"/>
      <c r="L29" s="323"/>
      <c r="M29" s="323"/>
      <c r="N29" s="323"/>
      <c r="O29" s="323"/>
      <c r="P29" s="323"/>
      <c r="Q29" s="326"/>
      <c r="R29" s="323"/>
      <c r="U29" s="323"/>
      <c r="V29" s="323"/>
      <c r="W29" s="323"/>
      <c r="X29" s="323"/>
    </row>
    <row r="30" spans="1:24">
      <c r="A30" s="325"/>
      <c r="B30" s="463" t="s">
        <v>582</v>
      </c>
      <c r="C30" s="463"/>
      <c r="D30" s="463"/>
      <c r="E30" s="463"/>
      <c r="F30" s="463"/>
      <c r="G30" s="323"/>
      <c r="H30" s="323"/>
      <c r="I30" s="323"/>
      <c r="J30" s="323"/>
      <c r="K30" s="323"/>
      <c r="L30" s="323"/>
      <c r="M30" s="323"/>
      <c r="N30" s="323"/>
      <c r="O30" s="323"/>
      <c r="P30" s="323"/>
      <c r="Q30" s="326"/>
      <c r="R30" s="323"/>
      <c r="U30" s="323"/>
      <c r="V30" s="323"/>
      <c r="W30" s="323"/>
      <c r="X30" s="323"/>
    </row>
    <row r="31" spans="1:24">
      <c r="A31" s="325"/>
      <c r="B31" s="463"/>
      <c r="C31" s="463"/>
      <c r="D31" s="463"/>
      <c r="E31" s="463"/>
      <c r="F31" s="463"/>
      <c r="G31" s="323"/>
      <c r="H31" s="323"/>
      <c r="I31" s="323"/>
      <c r="J31" s="323"/>
      <c r="K31" s="323"/>
      <c r="L31" s="323"/>
      <c r="M31" s="323"/>
      <c r="N31" s="323"/>
      <c r="O31" s="323"/>
      <c r="P31" s="323"/>
      <c r="Q31" s="326"/>
      <c r="R31" s="323"/>
    </row>
    <row r="32" spans="1:24">
      <c r="A32" s="325"/>
      <c r="B32" s="461"/>
      <c r="C32" s="461"/>
      <c r="D32" s="461"/>
      <c r="E32" s="461"/>
      <c r="F32" s="461"/>
      <c r="G32" s="461"/>
      <c r="H32" s="461"/>
      <c r="I32" s="461"/>
      <c r="J32" s="461"/>
      <c r="K32" s="461"/>
      <c r="L32" s="461"/>
      <c r="M32" s="461"/>
      <c r="N32" s="461"/>
      <c r="O32" s="461"/>
      <c r="P32" s="461"/>
      <c r="Q32" s="326"/>
      <c r="R32" s="323"/>
    </row>
    <row r="33" spans="1:30">
      <c r="A33" s="325"/>
      <c r="B33" s="461"/>
      <c r="C33" s="461"/>
      <c r="D33" s="461"/>
      <c r="E33" s="461"/>
      <c r="F33" s="461"/>
      <c r="G33" s="461"/>
      <c r="H33" s="461"/>
      <c r="I33" s="461"/>
      <c r="J33" s="461"/>
      <c r="K33" s="461"/>
      <c r="L33" s="461"/>
      <c r="M33" s="461"/>
      <c r="N33" s="461"/>
      <c r="O33" s="461"/>
      <c r="P33" s="461"/>
      <c r="Q33" s="326"/>
      <c r="R33" s="323"/>
    </row>
    <row r="34" spans="1:30">
      <c r="A34" s="325"/>
      <c r="B34" s="461"/>
      <c r="C34" s="461"/>
      <c r="D34" s="461"/>
      <c r="E34" s="461"/>
      <c r="F34" s="461"/>
      <c r="G34" s="461"/>
      <c r="H34" s="461"/>
      <c r="I34" s="461"/>
      <c r="J34" s="461"/>
      <c r="K34" s="461"/>
      <c r="L34" s="461"/>
      <c r="M34" s="461"/>
      <c r="N34" s="461"/>
      <c r="O34" s="461"/>
      <c r="P34" s="461"/>
      <c r="Q34" s="326"/>
      <c r="R34" s="323"/>
    </row>
    <row r="35" spans="1:30">
      <c r="A35" s="325"/>
      <c r="B35" s="461"/>
      <c r="C35" s="461"/>
      <c r="D35" s="461"/>
      <c r="E35" s="461"/>
      <c r="F35" s="461"/>
      <c r="G35" s="461"/>
      <c r="H35" s="461"/>
      <c r="I35" s="461"/>
      <c r="J35" s="461"/>
      <c r="K35" s="461"/>
      <c r="L35" s="461"/>
      <c r="M35" s="461"/>
      <c r="N35" s="461"/>
      <c r="O35" s="461"/>
      <c r="P35" s="461"/>
      <c r="Q35" s="326"/>
      <c r="R35" s="323"/>
    </row>
    <row r="36" spans="1:30">
      <c r="A36" s="325"/>
      <c r="B36" s="461"/>
      <c r="C36" s="461"/>
      <c r="D36" s="461"/>
      <c r="E36" s="461"/>
      <c r="F36" s="461"/>
      <c r="G36" s="461"/>
      <c r="H36" s="461"/>
      <c r="I36" s="461"/>
      <c r="J36" s="461"/>
      <c r="K36" s="461"/>
      <c r="L36" s="461"/>
      <c r="M36" s="461"/>
      <c r="N36" s="461"/>
      <c r="O36" s="461"/>
      <c r="P36" s="461"/>
      <c r="Q36" s="326"/>
      <c r="R36" s="327"/>
      <c r="S36" s="323"/>
      <c r="T36" s="327"/>
      <c r="U36" s="323"/>
      <c r="V36" s="323"/>
      <c r="W36" s="327"/>
      <c r="X36" s="323"/>
      <c r="Y36" s="327"/>
      <c r="Z36" s="323"/>
      <c r="AA36" s="323"/>
      <c r="AB36" s="327"/>
      <c r="AC36" s="323"/>
      <c r="AD36" s="327"/>
    </row>
    <row r="37" spans="1:30">
      <c r="A37" s="325"/>
      <c r="B37" s="323"/>
      <c r="C37" s="323"/>
      <c r="D37" s="323"/>
      <c r="E37" s="323"/>
      <c r="F37" s="323"/>
      <c r="G37" s="323"/>
      <c r="H37" s="323"/>
      <c r="I37" s="323"/>
      <c r="J37" s="323"/>
      <c r="K37" s="323"/>
      <c r="L37" s="323"/>
      <c r="M37" s="323"/>
      <c r="N37" s="323"/>
      <c r="O37" s="323"/>
      <c r="P37" s="323"/>
      <c r="Q37" s="326"/>
      <c r="R37" s="323"/>
    </row>
    <row r="38" spans="1:30">
      <c r="A38" s="325"/>
      <c r="B38" s="407" t="s">
        <v>480</v>
      </c>
      <c r="C38" s="328"/>
      <c r="D38" s="474" t="s">
        <v>481</v>
      </c>
      <c r="E38" s="474"/>
      <c r="F38" s="474"/>
      <c r="G38" s="408" t="s">
        <v>482</v>
      </c>
      <c r="I38" s="408" t="s">
        <v>583</v>
      </c>
      <c r="L38" s="409" t="s">
        <v>584</v>
      </c>
      <c r="M38" s="323"/>
      <c r="N38" s="323"/>
      <c r="O38" s="323"/>
      <c r="P38" s="323"/>
      <c r="Q38" s="326"/>
      <c r="R38" s="323"/>
    </row>
    <row r="39" spans="1:30">
      <c r="A39" s="325"/>
      <c r="C39" s="323"/>
      <c r="D39" s="323"/>
      <c r="E39" s="323"/>
      <c r="F39" s="323"/>
      <c r="G39" s="323"/>
      <c r="I39" s="323"/>
      <c r="J39" s="323"/>
      <c r="K39" s="323"/>
      <c r="L39" s="323"/>
      <c r="M39" s="323"/>
      <c r="N39" s="323"/>
      <c r="O39" s="323"/>
      <c r="P39" s="323"/>
      <c r="Q39" s="326"/>
      <c r="R39" s="323"/>
      <c r="S39" s="323"/>
      <c r="T39" s="323"/>
      <c r="U39" s="323"/>
      <c r="V39" s="323"/>
    </row>
    <row r="40" spans="1:30">
      <c r="A40" s="325"/>
      <c r="B40" s="407" t="s">
        <v>585</v>
      </c>
      <c r="C40" s="328"/>
      <c r="D40" s="407" t="s">
        <v>586</v>
      </c>
      <c r="E40" s="323"/>
      <c r="F40" s="472"/>
      <c r="G40" s="472"/>
      <c r="H40" s="473" t="s">
        <v>587</v>
      </c>
      <c r="I40" s="473"/>
      <c r="J40" s="410"/>
      <c r="K40" s="410"/>
      <c r="L40" s="410"/>
      <c r="M40" s="327"/>
      <c r="N40" s="323"/>
      <c r="O40" s="323"/>
      <c r="P40" s="323"/>
      <c r="Q40" s="326"/>
      <c r="R40" s="323"/>
    </row>
    <row r="41" spans="1:30">
      <c r="A41" s="325"/>
      <c r="B41" s="323"/>
      <c r="C41" s="323"/>
      <c r="D41" s="323"/>
      <c r="E41" s="323"/>
      <c r="F41" s="323"/>
      <c r="G41" s="323"/>
      <c r="H41" s="323"/>
      <c r="I41" s="323"/>
      <c r="J41" s="323"/>
      <c r="K41" s="323"/>
      <c r="L41" s="323"/>
      <c r="M41" s="323"/>
      <c r="N41" s="323"/>
      <c r="O41" s="323"/>
      <c r="P41" s="323"/>
      <c r="Q41" s="326"/>
      <c r="R41" s="323"/>
    </row>
    <row r="42" spans="1:30">
      <c r="A42" s="325"/>
      <c r="B42" s="328" t="s">
        <v>483</v>
      </c>
      <c r="C42" s="323"/>
      <c r="D42" s="323"/>
      <c r="E42" s="323"/>
      <c r="F42" s="323"/>
      <c r="G42" s="323"/>
      <c r="H42" s="323"/>
      <c r="I42" s="323"/>
      <c r="J42" s="323"/>
      <c r="K42" s="323"/>
      <c r="L42" s="323"/>
      <c r="M42" s="323"/>
      <c r="N42" s="323"/>
      <c r="O42" s="323"/>
      <c r="P42" s="323"/>
      <c r="Q42" s="326"/>
      <c r="R42" s="323"/>
    </row>
    <row r="43" spans="1:30">
      <c r="A43" s="325"/>
      <c r="B43" s="461"/>
      <c r="C43" s="461"/>
      <c r="D43" s="461"/>
      <c r="E43" s="461"/>
      <c r="F43" s="461"/>
      <c r="G43" s="461"/>
      <c r="H43" s="461"/>
      <c r="I43" s="461"/>
      <c r="J43" s="461"/>
      <c r="K43" s="461"/>
      <c r="L43" s="461"/>
      <c r="M43" s="461"/>
      <c r="N43" s="461"/>
      <c r="O43" s="461"/>
      <c r="P43" s="461"/>
      <c r="Q43" s="326"/>
      <c r="R43" s="323"/>
    </row>
    <row r="44" spans="1:30">
      <c r="A44" s="325"/>
      <c r="B44" s="461"/>
      <c r="C44" s="461"/>
      <c r="D44" s="461"/>
      <c r="E44" s="461"/>
      <c r="F44" s="461"/>
      <c r="G44" s="461"/>
      <c r="H44" s="461"/>
      <c r="I44" s="461"/>
      <c r="J44" s="461"/>
      <c r="K44" s="461"/>
      <c r="L44" s="461"/>
      <c r="M44" s="461"/>
      <c r="N44" s="461"/>
      <c r="O44" s="461"/>
      <c r="P44" s="461"/>
      <c r="Q44" s="326"/>
      <c r="R44" s="323"/>
    </row>
    <row r="45" spans="1:30">
      <c r="A45" s="325"/>
      <c r="B45" s="461"/>
      <c r="C45" s="461"/>
      <c r="D45" s="461"/>
      <c r="E45" s="461"/>
      <c r="F45" s="461"/>
      <c r="G45" s="461"/>
      <c r="H45" s="461"/>
      <c r="I45" s="461"/>
      <c r="J45" s="461"/>
      <c r="K45" s="461"/>
      <c r="L45" s="461"/>
      <c r="M45" s="461"/>
      <c r="N45" s="461"/>
      <c r="O45" s="461"/>
      <c r="P45" s="461"/>
      <c r="Q45" s="326"/>
      <c r="R45" s="323"/>
    </row>
    <row r="46" spans="1:30">
      <c r="A46" s="325"/>
      <c r="B46" s="461"/>
      <c r="C46" s="461"/>
      <c r="D46" s="461"/>
      <c r="E46" s="461"/>
      <c r="F46" s="461"/>
      <c r="G46" s="461"/>
      <c r="H46" s="461"/>
      <c r="I46" s="461"/>
      <c r="J46" s="461"/>
      <c r="K46" s="461"/>
      <c r="L46" s="461"/>
      <c r="M46" s="461"/>
      <c r="N46" s="461"/>
      <c r="O46" s="461"/>
      <c r="P46" s="461"/>
      <c r="Q46" s="326"/>
      <c r="R46" s="323"/>
    </row>
    <row r="47" spans="1:30">
      <c r="A47" s="325"/>
      <c r="B47" s="461"/>
      <c r="C47" s="461"/>
      <c r="D47" s="461"/>
      <c r="E47" s="461"/>
      <c r="F47" s="461"/>
      <c r="G47" s="461"/>
      <c r="H47" s="461"/>
      <c r="I47" s="461"/>
      <c r="J47" s="461"/>
      <c r="K47" s="461"/>
      <c r="L47" s="461"/>
      <c r="M47" s="461"/>
      <c r="N47" s="461"/>
      <c r="O47" s="461"/>
      <c r="P47" s="461"/>
      <c r="Q47" s="326"/>
      <c r="R47" s="323"/>
    </row>
    <row r="48" spans="1:30">
      <c r="A48" s="325"/>
      <c r="B48" s="461"/>
      <c r="C48" s="461"/>
      <c r="D48" s="461"/>
      <c r="E48" s="461"/>
      <c r="F48" s="461"/>
      <c r="G48" s="461"/>
      <c r="H48" s="461"/>
      <c r="I48" s="461"/>
      <c r="J48" s="461"/>
      <c r="K48" s="461"/>
      <c r="L48" s="461"/>
      <c r="M48" s="461"/>
      <c r="N48" s="461"/>
      <c r="O48" s="461"/>
      <c r="P48" s="461"/>
      <c r="Q48" s="326"/>
      <c r="R48" s="323"/>
    </row>
    <row r="49" spans="1:18" ht="21" thickBot="1">
      <c r="A49" s="332"/>
      <c r="B49" s="462"/>
      <c r="C49" s="462"/>
      <c r="D49" s="462"/>
      <c r="E49" s="462"/>
      <c r="F49" s="462"/>
      <c r="G49" s="462"/>
      <c r="H49" s="462"/>
      <c r="I49" s="462"/>
      <c r="J49" s="462"/>
      <c r="K49" s="462"/>
      <c r="L49" s="462"/>
      <c r="M49" s="462"/>
      <c r="N49" s="462"/>
      <c r="O49" s="462"/>
      <c r="P49" s="462"/>
      <c r="Q49" s="333"/>
      <c r="R49" s="323"/>
    </row>
    <row r="50" spans="1:18">
      <c r="B50" s="466" t="s">
        <v>633</v>
      </c>
      <c r="C50" s="466"/>
      <c r="D50" s="466"/>
      <c r="E50" s="466"/>
      <c r="F50" s="466"/>
      <c r="G50" s="466"/>
      <c r="H50" s="466"/>
      <c r="I50" s="466"/>
      <c r="J50" s="466"/>
      <c r="K50" s="466"/>
      <c r="L50" s="466"/>
      <c r="M50" s="466"/>
      <c r="N50" s="466"/>
      <c r="O50" s="466"/>
      <c r="P50" s="466"/>
    </row>
  </sheetData>
  <mergeCells count="71">
    <mergeCell ref="B11:G11"/>
    <mergeCell ref="I11:P11"/>
    <mergeCell ref="E7:G7"/>
    <mergeCell ref="L7:P7"/>
    <mergeCell ref="C8:P8"/>
    <mergeCell ref="E9:P9"/>
    <mergeCell ref="B10:F10"/>
    <mergeCell ref="G10:H10"/>
    <mergeCell ref="B2:F3"/>
    <mergeCell ref="C5:H5"/>
    <mergeCell ref="I5:J5"/>
    <mergeCell ref="K5:P5"/>
    <mergeCell ref="C6:H6"/>
    <mergeCell ref="I6:J6"/>
    <mergeCell ref="K6:P6"/>
    <mergeCell ref="B12:G12"/>
    <mergeCell ref="I12:P12"/>
    <mergeCell ref="B13:G13"/>
    <mergeCell ref="I13:P13"/>
    <mergeCell ref="B14:G14"/>
    <mergeCell ref="I14:P14"/>
    <mergeCell ref="B15:G15"/>
    <mergeCell ref="I15:P15"/>
    <mergeCell ref="B16:G16"/>
    <mergeCell ref="I16:P16"/>
    <mergeCell ref="B17:G17"/>
    <mergeCell ref="I17:P17"/>
    <mergeCell ref="B18:G18"/>
    <mergeCell ref="I18:P18"/>
    <mergeCell ref="B21:D21"/>
    <mergeCell ref="F21:H21"/>
    <mergeCell ref="J21:P21"/>
    <mergeCell ref="H20:I20"/>
    <mergeCell ref="B22:D22"/>
    <mergeCell ref="F22:H22"/>
    <mergeCell ref="J22:P22"/>
    <mergeCell ref="B23:D23"/>
    <mergeCell ref="F23:H23"/>
    <mergeCell ref="J23:P23"/>
    <mergeCell ref="B50:P50"/>
    <mergeCell ref="C7:D7"/>
    <mergeCell ref="J7:K7"/>
    <mergeCell ref="I10:K10"/>
    <mergeCell ref="L10:P10"/>
    <mergeCell ref="H7:I7"/>
    <mergeCell ref="J26:K26"/>
    <mergeCell ref="B43:P43"/>
    <mergeCell ref="B44:P44"/>
    <mergeCell ref="B45:P45"/>
    <mergeCell ref="B46:P46"/>
    <mergeCell ref="F40:G40"/>
    <mergeCell ref="H40:I40"/>
    <mergeCell ref="B36:P36"/>
    <mergeCell ref="D38:F38"/>
    <mergeCell ref="F24:H24"/>
    <mergeCell ref="B24:D24"/>
    <mergeCell ref="B47:P47"/>
    <mergeCell ref="B48:P48"/>
    <mergeCell ref="B49:P49"/>
    <mergeCell ref="B30:F31"/>
    <mergeCell ref="B32:P32"/>
    <mergeCell ref="B33:P33"/>
    <mergeCell ref="B34:P34"/>
    <mergeCell ref="B35:P35"/>
    <mergeCell ref="B25:D25"/>
    <mergeCell ref="F25:H25"/>
    <mergeCell ref="J25:P25"/>
    <mergeCell ref="B26:D26"/>
    <mergeCell ref="F26:H26"/>
    <mergeCell ref="L26:P26"/>
    <mergeCell ref="E28:J28"/>
  </mergeCells>
  <dataValidations count="5">
    <dataValidation type="list" allowBlank="1" showInputMessage="1" showErrorMessage="1" sqref="WVL983080 IZ38 SV38 ACR38 AMN38 AWJ38 BGF38 BQB38 BZX38 CJT38 CTP38 DDL38 DNH38 DXD38 EGZ38 EQV38 FAR38 FKN38 FUJ38 GEF38 GOB38 GXX38 HHT38 HRP38 IBL38 ILH38 IVD38 JEZ38 JOV38 JYR38 KIN38 KSJ38 LCF38 LMB38 LVX38 MFT38 MPP38 MZL38 NJH38 NTD38 OCZ38 OMV38 OWR38 PGN38 PQJ38 QAF38 QKB38 QTX38 RDT38 RNP38 RXL38 SHH38 SRD38 TAZ38 TKV38 TUR38 UEN38 UOJ38 UYF38 VIB38 VRX38 WBT38 WLP38 WVL38 D65574 IZ65574 SV65574 ACR65574 AMN65574 AWJ65574 BGF65574 BQB65574 BZX65574 CJT65574 CTP65574 DDL65574 DNH65574 DXD65574 EGZ65574 EQV65574 FAR65574 FKN65574 FUJ65574 GEF65574 GOB65574 GXX65574 HHT65574 HRP65574 IBL65574 ILH65574 IVD65574 JEZ65574 JOV65574 JYR65574 KIN65574 KSJ65574 LCF65574 LMB65574 LVX65574 MFT65574 MPP65574 MZL65574 NJH65574 NTD65574 OCZ65574 OMV65574 OWR65574 PGN65574 PQJ65574 QAF65574 QKB65574 QTX65574 RDT65574 RNP65574 RXL65574 SHH65574 SRD65574 TAZ65574 TKV65574 TUR65574 UEN65574 UOJ65574 UYF65574 VIB65574 VRX65574 WBT65574 WLP65574 WVL65574 D131110 IZ131110 SV131110 ACR131110 AMN131110 AWJ131110 BGF131110 BQB131110 BZX131110 CJT131110 CTP131110 DDL131110 DNH131110 DXD131110 EGZ131110 EQV131110 FAR131110 FKN131110 FUJ131110 GEF131110 GOB131110 GXX131110 HHT131110 HRP131110 IBL131110 ILH131110 IVD131110 JEZ131110 JOV131110 JYR131110 KIN131110 KSJ131110 LCF131110 LMB131110 LVX131110 MFT131110 MPP131110 MZL131110 NJH131110 NTD131110 OCZ131110 OMV131110 OWR131110 PGN131110 PQJ131110 QAF131110 QKB131110 QTX131110 RDT131110 RNP131110 RXL131110 SHH131110 SRD131110 TAZ131110 TKV131110 TUR131110 UEN131110 UOJ131110 UYF131110 VIB131110 VRX131110 WBT131110 WLP131110 WVL131110 D196646 IZ196646 SV196646 ACR196646 AMN196646 AWJ196646 BGF196646 BQB196646 BZX196646 CJT196646 CTP196646 DDL196646 DNH196646 DXD196646 EGZ196646 EQV196646 FAR196646 FKN196646 FUJ196646 GEF196646 GOB196646 GXX196646 HHT196646 HRP196646 IBL196646 ILH196646 IVD196646 JEZ196646 JOV196646 JYR196646 KIN196646 KSJ196646 LCF196646 LMB196646 LVX196646 MFT196646 MPP196646 MZL196646 NJH196646 NTD196646 OCZ196646 OMV196646 OWR196646 PGN196646 PQJ196646 QAF196646 QKB196646 QTX196646 RDT196646 RNP196646 RXL196646 SHH196646 SRD196646 TAZ196646 TKV196646 TUR196646 UEN196646 UOJ196646 UYF196646 VIB196646 VRX196646 WBT196646 WLP196646 WVL196646 D262182 IZ262182 SV262182 ACR262182 AMN262182 AWJ262182 BGF262182 BQB262182 BZX262182 CJT262182 CTP262182 DDL262182 DNH262182 DXD262182 EGZ262182 EQV262182 FAR262182 FKN262182 FUJ262182 GEF262182 GOB262182 GXX262182 HHT262182 HRP262182 IBL262182 ILH262182 IVD262182 JEZ262182 JOV262182 JYR262182 KIN262182 KSJ262182 LCF262182 LMB262182 LVX262182 MFT262182 MPP262182 MZL262182 NJH262182 NTD262182 OCZ262182 OMV262182 OWR262182 PGN262182 PQJ262182 QAF262182 QKB262182 QTX262182 RDT262182 RNP262182 RXL262182 SHH262182 SRD262182 TAZ262182 TKV262182 TUR262182 UEN262182 UOJ262182 UYF262182 VIB262182 VRX262182 WBT262182 WLP262182 WVL262182 D327718 IZ327718 SV327718 ACR327718 AMN327718 AWJ327718 BGF327718 BQB327718 BZX327718 CJT327718 CTP327718 DDL327718 DNH327718 DXD327718 EGZ327718 EQV327718 FAR327718 FKN327718 FUJ327718 GEF327718 GOB327718 GXX327718 HHT327718 HRP327718 IBL327718 ILH327718 IVD327718 JEZ327718 JOV327718 JYR327718 KIN327718 KSJ327718 LCF327718 LMB327718 LVX327718 MFT327718 MPP327718 MZL327718 NJH327718 NTD327718 OCZ327718 OMV327718 OWR327718 PGN327718 PQJ327718 QAF327718 QKB327718 QTX327718 RDT327718 RNP327718 RXL327718 SHH327718 SRD327718 TAZ327718 TKV327718 TUR327718 UEN327718 UOJ327718 UYF327718 VIB327718 VRX327718 WBT327718 WLP327718 WVL327718 D393254 IZ393254 SV393254 ACR393254 AMN393254 AWJ393254 BGF393254 BQB393254 BZX393254 CJT393254 CTP393254 DDL393254 DNH393254 DXD393254 EGZ393254 EQV393254 FAR393254 FKN393254 FUJ393254 GEF393254 GOB393254 GXX393254 HHT393254 HRP393254 IBL393254 ILH393254 IVD393254 JEZ393254 JOV393254 JYR393254 KIN393254 KSJ393254 LCF393254 LMB393254 LVX393254 MFT393254 MPP393254 MZL393254 NJH393254 NTD393254 OCZ393254 OMV393254 OWR393254 PGN393254 PQJ393254 QAF393254 QKB393254 QTX393254 RDT393254 RNP393254 RXL393254 SHH393254 SRD393254 TAZ393254 TKV393254 TUR393254 UEN393254 UOJ393254 UYF393254 VIB393254 VRX393254 WBT393254 WLP393254 WVL393254 D458790 IZ458790 SV458790 ACR458790 AMN458790 AWJ458790 BGF458790 BQB458790 BZX458790 CJT458790 CTP458790 DDL458790 DNH458790 DXD458790 EGZ458790 EQV458790 FAR458790 FKN458790 FUJ458790 GEF458790 GOB458790 GXX458790 HHT458790 HRP458790 IBL458790 ILH458790 IVD458790 JEZ458790 JOV458790 JYR458790 KIN458790 KSJ458790 LCF458790 LMB458790 LVX458790 MFT458790 MPP458790 MZL458790 NJH458790 NTD458790 OCZ458790 OMV458790 OWR458790 PGN458790 PQJ458790 QAF458790 QKB458790 QTX458790 RDT458790 RNP458790 RXL458790 SHH458790 SRD458790 TAZ458790 TKV458790 TUR458790 UEN458790 UOJ458790 UYF458790 VIB458790 VRX458790 WBT458790 WLP458790 WVL458790 D524326 IZ524326 SV524326 ACR524326 AMN524326 AWJ524326 BGF524326 BQB524326 BZX524326 CJT524326 CTP524326 DDL524326 DNH524326 DXD524326 EGZ524326 EQV524326 FAR524326 FKN524326 FUJ524326 GEF524326 GOB524326 GXX524326 HHT524326 HRP524326 IBL524326 ILH524326 IVD524326 JEZ524326 JOV524326 JYR524326 KIN524326 KSJ524326 LCF524326 LMB524326 LVX524326 MFT524326 MPP524326 MZL524326 NJH524326 NTD524326 OCZ524326 OMV524326 OWR524326 PGN524326 PQJ524326 QAF524326 QKB524326 QTX524326 RDT524326 RNP524326 RXL524326 SHH524326 SRD524326 TAZ524326 TKV524326 TUR524326 UEN524326 UOJ524326 UYF524326 VIB524326 VRX524326 WBT524326 WLP524326 WVL524326 D589862 IZ589862 SV589862 ACR589862 AMN589862 AWJ589862 BGF589862 BQB589862 BZX589862 CJT589862 CTP589862 DDL589862 DNH589862 DXD589862 EGZ589862 EQV589862 FAR589862 FKN589862 FUJ589862 GEF589862 GOB589862 GXX589862 HHT589862 HRP589862 IBL589862 ILH589862 IVD589862 JEZ589862 JOV589862 JYR589862 KIN589862 KSJ589862 LCF589862 LMB589862 LVX589862 MFT589862 MPP589862 MZL589862 NJH589862 NTD589862 OCZ589862 OMV589862 OWR589862 PGN589862 PQJ589862 QAF589862 QKB589862 QTX589862 RDT589862 RNP589862 RXL589862 SHH589862 SRD589862 TAZ589862 TKV589862 TUR589862 UEN589862 UOJ589862 UYF589862 VIB589862 VRX589862 WBT589862 WLP589862 WVL589862 D655398 IZ655398 SV655398 ACR655398 AMN655398 AWJ655398 BGF655398 BQB655398 BZX655398 CJT655398 CTP655398 DDL655398 DNH655398 DXD655398 EGZ655398 EQV655398 FAR655398 FKN655398 FUJ655398 GEF655398 GOB655398 GXX655398 HHT655398 HRP655398 IBL655398 ILH655398 IVD655398 JEZ655398 JOV655398 JYR655398 KIN655398 KSJ655398 LCF655398 LMB655398 LVX655398 MFT655398 MPP655398 MZL655398 NJH655398 NTD655398 OCZ655398 OMV655398 OWR655398 PGN655398 PQJ655398 QAF655398 QKB655398 QTX655398 RDT655398 RNP655398 RXL655398 SHH655398 SRD655398 TAZ655398 TKV655398 TUR655398 UEN655398 UOJ655398 UYF655398 VIB655398 VRX655398 WBT655398 WLP655398 WVL655398 D720934 IZ720934 SV720934 ACR720934 AMN720934 AWJ720934 BGF720934 BQB720934 BZX720934 CJT720934 CTP720934 DDL720934 DNH720934 DXD720934 EGZ720934 EQV720934 FAR720934 FKN720934 FUJ720934 GEF720934 GOB720934 GXX720934 HHT720934 HRP720934 IBL720934 ILH720934 IVD720934 JEZ720934 JOV720934 JYR720934 KIN720934 KSJ720934 LCF720934 LMB720934 LVX720934 MFT720934 MPP720934 MZL720934 NJH720934 NTD720934 OCZ720934 OMV720934 OWR720934 PGN720934 PQJ720934 QAF720934 QKB720934 QTX720934 RDT720934 RNP720934 RXL720934 SHH720934 SRD720934 TAZ720934 TKV720934 TUR720934 UEN720934 UOJ720934 UYF720934 VIB720934 VRX720934 WBT720934 WLP720934 WVL720934 D786470 IZ786470 SV786470 ACR786470 AMN786470 AWJ786470 BGF786470 BQB786470 BZX786470 CJT786470 CTP786470 DDL786470 DNH786470 DXD786470 EGZ786470 EQV786470 FAR786470 FKN786470 FUJ786470 GEF786470 GOB786470 GXX786470 HHT786470 HRP786470 IBL786470 ILH786470 IVD786470 JEZ786470 JOV786470 JYR786470 KIN786470 KSJ786470 LCF786470 LMB786470 LVX786470 MFT786470 MPP786470 MZL786470 NJH786470 NTD786470 OCZ786470 OMV786470 OWR786470 PGN786470 PQJ786470 QAF786470 QKB786470 QTX786470 RDT786470 RNP786470 RXL786470 SHH786470 SRD786470 TAZ786470 TKV786470 TUR786470 UEN786470 UOJ786470 UYF786470 VIB786470 VRX786470 WBT786470 WLP786470 WVL786470 D852006 IZ852006 SV852006 ACR852006 AMN852006 AWJ852006 BGF852006 BQB852006 BZX852006 CJT852006 CTP852006 DDL852006 DNH852006 DXD852006 EGZ852006 EQV852006 FAR852006 FKN852006 FUJ852006 GEF852006 GOB852006 GXX852006 HHT852006 HRP852006 IBL852006 ILH852006 IVD852006 JEZ852006 JOV852006 JYR852006 KIN852006 KSJ852006 LCF852006 LMB852006 LVX852006 MFT852006 MPP852006 MZL852006 NJH852006 NTD852006 OCZ852006 OMV852006 OWR852006 PGN852006 PQJ852006 QAF852006 QKB852006 QTX852006 RDT852006 RNP852006 RXL852006 SHH852006 SRD852006 TAZ852006 TKV852006 TUR852006 UEN852006 UOJ852006 UYF852006 VIB852006 VRX852006 WBT852006 WLP852006 WVL852006 D917542 IZ917542 SV917542 ACR917542 AMN917542 AWJ917542 BGF917542 BQB917542 BZX917542 CJT917542 CTP917542 DDL917542 DNH917542 DXD917542 EGZ917542 EQV917542 FAR917542 FKN917542 FUJ917542 GEF917542 GOB917542 GXX917542 HHT917542 HRP917542 IBL917542 ILH917542 IVD917542 JEZ917542 JOV917542 JYR917542 KIN917542 KSJ917542 LCF917542 LMB917542 LVX917542 MFT917542 MPP917542 MZL917542 NJH917542 NTD917542 OCZ917542 OMV917542 OWR917542 PGN917542 PQJ917542 QAF917542 QKB917542 QTX917542 RDT917542 RNP917542 RXL917542 SHH917542 SRD917542 TAZ917542 TKV917542 TUR917542 UEN917542 UOJ917542 UYF917542 VIB917542 VRX917542 WBT917542 WLP917542 WVL917542 D983078 IZ983078 SV983078 ACR983078 AMN983078 AWJ983078 BGF983078 BQB983078 BZX983078 CJT983078 CTP983078 DDL983078 DNH983078 DXD983078 EGZ983078 EQV983078 FAR983078 FKN983078 FUJ983078 GEF983078 GOB983078 GXX983078 HHT983078 HRP983078 IBL983078 ILH983078 IVD983078 JEZ983078 JOV983078 JYR983078 KIN983078 KSJ983078 LCF983078 LMB983078 LVX983078 MFT983078 MPP983078 MZL983078 NJH983078 NTD983078 OCZ983078 OMV983078 OWR983078 PGN983078 PQJ983078 QAF983078 QKB983078 QTX983078 RDT983078 RNP983078 RXL983078 SHH983078 SRD983078 TAZ983078 TKV983078 TUR983078 UEN983078 UOJ983078 UYF983078 VIB983078 VRX983078 WBT983078 WLP983078 WVL983078 WLP983080 JD38 SZ38 ACV38 AMR38 AWN38 BGJ38 BQF38 CAB38 CJX38 CTT38 DDP38 DNL38 DXH38 EHD38 EQZ38 FAV38 FKR38 FUN38 GEJ38 GOF38 GYB38 HHX38 HRT38 IBP38 ILL38 IVH38 JFD38 JOZ38 JYV38 KIR38 KSN38 LCJ38 LMF38 LWB38 MFX38 MPT38 MZP38 NJL38 NTH38 ODD38 OMZ38 OWV38 PGR38 PQN38 QAJ38 QKF38 QUB38 RDX38 RNT38 RXP38 SHL38 SRH38 TBD38 TKZ38 TUV38 UER38 UON38 UYJ38 VIF38 VSB38 WBX38 WLT38 WVP38 H65574 JD65574 SZ65574 ACV65574 AMR65574 AWN65574 BGJ65574 BQF65574 CAB65574 CJX65574 CTT65574 DDP65574 DNL65574 DXH65574 EHD65574 EQZ65574 FAV65574 FKR65574 FUN65574 GEJ65574 GOF65574 GYB65574 HHX65574 HRT65574 IBP65574 ILL65574 IVH65574 JFD65574 JOZ65574 JYV65574 KIR65574 KSN65574 LCJ65574 LMF65574 LWB65574 MFX65574 MPT65574 MZP65574 NJL65574 NTH65574 ODD65574 OMZ65574 OWV65574 PGR65574 PQN65574 QAJ65574 QKF65574 QUB65574 RDX65574 RNT65574 RXP65574 SHL65574 SRH65574 TBD65574 TKZ65574 TUV65574 UER65574 UON65574 UYJ65574 VIF65574 VSB65574 WBX65574 WLT65574 WVP65574 H131110 JD131110 SZ131110 ACV131110 AMR131110 AWN131110 BGJ131110 BQF131110 CAB131110 CJX131110 CTT131110 DDP131110 DNL131110 DXH131110 EHD131110 EQZ131110 FAV131110 FKR131110 FUN131110 GEJ131110 GOF131110 GYB131110 HHX131110 HRT131110 IBP131110 ILL131110 IVH131110 JFD131110 JOZ131110 JYV131110 KIR131110 KSN131110 LCJ131110 LMF131110 LWB131110 MFX131110 MPT131110 MZP131110 NJL131110 NTH131110 ODD131110 OMZ131110 OWV131110 PGR131110 PQN131110 QAJ131110 QKF131110 QUB131110 RDX131110 RNT131110 RXP131110 SHL131110 SRH131110 TBD131110 TKZ131110 TUV131110 UER131110 UON131110 UYJ131110 VIF131110 VSB131110 WBX131110 WLT131110 WVP131110 H196646 JD196646 SZ196646 ACV196646 AMR196646 AWN196646 BGJ196646 BQF196646 CAB196646 CJX196646 CTT196646 DDP196646 DNL196646 DXH196646 EHD196646 EQZ196646 FAV196646 FKR196646 FUN196646 GEJ196646 GOF196646 GYB196646 HHX196646 HRT196646 IBP196646 ILL196646 IVH196646 JFD196646 JOZ196646 JYV196646 KIR196646 KSN196646 LCJ196646 LMF196646 LWB196646 MFX196646 MPT196646 MZP196646 NJL196646 NTH196646 ODD196646 OMZ196646 OWV196646 PGR196646 PQN196646 QAJ196646 QKF196646 QUB196646 RDX196646 RNT196646 RXP196646 SHL196646 SRH196646 TBD196646 TKZ196646 TUV196646 UER196646 UON196646 UYJ196646 VIF196646 VSB196646 WBX196646 WLT196646 WVP196646 H262182 JD262182 SZ262182 ACV262182 AMR262182 AWN262182 BGJ262182 BQF262182 CAB262182 CJX262182 CTT262182 DDP262182 DNL262182 DXH262182 EHD262182 EQZ262182 FAV262182 FKR262182 FUN262182 GEJ262182 GOF262182 GYB262182 HHX262182 HRT262182 IBP262182 ILL262182 IVH262182 JFD262182 JOZ262182 JYV262182 KIR262182 KSN262182 LCJ262182 LMF262182 LWB262182 MFX262182 MPT262182 MZP262182 NJL262182 NTH262182 ODD262182 OMZ262182 OWV262182 PGR262182 PQN262182 QAJ262182 QKF262182 QUB262182 RDX262182 RNT262182 RXP262182 SHL262182 SRH262182 TBD262182 TKZ262182 TUV262182 UER262182 UON262182 UYJ262182 VIF262182 VSB262182 WBX262182 WLT262182 WVP262182 H327718 JD327718 SZ327718 ACV327718 AMR327718 AWN327718 BGJ327718 BQF327718 CAB327718 CJX327718 CTT327718 DDP327718 DNL327718 DXH327718 EHD327718 EQZ327718 FAV327718 FKR327718 FUN327718 GEJ327718 GOF327718 GYB327718 HHX327718 HRT327718 IBP327718 ILL327718 IVH327718 JFD327718 JOZ327718 JYV327718 KIR327718 KSN327718 LCJ327718 LMF327718 LWB327718 MFX327718 MPT327718 MZP327718 NJL327718 NTH327718 ODD327718 OMZ327718 OWV327718 PGR327718 PQN327718 QAJ327718 QKF327718 QUB327718 RDX327718 RNT327718 RXP327718 SHL327718 SRH327718 TBD327718 TKZ327718 TUV327718 UER327718 UON327718 UYJ327718 VIF327718 VSB327718 WBX327718 WLT327718 WVP327718 H393254 JD393254 SZ393254 ACV393254 AMR393254 AWN393254 BGJ393254 BQF393254 CAB393254 CJX393254 CTT393254 DDP393254 DNL393254 DXH393254 EHD393254 EQZ393254 FAV393254 FKR393254 FUN393254 GEJ393254 GOF393254 GYB393254 HHX393254 HRT393254 IBP393254 ILL393254 IVH393254 JFD393254 JOZ393254 JYV393254 KIR393254 KSN393254 LCJ393254 LMF393254 LWB393254 MFX393254 MPT393254 MZP393254 NJL393254 NTH393254 ODD393254 OMZ393254 OWV393254 PGR393254 PQN393254 QAJ393254 QKF393254 QUB393254 RDX393254 RNT393254 RXP393254 SHL393254 SRH393254 TBD393254 TKZ393254 TUV393254 UER393254 UON393254 UYJ393254 VIF393254 VSB393254 WBX393254 WLT393254 WVP393254 H458790 JD458790 SZ458790 ACV458790 AMR458790 AWN458790 BGJ458790 BQF458790 CAB458790 CJX458790 CTT458790 DDP458790 DNL458790 DXH458790 EHD458790 EQZ458790 FAV458790 FKR458790 FUN458790 GEJ458790 GOF458790 GYB458790 HHX458790 HRT458790 IBP458790 ILL458790 IVH458790 JFD458790 JOZ458790 JYV458790 KIR458790 KSN458790 LCJ458790 LMF458790 LWB458790 MFX458790 MPT458790 MZP458790 NJL458790 NTH458790 ODD458790 OMZ458790 OWV458790 PGR458790 PQN458790 QAJ458790 QKF458790 QUB458790 RDX458790 RNT458790 RXP458790 SHL458790 SRH458790 TBD458790 TKZ458790 TUV458790 UER458790 UON458790 UYJ458790 VIF458790 VSB458790 WBX458790 WLT458790 WVP458790 H524326 JD524326 SZ524326 ACV524326 AMR524326 AWN524326 BGJ524326 BQF524326 CAB524326 CJX524326 CTT524326 DDP524326 DNL524326 DXH524326 EHD524326 EQZ524326 FAV524326 FKR524326 FUN524326 GEJ524326 GOF524326 GYB524326 HHX524326 HRT524326 IBP524326 ILL524326 IVH524326 JFD524326 JOZ524326 JYV524326 KIR524326 KSN524326 LCJ524326 LMF524326 LWB524326 MFX524326 MPT524326 MZP524326 NJL524326 NTH524326 ODD524326 OMZ524326 OWV524326 PGR524326 PQN524326 QAJ524326 QKF524326 QUB524326 RDX524326 RNT524326 RXP524326 SHL524326 SRH524326 TBD524326 TKZ524326 TUV524326 UER524326 UON524326 UYJ524326 VIF524326 VSB524326 WBX524326 WLT524326 WVP524326 H589862 JD589862 SZ589862 ACV589862 AMR589862 AWN589862 BGJ589862 BQF589862 CAB589862 CJX589862 CTT589862 DDP589862 DNL589862 DXH589862 EHD589862 EQZ589862 FAV589862 FKR589862 FUN589862 GEJ589862 GOF589862 GYB589862 HHX589862 HRT589862 IBP589862 ILL589862 IVH589862 JFD589862 JOZ589862 JYV589862 KIR589862 KSN589862 LCJ589862 LMF589862 LWB589862 MFX589862 MPT589862 MZP589862 NJL589862 NTH589862 ODD589862 OMZ589862 OWV589862 PGR589862 PQN589862 QAJ589862 QKF589862 QUB589862 RDX589862 RNT589862 RXP589862 SHL589862 SRH589862 TBD589862 TKZ589862 TUV589862 UER589862 UON589862 UYJ589862 VIF589862 VSB589862 WBX589862 WLT589862 WVP589862 H655398 JD655398 SZ655398 ACV655398 AMR655398 AWN655398 BGJ655398 BQF655398 CAB655398 CJX655398 CTT655398 DDP655398 DNL655398 DXH655398 EHD655398 EQZ655398 FAV655398 FKR655398 FUN655398 GEJ655398 GOF655398 GYB655398 HHX655398 HRT655398 IBP655398 ILL655398 IVH655398 JFD655398 JOZ655398 JYV655398 KIR655398 KSN655398 LCJ655398 LMF655398 LWB655398 MFX655398 MPT655398 MZP655398 NJL655398 NTH655398 ODD655398 OMZ655398 OWV655398 PGR655398 PQN655398 QAJ655398 QKF655398 QUB655398 RDX655398 RNT655398 RXP655398 SHL655398 SRH655398 TBD655398 TKZ655398 TUV655398 UER655398 UON655398 UYJ655398 VIF655398 VSB655398 WBX655398 WLT655398 WVP655398 H720934 JD720934 SZ720934 ACV720934 AMR720934 AWN720934 BGJ720934 BQF720934 CAB720934 CJX720934 CTT720934 DDP720934 DNL720934 DXH720934 EHD720934 EQZ720934 FAV720934 FKR720934 FUN720934 GEJ720934 GOF720934 GYB720934 HHX720934 HRT720934 IBP720934 ILL720934 IVH720934 JFD720934 JOZ720934 JYV720934 KIR720934 KSN720934 LCJ720934 LMF720934 LWB720934 MFX720934 MPT720934 MZP720934 NJL720934 NTH720934 ODD720934 OMZ720934 OWV720934 PGR720934 PQN720934 QAJ720934 QKF720934 QUB720934 RDX720934 RNT720934 RXP720934 SHL720934 SRH720934 TBD720934 TKZ720934 TUV720934 UER720934 UON720934 UYJ720934 VIF720934 VSB720934 WBX720934 WLT720934 WVP720934 H786470 JD786470 SZ786470 ACV786470 AMR786470 AWN786470 BGJ786470 BQF786470 CAB786470 CJX786470 CTT786470 DDP786470 DNL786470 DXH786470 EHD786470 EQZ786470 FAV786470 FKR786470 FUN786470 GEJ786470 GOF786470 GYB786470 HHX786470 HRT786470 IBP786470 ILL786470 IVH786470 JFD786470 JOZ786470 JYV786470 KIR786470 KSN786470 LCJ786470 LMF786470 LWB786470 MFX786470 MPT786470 MZP786470 NJL786470 NTH786470 ODD786470 OMZ786470 OWV786470 PGR786470 PQN786470 QAJ786470 QKF786470 QUB786470 RDX786470 RNT786470 RXP786470 SHL786470 SRH786470 TBD786470 TKZ786470 TUV786470 UER786470 UON786470 UYJ786470 VIF786470 VSB786470 WBX786470 WLT786470 WVP786470 H852006 JD852006 SZ852006 ACV852006 AMR852006 AWN852006 BGJ852006 BQF852006 CAB852006 CJX852006 CTT852006 DDP852006 DNL852006 DXH852006 EHD852006 EQZ852006 FAV852006 FKR852006 FUN852006 GEJ852006 GOF852006 GYB852006 HHX852006 HRT852006 IBP852006 ILL852006 IVH852006 JFD852006 JOZ852006 JYV852006 KIR852006 KSN852006 LCJ852006 LMF852006 LWB852006 MFX852006 MPT852006 MZP852006 NJL852006 NTH852006 ODD852006 OMZ852006 OWV852006 PGR852006 PQN852006 QAJ852006 QKF852006 QUB852006 RDX852006 RNT852006 RXP852006 SHL852006 SRH852006 TBD852006 TKZ852006 TUV852006 UER852006 UON852006 UYJ852006 VIF852006 VSB852006 WBX852006 WLT852006 WVP852006 H917542 JD917542 SZ917542 ACV917542 AMR917542 AWN917542 BGJ917542 BQF917542 CAB917542 CJX917542 CTT917542 DDP917542 DNL917542 DXH917542 EHD917542 EQZ917542 FAV917542 FKR917542 FUN917542 GEJ917542 GOF917542 GYB917542 HHX917542 HRT917542 IBP917542 ILL917542 IVH917542 JFD917542 JOZ917542 JYV917542 KIR917542 KSN917542 LCJ917542 LMF917542 LWB917542 MFX917542 MPT917542 MZP917542 NJL917542 NTH917542 ODD917542 OMZ917542 OWV917542 PGR917542 PQN917542 QAJ917542 QKF917542 QUB917542 RDX917542 RNT917542 RXP917542 SHL917542 SRH917542 TBD917542 TKZ917542 TUV917542 UER917542 UON917542 UYJ917542 VIF917542 VSB917542 WBX917542 WLT917542 WVP917542 H983078 JD983078 SZ983078 ACV983078 AMR983078 AWN983078 BGJ983078 BQF983078 CAB983078 CJX983078 CTT983078 DDP983078 DNL983078 DXH983078 EHD983078 EQZ983078 FAV983078 FKR983078 FUN983078 GEJ983078 GOF983078 GYB983078 HHX983078 HRT983078 IBP983078 ILL983078 IVH983078 JFD983078 JOZ983078 JYV983078 KIR983078 KSN983078 LCJ983078 LMF983078 LWB983078 MFX983078 MPT983078 MZP983078 NJL983078 NTH983078 ODD983078 OMZ983078 OWV983078 PGR983078 PQN983078 QAJ983078 QKF983078 QUB983078 RDX983078 RNT983078 RXP983078 SHL983078 SRH983078 TBD983078 TKZ983078 TUV983078 UER983078 UON983078 UYJ983078 VIF983078 VSB983078 WBX983078 WLT983078 WVP983078 WBT983080 JI38 TE38 ADA38 AMW38 AWS38 BGO38 BQK38 CAG38 CKC38 CTY38 DDU38 DNQ38 DXM38 EHI38 ERE38 FBA38 FKW38 FUS38 GEO38 GOK38 GYG38 HIC38 HRY38 IBU38 ILQ38 IVM38 JFI38 JPE38 JZA38 KIW38 KSS38 LCO38 LMK38 LWG38 MGC38 MPY38 MZU38 NJQ38 NTM38 ODI38 ONE38 OXA38 PGW38 PQS38 QAO38 QKK38 QUG38 REC38 RNY38 RXU38 SHQ38 SRM38 TBI38 TLE38 TVA38 UEW38 UOS38 UYO38 VIK38 VSG38 WCC38 WLY38 WVU38 M65574 JI65574 TE65574 ADA65574 AMW65574 AWS65574 BGO65574 BQK65574 CAG65574 CKC65574 CTY65574 DDU65574 DNQ65574 DXM65574 EHI65574 ERE65574 FBA65574 FKW65574 FUS65574 GEO65574 GOK65574 GYG65574 HIC65574 HRY65574 IBU65574 ILQ65574 IVM65574 JFI65574 JPE65574 JZA65574 KIW65574 KSS65574 LCO65574 LMK65574 LWG65574 MGC65574 MPY65574 MZU65574 NJQ65574 NTM65574 ODI65574 ONE65574 OXA65574 PGW65574 PQS65574 QAO65574 QKK65574 QUG65574 REC65574 RNY65574 RXU65574 SHQ65574 SRM65574 TBI65574 TLE65574 TVA65574 UEW65574 UOS65574 UYO65574 VIK65574 VSG65574 WCC65574 WLY65574 WVU65574 M131110 JI131110 TE131110 ADA131110 AMW131110 AWS131110 BGO131110 BQK131110 CAG131110 CKC131110 CTY131110 DDU131110 DNQ131110 DXM131110 EHI131110 ERE131110 FBA131110 FKW131110 FUS131110 GEO131110 GOK131110 GYG131110 HIC131110 HRY131110 IBU131110 ILQ131110 IVM131110 JFI131110 JPE131110 JZA131110 KIW131110 KSS131110 LCO131110 LMK131110 LWG131110 MGC131110 MPY131110 MZU131110 NJQ131110 NTM131110 ODI131110 ONE131110 OXA131110 PGW131110 PQS131110 QAO131110 QKK131110 QUG131110 REC131110 RNY131110 RXU131110 SHQ131110 SRM131110 TBI131110 TLE131110 TVA131110 UEW131110 UOS131110 UYO131110 VIK131110 VSG131110 WCC131110 WLY131110 WVU131110 M196646 JI196646 TE196646 ADA196646 AMW196646 AWS196646 BGO196646 BQK196646 CAG196646 CKC196646 CTY196646 DDU196646 DNQ196646 DXM196646 EHI196646 ERE196646 FBA196646 FKW196646 FUS196646 GEO196646 GOK196646 GYG196646 HIC196646 HRY196646 IBU196646 ILQ196646 IVM196646 JFI196646 JPE196646 JZA196646 KIW196646 KSS196646 LCO196646 LMK196646 LWG196646 MGC196646 MPY196646 MZU196646 NJQ196646 NTM196646 ODI196646 ONE196646 OXA196646 PGW196646 PQS196646 QAO196646 QKK196646 QUG196646 REC196646 RNY196646 RXU196646 SHQ196646 SRM196646 TBI196646 TLE196646 TVA196646 UEW196646 UOS196646 UYO196646 VIK196646 VSG196646 WCC196646 WLY196646 WVU196646 M262182 JI262182 TE262182 ADA262182 AMW262182 AWS262182 BGO262182 BQK262182 CAG262182 CKC262182 CTY262182 DDU262182 DNQ262182 DXM262182 EHI262182 ERE262182 FBA262182 FKW262182 FUS262182 GEO262182 GOK262182 GYG262182 HIC262182 HRY262182 IBU262182 ILQ262182 IVM262182 JFI262182 JPE262182 JZA262182 KIW262182 KSS262182 LCO262182 LMK262182 LWG262182 MGC262182 MPY262182 MZU262182 NJQ262182 NTM262182 ODI262182 ONE262182 OXA262182 PGW262182 PQS262182 QAO262182 QKK262182 QUG262182 REC262182 RNY262182 RXU262182 SHQ262182 SRM262182 TBI262182 TLE262182 TVA262182 UEW262182 UOS262182 UYO262182 VIK262182 VSG262182 WCC262182 WLY262182 WVU262182 M327718 JI327718 TE327718 ADA327718 AMW327718 AWS327718 BGO327718 BQK327718 CAG327718 CKC327718 CTY327718 DDU327718 DNQ327718 DXM327718 EHI327718 ERE327718 FBA327718 FKW327718 FUS327718 GEO327718 GOK327718 GYG327718 HIC327718 HRY327718 IBU327718 ILQ327718 IVM327718 JFI327718 JPE327718 JZA327718 KIW327718 KSS327718 LCO327718 LMK327718 LWG327718 MGC327718 MPY327718 MZU327718 NJQ327718 NTM327718 ODI327718 ONE327718 OXA327718 PGW327718 PQS327718 QAO327718 QKK327718 QUG327718 REC327718 RNY327718 RXU327718 SHQ327718 SRM327718 TBI327718 TLE327718 TVA327718 UEW327718 UOS327718 UYO327718 VIK327718 VSG327718 WCC327718 WLY327718 WVU327718 M393254 JI393254 TE393254 ADA393254 AMW393254 AWS393254 BGO393254 BQK393254 CAG393254 CKC393254 CTY393254 DDU393254 DNQ393254 DXM393254 EHI393254 ERE393254 FBA393254 FKW393254 FUS393254 GEO393254 GOK393254 GYG393254 HIC393254 HRY393254 IBU393254 ILQ393254 IVM393254 JFI393254 JPE393254 JZA393254 KIW393254 KSS393254 LCO393254 LMK393254 LWG393254 MGC393254 MPY393254 MZU393254 NJQ393254 NTM393254 ODI393254 ONE393254 OXA393254 PGW393254 PQS393254 QAO393254 QKK393254 QUG393254 REC393254 RNY393254 RXU393254 SHQ393254 SRM393254 TBI393254 TLE393254 TVA393254 UEW393254 UOS393254 UYO393254 VIK393254 VSG393254 WCC393254 WLY393254 WVU393254 M458790 JI458790 TE458790 ADA458790 AMW458790 AWS458790 BGO458790 BQK458790 CAG458790 CKC458790 CTY458790 DDU458790 DNQ458790 DXM458790 EHI458790 ERE458790 FBA458790 FKW458790 FUS458790 GEO458790 GOK458790 GYG458790 HIC458790 HRY458790 IBU458790 ILQ458790 IVM458790 JFI458790 JPE458790 JZA458790 KIW458790 KSS458790 LCO458790 LMK458790 LWG458790 MGC458790 MPY458790 MZU458790 NJQ458790 NTM458790 ODI458790 ONE458790 OXA458790 PGW458790 PQS458790 QAO458790 QKK458790 QUG458790 REC458790 RNY458790 RXU458790 SHQ458790 SRM458790 TBI458790 TLE458790 TVA458790 UEW458790 UOS458790 UYO458790 VIK458790 VSG458790 WCC458790 WLY458790 WVU458790 M524326 JI524326 TE524326 ADA524326 AMW524326 AWS524326 BGO524326 BQK524326 CAG524326 CKC524326 CTY524326 DDU524326 DNQ524326 DXM524326 EHI524326 ERE524326 FBA524326 FKW524326 FUS524326 GEO524326 GOK524326 GYG524326 HIC524326 HRY524326 IBU524326 ILQ524326 IVM524326 JFI524326 JPE524326 JZA524326 KIW524326 KSS524326 LCO524326 LMK524326 LWG524326 MGC524326 MPY524326 MZU524326 NJQ524326 NTM524326 ODI524326 ONE524326 OXA524326 PGW524326 PQS524326 QAO524326 QKK524326 QUG524326 REC524326 RNY524326 RXU524326 SHQ524326 SRM524326 TBI524326 TLE524326 TVA524326 UEW524326 UOS524326 UYO524326 VIK524326 VSG524326 WCC524326 WLY524326 WVU524326 M589862 JI589862 TE589862 ADA589862 AMW589862 AWS589862 BGO589862 BQK589862 CAG589862 CKC589862 CTY589862 DDU589862 DNQ589862 DXM589862 EHI589862 ERE589862 FBA589862 FKW589862 FUS589862 GEO589862 GOK589862 GYG589862 HIC589862 HRY589862 IBU589862 ILQ589862 IVM589862 JFI589862 JPE589862 JZA589862 KIW589862 KSS589862 LCO589862 LMK589862 LWG589862 MGC589862 MPY589862 MZU589862 NJQ589862 NTM589862 ODI589862 ONE589862 OXA589862 PGW589862 PQS589862 QAO589862 QKK589862 QUG589862 REC589862 RNY589862 RXU589862 SHQ589862 SRM589862 TBI589862 TLE589862 TVA589862 UEW589862 UOS589862 UYO589862 VIK589862 VSG589862 WCC589862 WLY589862 WVU589862 M655398 JI655398 TE655398 ADA655398 AMW655398 AWS655398 BGO655398 BQK655398 CAG655398 CKC655398 CTY655398 DDU655398 DNQ655398 DXM655398 EHI655398 ERE655398 FBA655398 FKW655398 FUS655398 GEO655398 GOK655398 GYG655398 HIC655398 HRY655398 IBU655398 ILQ655398 IVM655398 JFI655398 JPE655398 JZA655398 KIW655398 KSS655398 LCO655398 LMK655398 LWG655398 MGC655398 MPY655398 MZU655398 NJQ655398 NTM655398 ODI655398 ONE655398 OXA655398 PGW655398 PQS655398 QAO655398 QKK655398 QUG655398 REC655398 RNY655398 RXU655398 SHQ655398 SRM655398 TBI655398 TLE655398 TVA655398 UEW655398 UOS655398 UYO655398 VIK655398 VSG655398 WCC655398 WLY655398 WVU655398 M720934 JI720934 TE720934 ADA720934 AMW720934 AWS720934 BGO720934 BQK720934 CAG720934 CKC720934 CTY720934 DDU720934 DNQ720934 DXM720934 EHI720934 ERE720934 FBA720934 FKW720934 FUS720934 GEO720934 GOK720934 GYG720934 HIC720934 HRY720934 IBU720934 ILQ720934 IVM720934 JFI720934 JPE720934 JZA720934 KIW720934 KSS720934 LCO720934 LMK720934 LWG720934 MGC720934 MPY720934 MZU720934 NJQ720934 NTM720934 ODI720934 ONE720934 OXA720934 PGW720934 PQS720934 QAO720934 QKK720934 QUG720934 REC720934 RNY720934 RXU720934 SHQ720934 SRM720934 TBI720934 TLE720934 TVA720934 UEW720934 UOS720934 UYO720934 VIK720934 VSG720934 WCC720934 WLY720934 WVU720934 M786470 JI786470 TE786470 ADA786470 AMW786470 AWS786470 BGO786470 BQK786470 CAG786470 CKC786470 CTY786470 DDU786470 DNQ786470 DXM786470 EHI786470 ERE786470 FBA786470 FKW786470 FUS786470 GEO786470 GOK786470 GYG786470 HIC786470 HRY786470 IBU786470 ILQ786470 IVM786470 JFI786470 JPE786470 JZA786470 KIW786470 KSS786470 LCO786470 LMK786470 LWG786470 MGC786470 MPY786470 MZU786470 NJQ786470 NTM786470 ODI786470 ONE786470 OXA786470 PGW786470 PQS786470 QAO786470 QKK786470 QUG786470 REC786470 RNY786470 RXU786470 SHQ786470 SRM786470 TBI786470 TLE786470 TVA786470 UEW786470 UOS786470 UYO786470 VIK786470 VSG786470 WCC786470 WLY786470 WVU786470 M852006 JI852006 TE852006 ADA852006 AMW852006 AWS852006 BGO852006 BQK852006 CAG852006 CKC852006 CTY852006 DDU852006 DNQ852006 DXM852006 EHI852006 ERE852006 FBA852006 FKW852006 FUS852006 GEO852006 GOK852006 GYG852006 HIC852006 HRY852006 IBU852006 ILQ852006 IVM852006 JFI852006 JPE852006 JZA852006 KIW852006 KSS852006 LCO852006 LMK852006 LWG852006 MGC852006 MPY852006 MZU852006 NJQ852006 NTM852006 ODI852006 ONE852006 OXA852006 PGW852006 PQS852006 QAO852006 QKK852006 QUG852006 REC852006 RNY852006 RXU852006 SHQ852006 SRM852006 TBI852006 TLE852006 TVA852006 UEW852006 UOS852006 UYO852006 VIK852006 VSG852006 WCC852006 WLY852006 WVU852006 M917542 JI917542 TE917542 ADA917542 AMW917542 AWS917542 BGO917542 BQK917542 CAG917542 CKC917542 CTY917542 DDU917542 DNQ917542 DXM917542 EHI917542 ERE917542 FBA917542 FKW917542 FUS917542 GEO917542 GOK917542 GYG917542 HIC917542 HRY917542 IBU917542 ILQ917542 IVM917542 JFI917542 JPE917542 JZA917542 KIW917542 KSS917542 LCO917542 LMK917542 LWG917542 MGC917542 MPY917542 MZU917542 NJQ917542 NTM917542 ODI917542 ONE917542 OXA917542 PGW917542 PQS917542 QAO917542 QKK917542 QUG917542 REC917542 RNY917542 RXU917542 SHQ917542 SRM917542 TBI917542 TLE917542 TVA917542 UEW917542 UOS917542 UYO917542 VIK917542 VSG917542 WCC917542 WLY917542 WVU917542 M983078 JI983078 TE983078 ADA983078 AMW983078 AWS983078 BGO983078 BQK983078 CAG983078 CKC983078 CTY983078 DDU983078 DNQ983078 DXM983078 EHI983078 ERE983078 FBA983078 FKW983078 FUS983078 GEO983078 GOK983078 GYG983078 HIC983078 HRY983078 IBU983078 ILQ983078 IVM983078 JFI983078 JPE983078 JZA983078 KIW983078 KSS983078 LCO983078 LMK983078 LWG983078 MGC983078 MPY983078 MZU983078 NJQ983078 NTM983078 ODI983078 ONE983078 OXA983078 PGW983078 PQS983078 QAO983078 QKK983078 QUG983078 REC983078 RNY983078 RXU983078 SHQ983078 SRM983078 TBI983078 TLE983078 TVA983078 UEW983078 UOS983078 UYO983078 VIK983078 VSG983078 WCC983078 WLY983078 WVU983078 VRX983080 IZ40 SV40 ACR40 AMN40 AWJ40 BGF40 BQB40 BZX40 CJT40 CTP40 DDL40 DNH40 DXD40 EGZ40 EQV40 FAR40 FKN40 FUJ40 GEF40 GOB40 GXX40 HHT40 HRP40 IBL40 ILH40 IVD40 JEZ40 JOV40 JYR40 KIN40 KSJ40 LCF40 LMB40 LVX40 MFT40 MPP40 MZL40 NJH40 NTD40 OCZ40 OMV40 OWR40 PGN40 PQJ40 QAF40 QKB40 QTX40 RDT40 RNP40 RXL40 SHH40 SRD40 TAZ40 TKV40 TUR40 UEN40 UOJ40 UYF40 VIB40 VRX40 WBT40 WLP40 WVL40 D65576 IZ65576 SV65576 ACR65576 AMN65576 AWJ65576 BGF65576 BQB65576 BZX65576 CJT65576 CTP65576 DDL65576 DNH65576 DXD65576 EGZ65576 EQV65576 FAR65576 FKN65576 FUJ65576 GEF65576 GOB65576 GXX65576 HHT65576 HRP65576 IBL65576 ILH65576 IVD65576 JEZ65576 JOV65576 JYR65576 KIN65576 KSJ65576 LCF65576 LMB65576 LVX65576 MFT65576 MPP65576 MZL65576 NJH65576 NTD65576 OCZ65576 OMV65576 OWR65576 PGN65576 PQJ65576 QAF65576 QKB65576 QTX65576 RDT65576 RNP65576 RXL65576 SHH65576 SRD65576 TAZ65576 TKV65576 TUR65576 UEN65576 UOJ65576 UYF65576 VIB65576 VRX65576 WBT65576 WLP65576 WVL65576 D131112 IZ131112 SV131112 ACR131112 AMN131112 AWJ131112 BGF131112 BQB131112 BZX131112 CJT131112 CTP131112 DDL131112 DNH131112 DXD131112 EGZ131112 EQV131112 FAR131112 FKN131112 FUJ131112 GEF131112 GOB131112 GXX131112 HHT131112 HRP131112 IBL131112 ILH131112 IVD131112 JEZ131112 JOV131112 JYR131112 KIN131112 KSJ131112 LCF131112 LMB131112 LVX131112 MFT131112 MPP131112 MZL131112 NJH131112 NTD131112 OCZ131112 OMV131112 OWR131112 PGN131112 PQJ131112 QAF131112 QKB131112 QTX131112 RDT131112 RNP131112 RXL131112 SHH131112 SRD131112 TAZ131112 TKV131112 TUR131112 UEN131112 UOJ131112 UYF131112 VIB131112 VRX131112 WBT131112 WLP131112 WVL131112 D196648 IZ196648 SV196648 ACR196648 AMN196648 AWJ196648 BGF196648 BQB196648 BZX196648 CJT196648 CTP196648 DDL196648 DNH196648 DXD196648 EGZ196648 EQV196648 FAR196648 FKN196648 FUJ196648 GEF196648 GOB196648 GXX196648 HHT196648 HRP196648 IBL196648 ILH196648 IVD196648 JEZ196648 JOV196648 JYR196648 KIN196648 KSJ196648 LCF196648 LMB196648 LVX196648 MFT196648 MPP196648 MZL196648 NJH196648 NTD196648 OCZ196648 OMV196648 OWR196648 PGN196648 PQJ196648 QAF196648 QKB196648 QTX196648 RDT196648 RNP196648 RXL196648 SHH196648 SRD196648 TAZ196648 TKV196648 TUR196648 UEN196648 UOJ196648 UYF196648 VIB196648 VRX196648 WBT196648 WLP196648 WVL196648 D262184 IZ262184 SV262184 ACR262184 AMN262184 AWJ262184 BGF262184 BQB262184 BZX262184 CJT262184 CTP262184 DDL262184 DNH262184 DXD262184 EGZ262184 EQV262184 FAR262184 FKN262184 FUJ262184 GEF262184 GOB262184 GXX262184 HHT262184 HRP262184 IBL262184 ILH262184 IVD262184 JEZ262184 JOV262184 JYR262184 KIN262184 KSJ262184 LCF262184 LMB262184 LVX262184 MFT262184 MPP262184 MZL262184 NJH262184 NTD262184 OCZ262184 OMV262184 OWR262184 PGN262184 PQJ262184 QAF262184 QKB262184 QTX262184 RDT262184 RNP262184 RXL262184 SHH262184 SRD262184 TAZ262184 TKV262184 TUR262184 UEN262184 UOJ262184 UYF262184 VIB262184 VRX262184 WBT262184 WLP262184 WVL262184 D327720 IZ327720 SV327720 ACR327720 AMN327720 AWJ327720 BGF327720 BQB327720 BZX327720 CJT327720 CTP327720 DDL327720 DNH327720 DXD327720 EGZ327720 EQV327720 FAR327720 FKN327720 FUJ327720 GEF327720 GOB327720 GXX327720 HHT327720 HRP327720 IBL327720 ILH327720 IVD327720 JEZ327720 JOV327720 JYR327720 KIN327720 KSJ327720 LCF327720 LMB327720 LVX327720 MFT327720 MPP327720 MZL327720 NJH327720 NTD327720 OCZ327720 OMV327720 OWR327720 PGN327720 PQJ327720 QAF327720 QKB327720 QTX327720 RDT327720 RNP327720 RXL327720 SHH327720 SRD327720 TAZ327720 TKV327720 TUR327720 UEN327720 UOJ327720 UYF327720 VIB327720 VRX327720 WBT327720 WLP327720 WVL327720 D393256 IZ393256 SV393256 ACR393256 AMN393256 AWJ393256 BGF393256 BQB393256 BZX393256 CJT393256 CTP393256 DDL393256 DNH393256 DXD393256 EGZ393256 EQV393256 FAR393256 FKN393256 FUJ393256 GEF393256 GOB393256 GXX393256 HHT393256 HRP393256 IBL393256 ILH393256 IVD393256 JEZ393256 JOV393256 JYR393256 KIN393256 KSJ393256 LCF393256 LMB393256 LVX393256 MFT393256 MPP393256 MZL393256 NJH393256 NTD393256 OCZ393256 OMV393256 OWR393256 PGN393256 PQJ393256 QAF393256 QKB393256 QTX393256 RDT393256 RNP393256 RXL393256 SHH393256 SRD393256 TAZ393256 TKV393256 TUR393256 UEN393256 UOJ393256 UYF393256 VIB393256 VRX393256 WBT393256 WLP393256 WVL393256 D458792 IZ458792 SV458792 ACR458792 AMN458792 AWJ458792 BGF458792 BQB458792 BZX458792 CJT458792 CTP458792 DDL458792 DNH458792 DXD458792 EGZ458792 EQV458792 FAR458792 FKN458792 FUJ458792 GEF458792 GOB458792 GXX458792 HHT458792 HRP458792 IBL458792 ILH458792 IVD458792 JEZ458792 JOV458792 JYR458792 KIN458792 KSJ458792 LCF458792 LMB458792 LVX458792 MFT458792 MPP458792 MZL458792 NJH458792 NTD458792 OCZ458792 OMV458792 OWR458792 PGN458792 PQJ458792 QAF458792 QKB458792 QTX458792 RDT458792 RNP458792 RXL458792 SHH458792 SRD458792 TAZ458792 TKV458792 TUR458792 UEN458792 UOJ458792 UYF458792 VIB458792 VRX458792 WBT458792 WLP458792 WVL458792 D524328 IZ524328 SV524328 ACR524328 AMN524328 AWJ524328 BGF524328 BQB524328 BZX524328 CJT524328 CTP524328 DDL524328 DNH524328 DXD524328 EGZ524328 EQV524328 FAR524328 FKN524328 FUJ524328 GEF524328 GOB524328 GXX524328 HHT524328 HRP524328 IBL524328 ILH524328 IVD524328 JEZ524328 JOV524328 JYR524328 KIN524328 KSJ524328 LCF524328 LMB524328 LVX524328 MFT524328 MPP524328 MZL524328 NJH524328 NTD524328 OCZ524328 OMV524328 OWR524328 PGN524328 PQJ524328 QAF524328 QKB524328 QTX524328 RDT524328 RNP524328 RXL524328 SHH524328 SRD524328 TAZ524328 TKV524328 TUR524328 UEN524328 UOJ524328 UYF524328 VIB524328 VRX524328 WBT524328 WLP524328 WVL524328 D589864 IZ589864 SV589864 ACR589864 AMN589864 AWJ589864 BGF589864 BQB589864 BZX589864 CJT589864 CTP589864 DDL589864 DNH589864 DXD589864 EGZ589864 EQV589864 FAR589864 FKN589864 FUJ589864 GEF589864 GOB589864 GXX589864 HHT589864 HRP589864 IBL589864 ILH589864 IVD589864 JEZ589864 JOV589864 JYR589864 KIN589864 KSJ589864 LCF589864 LMB589864 LVX589864 MFT589864 MPP589864 MZL589864 NJH589864 NTD589864 OCZ589864 OMV589864 OWR589864 PGN589864 PQJ589864 QAF589864 QKB589864 QTX589864 RDT589864 RNP589864 RXL589864 SHH589864 SRD589864 TAZ589864 TKV589864 TUR589864 UEN589864 UOJ589864 UYF589864 VIB589864 VRX589864 WBT589864 WLP589864 WVL589864 D655400 IZ655400 SV655400 ACR655400 AMN655400 AWJ655400 BGF655400 BQB655400 BZX655400 CJT655400 CTP655400 DDL655400 DNH655400 DXD655400 EGZ655400 EQV655400 FAR655400 FKN655400 FUJ655400 GEF655400 GOB655400 GXX655400 HHT655400 HRP655400 IBL655400 ILH655400 IVD655400 JEZ655400 JOV655400 JYR655400 KIN655400 KSJ655400 LCF655400 LMB655400 LVX655400 MFT655400 MPP655400 MZL655400 NJH655400 NTD655400 OCZ655400 OMV655400 OWR655400 PGN655400 PQJ655400 QAF655400 QKB655400 QTX655400 RDT655400 RNP655400 RXL655400 SHH655400 SRD655400 TAZ655400 TKV655400 TUR655400 UEN655400 UOJ655400 UYF655400 VIB655400 VRX655400 WBT655400 WLP655400 WVL655400 D720936 IZ720936 SV720936 ACR720936 AMN720936 AWJ720936 BGF720936 BQB720936 BZX720936 CJT720936 CTP720936 DDL720936 DNH720936 DXD720936 EGZ720936 EQV720936 FAR720936 FKN720936 FUJ720936 GEF720936 GOB720936 GXX720936 HHT720936 HRP720936 IBL720936 ILH720936 IVD720936 JEZ720936 JOV720936 JYR720936 KIN720936 KSJ720936 LCF720936 LMB720936 LVX720936 MFT720936 MPP720936 MZL720936 NJH720936 NTD720936 OCZ720936 OMV720936 OWR720936 PGN720936 PQJ720936 QAF720936 QKB720936 QTX720936 RDT720936 RNP720936 RXL720936 SHH720936 SRD720936 TAZ720936 TKV720936 TUR720936 UEN720936 UOJ720936 UYF720936 VIB720936 VRX720936 WBT720936 WLP720936 WVL720936 D786472 IZ786472 SV786472 ACR786472 AMN786472 AWJ786472 BGF786472 BQB786472 BZX786472 CJT786472 CTP786472 DDL786472 DNH786472 DXD786472 EGZ786472 EQV786472 FAR786472 FKN786472 FUJ786472 GEF786472 GOB786472 GXX786472 HHT786472 HRP786472 IBL786472 ILH786472 IVD786472 JEZ786472 JOV786472 JYR786472 KIN786472 KSJ786472 LCF786472 LMB786472 LVX786472 MFT786472 MPP786472 MZL786472 NJH786472 NTD786472 OCZ786472 OMV786472 OWR786472 PGN786472 PQJ786472 QAF786472 QKB786472 QTX786472 RDT786472 RNP786472 RXL786472 SHH786472 SRD786472 TAZ786472 TKV786472 TUR786472 UEN786472 UOJ786472 UYF786472 VIB786472 VRX786472 WBT786472 WLP786472 WVL786472 D852008 IZ852008 SV852008 ACR852008 AMN852008 AWJ852008 BGF852008 BQB852008 BZX852008 CJT852008 CTP852008 DDL852008 DNH852008 DXD852008 EGZ852008 EQV852008 FAR852008 FKN852008 FUJ852008 GEF852008 GOB852008 GXX852008 HHT852008 HRP852008 IBL852008 ILH852008 IVD852008 JEZ852008 JOV852008 JYR852008 KIN852008 KSJ852008 LCF852008 LMB852008 LVX852008 MFT852008 MPP852008 MZL852008 NJH852008 NTD852008 OCZ852008 OMV852008 OWR852008 PGN852008 PQJ852008 QAF852008 QKB852008 QTX852008 RDT852008 RNP852008 RXL852008 SHH852008 SRD852008 TAZ852008 TKV852008 TUR852008 UEN852008 UOJ852008 UYF852008 VIB852008 VRX852008 WBT852008 WLP852008 WVL852008 D917544 IZ917544 SV917544 ACR917544 AMN917544 AWJ917544 BGF917544 BQB917544 BZX917544 CJT917544 CTP917544 DDL917544 DNH917544 DXD917544 EGZ917544 EQV917544 FAR917544 FKN917544 FUJ917544 GEF917544 GOB917544 GXX917544 HHT917544 HRP917544 IBL917544 ILH917544 IVD917544 JEZ917544 JOV917544 JYR917544 KIN917544 KSJ917544 LCF917544 LMB917544 LVX917544 MFT917544 MPP917544 MZL917544 NJH917544 NTD917544 OCZ917544 OMV917544 OWR917544 PGN917544 PQJ917544 QAF917544 QKB917544 QTX917544 RDT917544 RNP917544 RXL917544 SHH917544 SRD917544 TAZ917544 TKV917544 TUR917544 UEN917544 UOJ917544 UYF917544 VIB917544 VRX917544 WBT917544 WLP917544 WVL917544 D983080 IZ983080 SV983080 ACR983080 AMN983080 AWJ983080 BGF983080 BQB983080 BZX983080 CJT983080 CTP983080 DDL983080 DNH983080 DXD983080 EGZ983080 EQV983080 FAR983080 FKN983080 FUJ983080 GEF983080 GOB983080 GXX983080 HHT983080 HRP983080 IBL983080 ILH983080 IVD983080 JEZ983080 JOV983080 JYR983080 KIN983080 KSJ983080 LCF983080 LMB983080 LVX983080 MFT983080 MPP983080 MZL983080 NJH983080 NTD983080 OCZ983080 OMV983080 OWR983080 PGN983080 PQJ983080 QAF983080 QKB983080 QTX983080 RDT983080 RNP983080 RXL983080 SHH983080 SRD983080 TAZ983080 TKV983080 TUR983080 UEN983080 UOJ983080 UYF983080 VIB983080">
      <formula1>"Yes, No,"</formula1>
    </dataValidation>
    <dataValidation type="list" allowBlank="1" showInputMessage="1" showErrorMessage="1" sqref="F20">
      <formula1>"1, 2, 3, 4, 5, 6, 7, 8, 9, 10, 11, 12"</formula1>
    </dataValidation>
    <dataValidation type="list" allowBlank="1" showInputMessage="1" showErrorMessage="1" sqref="H20">
      <formula1>"Process, Line, MCP"</formula1>
    </dataValidation>
    <dataValidation type="list" allowBlank="1" showInputMessage="1" showErrorMessage="1" sqref="F40:G40">
      <formula1>"Low, Medium, High"</formula1>
    </dataValidation>
    <dataValidation type="list" allowBlank="1" showInputMessage="1" showErrorMessage="1" sqref="E28">
      <formula1>"Yes, No, Yes but see warnings below"</formula1>
    </dataValidation>
  </dataValidations>
  <hyperlinks>
    <hyperlink ref="B50:P50" r:id="rId1" display="\\W15LAN12\Graphics\1Customers\T\Tillamook\Tillamook_PO20626\working\Customer PDF_PO20626\18 Black Pepper Steak Cuts 3oz.pdf"/>
  </hyperlinks>
  <printOptions horizontalCentered="1" verticalCentered="1"/>
  <pageMargins left="0.2" right="0.2" top="0.25" bottom="0.25" header="0.3" footer="0.3"/>
  <pageSetup scale="76"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1510" r:id="rId5" name="Check Box 6">
              <controlPr defaultSize="0" autoFill="0" autoLine="0" autoPict="0">
                <anchor moveWithCells="1">
                  <from>
                    <xdr:col>1</xdr:col>
                    <xdr:colOff>1171575</xdr:colOff>
                    <xdr:row>37</xdr:row>
                    <xdr:rowOff>9525</xdr:rowOff>
                  </from>
                  <to>
                    <xdr:col>2</xdr:col>
                    <xdr:colOff>323850</xdr:colOff>
                    <xdr:row>38</xdr:row>
                    <xdr:rowOff>19050</xdr:rowOff>
                  </to>
                </anchor>
              </controlPr>
            </control>
          </mc:Choice>
        </mc:AlternateContent>
        <mc:AlternateContent xmlns:mc="http://schemas.openxmlformats.org/markup-compatibility/2006">
          <mc:Choice Requires="x14">
            <control shapeId="21512" r:id="rId6" name="Check Box 8">
              <controlPr defaultSize="0" autoFill="0" autoLine="0" autoPict="0">
                <anchor moveWithCells="1">
                  <from>
                    <xdr:col>5</xdr:col>
                    <xdr:colOff>133350</xdr:colOff>
                    <xdr:row>36</xdr:row>
                    <xdr:rowOff>238125</xdr:rowOff>
                  </from>
                  <to>
                    <xdr:col>5</xdr:col>
                    <xdr:colOff>438150</xdr:colOff>
                    <xdr:row>38</xdr:row>
                    <xdr:rowOff>0</xdr:rowOff>
                  </to>
                </anchor>
              </controlPr>
            </control>
          </mc:Choice>
        </mc:AlternateContent>
        <mc:AlternateContent xmlns:mc="http://schemas.openxmlformats.org/markup-compatibility/2006">
          <mc:Choice Requires="x14">
            <control shapeId="21513" r:id="rId7" name="Check Box 9">
              <controlPr defaultSize="0" autoFill="0" autoLine="0" autoPict="0">
                <anchor moveWithCells="1">
                  <from>
                    <xdr:col>7</xdr:col>
                    <xdr:colOff>85725</xdr:colOff>
                    <xdr:row>37</xdr:row>
                    <xdr:rowOff>38100</xdr:rowOff>
                  </from>
                  <to>
                    <xdr:col>7</xdr:col>
                    <xdr:colOff>390525</xdr:colOff>
                    <xdr:row>38</xdr:row>
                    <xdr:rowOff>0</xdr:rowOff>
                  </to>
                </anchor>
              </controlPr>
            </control>
          </mc:Choice>
        </mc:AlternateContent>
        <mc:AlternateContent xmlns:mc="http://schemas.openxmlformats.org/markup-compatibility/2006">
          <mc:Choice Requires="x14">
            <control shapeId="21514" r:id="rId8" name="Check Box 10">
              <controlPr defaultSize="0" autoFill="0" autoLine="0" autoPict="0">
                <anchor moveWithCells="1">
                  <from>
                    <xdr:col>10</xdr:col>
                    <xdr:colOff>28575</xdr:colOff>
                    <xdr:row>37</xdr:row>
                    <xdr:rowOff>28575</xdr:rowOff>
                  </from>
                  <to>
                    <xdr:col>10</xdr:col>
                    <xdr:colOff>333375</xdr:colOff>
                    <xdr:row>37</xdr:row>
                    <xdr:rowOff>228600</xdr:rowOff>
                  </to>
                </anchor>
              </controlPr>
            </control>
          </mc:Choice>
        </mc:AlternateContent>
        <mc:AlternateContent xmlns:mc="http://schemas.openxmlformats.org/markup-compatibility/2006">
          <mc:Choice Requires="x14">
            <control shapeId="21515" r:id="rId9" name="Check Box 11">
              <controlPr defaultSize="0" autoFill="0" autoLine="0" autoPict="0">
                <anchor moveWithCells="1">
                  <from>
                    <xdr:col>12</xdr:col>
                    <xdr:colOff>171450</xdr:colOff>
                    <xdr:row>37</xdr:row>
                    <xdr:rowOff>28575</xdr:rowOff>
                  </from>
                  <to>
                    <xdr:col>13</xdr:col>
                    <xdr:colOff>57150</xdr:colOff>
                    <xdr:row>37</xdr:row>
                    <xdr:rowOff>238125</xdr:rowOff>
                  </to>
                </anchor>
              </controlPr>
            </control>
          </mc:Choice>
        </mc:AlternateContent>
        <mc:AlternateContent xmlns:mc="http://schemas.openxmlformats.org/markup-compatibility/2006">
          <mc:Choice Requires="x14">
            <control shapeId="21516" r:id="rId10" name="Check Box 12">
              <controlPr defaultSize="0" autoFill="0" autoLine="0" autoPict="0">
                <anchor moveWithCells="1">
                  <from>
                    <xdr:col>1</xdr:col>
                    <xdr:colOff>1171575</xdr:colOff>
                    <xdr:row>39</xdr:row>
                    <xdr:rowOff>0</xdr:rowOff>
                  </from>
                  <to>
                    <xdr:col>2</xdr:col>
                    <xdr:colOff>323850</xdr:colOff>
                    <xdr:row>40</xdr:row>
                    <xdr:rowOff>9525</xdr:rowOff>
                  </to>
                </anchor>
              </controlPr>
            </control>
          </mc:Choice>
        </mc:AlternateContent>
        <mc:AlternateContent xmlns:mc="http://schemas.openxmlformats.org/markup-compatibility/2006">
          <mc:Choice Requires="x14">
            <control shapeId="21519" r:id="rId11" name="Check Box 15">
              <controlPr defaultSize="0" autoFill="0" autoLine="0" autoPict="0">
                <anchor moveWithCells="1">
                  <from>
                    <xdr:col>10</xdr:col>
                    <xdr:colOff>57150</xdr:colOff>
                    <xdr:row>39</xdr:row>
                    <xdr:rowOff>47625</xdr:rowOff>
                  </from>
                  <to>
                    <xdr:col>10</xdr:col>
                    <xdr:colOff>314325</xdr:colOff>
                    <xdr:row>39</xdr:row>
                    <xdr:rowOff>247650</xdr:rowOff>
                  </to>
                </anchor>
              </controlPr>
            </control>
          </mc:Choice>
        </mc:AlternateContent>
        <mc:AlternateContent xmlns:mc="http://schemas.openxmlformats.org/markup-compatibility/2006">
          <mc:Choice Requires="x14">
            <control shapeId="21521" r:id="rId12" name="Check Box 17">
              <controlPr defaultSize="0" autoFill="0" autoLine="0" autoPict="0">
                <anchor moveWithCells="1">
                  <from>
                    <xdr:col>11</xdr:col>
                    <xdr:colOff>428625</xdr:colOff>
                    <xdr:row>39</xdr:row>
                    <xdr:rowOff>28575</xdr:rowOff>
                  </from>
                  <to>
                    <xdr:col>11</xdr:col>
                    <xdr:colOff>685800</xdr:colOff>
                    <xdr:row>39</xdr:row>
                    <xdr:rowOff>228600</xdr:rowOff>
                  </to>
                </anchor>
              </controlPr>
            </control>
          </mc:Choice>
        </mc:AlternateContent>
        <mc:AlternateContent xmlns:mc="http://schemas.openxmlformats.org/markup-compatibility/2006">
          <mc:Choice Requires="x14">
            <control shapeId="21523" r:id="rId13" name="Check Box 19">
              <controlPr defaultSize="0" autoFill="0" autoLine="0" autoPict="0">
                <anchor moveWithCells="1">
                  <from>
                    <xdr:col>13</xdr:col>
                    <xdr:colOff>57150</xdr:colOff>
                    <xdr:row>39</xdr:row>
                    <xdr:rowOff>19050</xdr:rowOff>
                  </from>
                  <to>
                    <xdr:col>13</xdr:col>
                    <xdr:colOff>314325</xdr:colOff>
                    <xdr:row>39</xdr:row>
                    <xdr:rowOff>219075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Sheet1!$C$1:$C$7</xm:f>
          </x14:formula1>
          <xm:sqref>H7:I7</xm:sqref>
        </x14:dataValidation>
        <x14:dataValidation type="list" allowBlank="1" showInputMessage="1" showErrorMessage="1">
          <x14:formula1>
            <xm:f>Sheet1!$E$1:$E$6</xm:f>
          </x14:formula1>
          <xm:sqref>L26:P26</xm:sqref>
        </x14:dataValidation>
        <x14:dataValidation type="list" allowBlank="1" showInputMessage="1" showErrorMessage="1">
          <x14:formula1>
            <xm:f>Sheet1!$A$2:$A$25</xm:f>
          </x14:formula1>
          <xm:sqref>L7:P7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24"/>
  <sheetViews>
    <sheetView workbookViewId="0">
      <selection activeCell="I16" sqref="I16"/>
    </sheetView>
  </sheetViews>
  <sheetFormatPr defaultRowHeight="15"/>
  <cols>
    <col min="1" max="1" width="20.5703125" style="430" bestFit="1" customWidth="1"/>
    <col min="3" max="3" width="17" bestFit="1" customWidth="1"/>
    <col min="5" max="5" width="15" bestFit="1" customWidth="1"/>
  </cols>
  <sheetData>
    <row r="1" spans="1:12" ht="15.75">
      <c r="A1" s="429" t="s">
        <v>598</v>
      </c>
      <c r="B1" s="421"/>
      <c r="C1" s="426" t="s">
        <v>626</v>
      </c>
      <c r="E1" s="421" t="s">
        <v>632</v>
      </c>
      <c r="G1">
        <f>'SPEC SHEET'!C30</f>
        <v>0</v>
      </c>
      <c r="J1" s="431" t="s">
        <v>635</v>
      </c>
      <c r="L1">
        <v>1020</v>
      </c>
    </row>
    <row r="2" spans="1:12" ht="15.75">
      <c r="A2" s="429" t="s">
        <v>621</v>
      </c>
      <c r="B2" s="421"/>
      <c r="C2" s="426" t="s">
        <v>624</v>
      </c>
      <c r="E2" s="421" t="s">
        <v>628</v>
      </c>
      <c r="F2" s="421"/>
      <c r="G2">
        <f>'SPEC SHEET'!C31</f>
        <v>0</v>
      </c>
      <c r="H2" s="425"/>
      <c r="I2" s="423"/>
      <c r="J2" s="431" t="s">
        <v>636</v>
      </c>
      <c r="L2">
        <v>1120</v>
      </c>
    </row>
    <row r="3" spans="1:12" ht="15.75">
      <c r="A3" s="429" t="s">
        <v>600</v>
      </c>
      <c r="B3" s="421"/>
      <c r="C3" s="426" t="s">
        <v>627</v>
      </c>
      <c r="E3" s="421" t="s">
        <v>629</v>
      </c>
      <c r="F3" s="421"/>
      <c r="G3">
        <f>'SPEC SHEET'!C32</f>
        <v>0</v>
      </c>
      <c r="H3" s="425"/>
      <c r="I3" s="423"/>
      <c r="J3" s="431" t="s">
        <v>637</v>
      </c>
      <c r="L3">
        <v>1220</v>
      </c>
    </row>
    <row r="4" spans="1:12" ht="15.75">
      <c r="A4" s="429" t="s">
        <v>602</v>
      </c>
      <c r="B4" s="421"/>
      <c r="C4" s="426" t="s">
        <v>622</v>
      </c>
      <c r="E4" s="421" t="s">
        <v>631</v>
      </c>
      <c r="F4" s="421"/>
      <c r="G4">
        <f>'SPEC SHEET'!C33</f>
        <v>0</v>
      </c>
      <c r="H4" s="422"/>
      <c r="I4" s="423"/>
      <c r="J4" s="431" t="s">
        <v>638</v>
      </c>
      <c r="L4">
        <v>1720</v>
      </c>
    </row>
    <row r="5" spans="1:12" ht="15.75">
      <c r="A5" s="429" t="s">
        <v>604</v>
      </c>
      <c r="B5" s="421"/>
      <c r="C5" s="426" t="s">
        <v>625</v>
      </c>
      <c r="E5" s="421" t="s">
        <v>630</v>
      </c>
      <c r="F5" s="421"/>
      <c r="G5">
        <f>'SPEC SHEET'!C34</f>
        <v>0</v>
      </c>
      <c r="H5" s="422"/>
      <c r="I5" s="423"/>
      <c r="J5" s="431" t="s">
        <v>639</v>
      </c>
      <c r="L5">
        <v>1820</v>
      </c>
    </row>
    <row r="6" spans="1:12" ht="15.75">
      <c r="A6" s="429" t="s">
        <v>606</v>
      </c>
      <c r="B6" s="421"/>
      <c r="C6" s="426" t="s">
        <v>623</v>
      </c>
      <c r="F6" s="421"/>
      <c r="G6">
        <f>'SPEC SHEET'!C35</f>
        <v>0</v>
      </c>
      <c r="H6" s="422"/>
      <c r="I6" s="423"/>
      <c r="J6" s="431" t="s">
        <v>640</v>
      </c>
      <c r="L6">
        <v>1920</v>
      </c>
    </row>
    <row r="7" spans="1:12" ht="15.75">
      <c r="A7" s="429" t="s">
        <v>608</v>
      </c>
      <c r="B7" s="421"/>
      <c r="E7" s="421"/>
      <c r="F7" s="421"/>
      <c r="G7">
        <f>'SPEC SHEET'!C36</f>
        <v>0</v>
      </c>
      <c r="H7" s="422"/>
      <c r="I7" s="423"/>
      <c r="J7" s="431" t="s">
        <v>641</v>
      </c>
    </row>
    <row r="8" spans="1:12" ht="15.75">
      <c r="A8" s="429" t="s">
        <v>610</v>
      </c>
      <c r="B8" s="421"/>
      <c r="E8" s="421"/>
      <c r="F8" s="421"/>
      <c r="G8">
        <f>'SPEC SHEET'!C37</f>
        <v>0</v>
      </c>
      <c r="H8" s="422"/>
      <c r="I8" s="423"/>
      <c r="J8" s="431" t="s">
        <v>642</v>
      </c>
    </row>
    <row r="9" spans="1:12" ht="15.75">
      <c r="A9" s="429" t="s">
        <v>613</v>
      </c>
      <c r="B9" s="421"/>
      <c r="C9" s="423"/>
      <c r="E9" s="421"/>
      <c r="F9" s="421"/>
      <c r="G9">
        <f>'SPEC SHEET'!C38</f>
        <v>0</v>
      </c>
      <c r="H9" s="422"/>
      <c r="I9" s="423"/>
      <c r="J9" s="431" t="s">
        <v>643</v>
      </c>
    </row>
    <row r="10" spans="1:12" ht="15.75">
      <c r="A10" s="429" t="s">
        <v>615</v>
      </c>
      <c r="B10" s="421"/>
      <c r="C10" s="423"/>
      <c r="E10" s="421"/>
      <c r="F10" s="421"/>
      <c r="G10">
        <f>'SPEC SHEET'!C39</f>
        <v>0</v>
      </c>
      <c r="H10" s="422"/>
      <c r="I10" s="428"/>
      <c r="J10" s="431" t="s">
        <v>644</v>
      </c>
    </row>
    <row r="11" spans="1:12" ht="15.75">
      <c r="A11" s="429" t="s">
        <v>617</v>
      </c>
      <c r="B11" s="421"/>
      <c r="C11" s="423"/>
      <c r="E11" s="427"/>
      <c r="F11" s="421"/>
      <c r="G11">
        <f>'SPEC SHEET'!C40</f>
        <v>0</v>
      </c>
      <c r="H11" s="425"/>
      <c r="I11" s="428"/>
      <c r="J11" s="431" t="s">
        <v>645</v>
      </c>
    </row>
    <row r="12" spans="1:12" ht="15.75">
      <c r="A12" s="429" t="s">
        <v>619</v>
      </c>
      <c r="B12" s="423"/>
      <c r="C12" s="423"/>
      <c r="E12" s="427"/>
      <c r="F12" s="421"/>
      <c r="G12">
        <f>'SPEC SHEET'!C41</f>
        <v>0</v>
      </c>
      <c r="H12" s="425"/>
      <c r="I12" s="428"/>
    </row>
    <row r="13" spans="1:12" ht="15.75">
      <c r="A13" s="429" t="s">
        <v>599</v>
      </c>
      <c r="B13" s="424"/>
      <c r="C13" s="424"/>
      <c r="D13" s="422"/>
      <c r="F13" s="421"/>
      <c r="H13" s="425"/>
      <c r="I13" s="423"/>
    </row>
    <row r="14" spans="1:12" ht="15.75">
      <c r="A14" s="429" t="s">
        <v>601</v>
      </c>
      <c r="B14" s="421"/>
      <c r="C14" s="424"/>
      <c r="D14" s="422"/>
    </row>
    <row r="15" spans="1:12" ht="15.75">
      <c r="A15" s="429" t="s">
        <v>603</v>
      </c>
      <c r="B15" s="421"/>
      <c r="C15" s="424"/>
      <c r="D15" s="422"/>
    </row>
    <row r="16" spans="1:12" ht="15.75">
      <c r="A16" s="429" t="s">
        <v>605</v>
      </c>
      <c r="B16" s="421"/>
      <c r="C16" s="424"/>
      <c r="D16" s="422"/>
    </row>
    <row r="17" spans="1:4" ht="15.75">
      <c r="A17" s="429" t="s">
        <v>609</v>
      </c>
      <c r="B17" s="421"/>
      <c r="C17" s="424"/>
      <c r="D17" s="422"/>
    </row>
    <row r="18" spans="1:4" ht="15.75">
      <c r="A18" s="429" t="s">
        <v>607</v>
      </c>
      <c r="B18" s="421"/>
      <c r="C18" s="423"/>
      <c r="D18" s="422"/>
    </row>
    <row r="19" spans="1:4" ht="15.75">
      <c r="A19" s="429" t="s">
        <v>611</v>
      </c>
      <c r="B19" s="421"/>
      <c r="C19" s="424"/>
      <c r="D19" s="422"/>
    </row>
    <row r="20" spans="1:4" ht="15.75">
      <c r="A20" s="429" t="s">
        <v>612</v>
      </c>
      <c r="B20" s="421"/>
      <c r="C20" s="424"/>
      <c r="D20" s="422"/>
    </row>
    <row r="21" spans="1:4" ht="15.75">
      <c r="A21" s="429" t="s">
        <v>614</v>
      </c>
      <c r="B21" s="421"/>
      <c r="C21" s="424"/>
      <c r="D21" s="422"/>
    </row>
    <row r="22" spans="1:4" ht="15.75">
      <c r="A22" s="429" t="s">
        <v>616</v>
      </c>
      <c r="B22" s="424"/>
      <c r="C22" s="424"/>
      <c r="D22" s="422"/>
    </row>
    <row r="23" spans="1:4" ht="15.75">
      <c r="A23" s="429" t="s">
        <v>620</v>
      </c>
      <c r="B23" s="421"/>
      <c r="C23" s="424"/>
      <c r="D23" s="422"/>
    </row>
    <row r="24" spans="1:4" ht="15.75">
      <c r="A24" s="429" t="s">
        <v>618</v>
      </c>
      <c r="B24" s="421"/>
      <c r="C24" s="424"/>
      <c r="D24" s="422"/>
    </row>
  </sheetData>
  <sortState ref="E1:E25">
    <sortCondition ref="E1:E25"/>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P113"/>
  <sheetViews>
    <sheetView showGridLines="0" workbookViewId="0">
      <selection activeCell="N7" sqref="N7"/>
    </sheetView>
  </sheetViews>
  <sheetFormatPr defaultColWidth="12.140625" defaultRowHeight="15.75"/>
  <cols>
    <col min="1" max="1" width="9" style="171" customWidth="1"/>
    <col min="2" max="2" width="11.42578125" style="171" customWidth="1"/>
    <col min="3" max="3" width="12.28515625" style="171" customWidth="1"/>
    <col min="4" max="4" width="11.7109375" style="171" customWidth="1"/>
    <col min="5" max="8" width="9" style="171" customWidth="1"/>
    <col min="9" max="9" width="11.42578125" style="171" customWidth="1"/>
    <col min="10" max="10" width="12.28515625" style="171" customWidth="1"/>
    <col min="11" max="11" width="11" style="171" customWidth="1"/>
    <col min="12" max="12" width="9" style="171" customWidth="1"/>
    <col min="13" max="13" width="12.140625" style="171" hidden="1" customWidth="1"/>
    <col min="14" max="16384" width="12.140625" style="171"/>
  </cols>
  <sheetData>
    <row r="1" spans="1:16" ht="21" customHeight="1">
      <c r="D1" s="172"/>
      <c r="E1" s="539" t="str">
        <f>IF(OR(M49=1,M49=2,M49=3),"DATE CLOSED:","")</f>
        <v/>
      </c>
      <c r="F1" s="539"/>
      <c r="G1" s="539"/>
      <c r="J1" s="173" t="s">
        <v>395</v>
      </c>
      <c r="K1" s="540"/>
      <c r="L1" s="541"/>
    </row>
    <row r="2" spans="1:16" ht="21" customHeight="1">
      <c r="A2" s="174"/>
      <c r="B2" s="172"/>
      <c r="C2" s="172"/>
      <c r="D2" s="172"/>
      <c r="E2" s="443"/>
      <c r="F2" s="443"/>
      <c r="G2" s="443"/>
      <c r="J2" s="173" t="s">
        <v>396</v>
      </c>
      <c r="K2" s="175"/>
      <c r="L2" s="176"/>
    </row>
    <row r="3" spans="1:16" ht="21" customHeight="1">
      <c r="A3" s="542" t="str">
        <f>IF(OR(M49=1,M49=2,M49=3),"GRAPHICS INVOICE","GRAPHICS QUOTE REQUEST")</f>
        <v>GRAPHICS QUOTE REQUEST</v>
      </c>
      <c r="B3" s="543"/>
      <c r="C3" s="543"/>
      <c r="D3" s="172"/>
      <c r="E3" s="544" t="str">
        <f>IF(OR(M49=1,M49=2,M49=3),M50,"")</f>
        <v/>
      </c>
      <c r="F3" s="545"/>
      <c r="G3" s="546"/>
      <c r="J3" s="173" t="s">
        <v>397</v>
      </c>
      <c r="K3" s="547"/>
      <c r="L3" s="548"/>
    </row>
    <row r="4" spans="1:16" ht="6.95" customHeight="1" thickBot="1">
      <c r="A4" s="177"/>
      <c r="B4" s="177"/>
      <c r="C4" s="177"/>
      <c r="D4" s="177"/>
      <c r="F4" s="444"/>
      <c r="G4" s="178"/>
      <c r="H4" s="178"/>
      <c r="I4" s="178"/>
      <c r="J4" s="178"/>
      <c r="K4" s="174"/>
      <c r="L4" s="444"/>
    </row>
    <row r="5" spans="1:16" s="448" customFormat="1" ht="20.100000000000001" customHeight="1">
      <c r="A5" s="179" t="s">
        <v>398</v>
      </c>
      <c r="B5" s="549"/>
      <c r="C5" s="550"/>
      <c r="D5" s="179" t="s">
        <v>44</v>
      </c>
      <c r="E5" s="551"/>
      <c r="F5" s="552"/>
      <c r="G5" s="552"/>
      <c r="H5" s="552"/>
      <c r="I5" s="179" t="s">
        <v>277</v>
      </c>
      <c r="J5" s="180"/>
      <c r="K5" s="181" t="s">
        <v>399</v>
      </c>
      <c r="L5" s="442"/>
    </row>
    <row r="6" spans="1:16" s="448" customFormat="1" ht="20.100000000000001" customHeight="1">
      <c r="A6" s="182" t="s">
        <v>54</v>
      </c>
      <c r="B6" s="527"/>
      <c r="C6" s="528"/>
      <c r="D6" s="528"/>
      <c r="E6" s="528"/>
      <c r="F6" s="528"/>
      <c r="G6" s="528"/>
      <c r="H6" s="528"/>
      <c r="I6" s="528"/>
      <c r="J6" s="528"/>
      <c r="K6" s="183"/>
      <c r="L6" s="183"/>
      <c r="M6" s="449"/>
    </row>
    <row r="7" spans="1:16" s="448" customFormat="1" ht="20.100000000000001" customHeight="1">
      <c r="A7" s="184" t="s">
        <v>400</v>
      </c>
      <c r="B7" s="527"/>
      <c r="C7" s="529"/>
      <c r="D7" s="529"/>
      <c r="E7" s="529"/>
      <c r="F7" s="529"/>
      <c r="G7" s="530"/>
      <c r="H7" s="530"/>
      <c r="I7" s="185" t="s">
        <v>401</v>
      </c>
      <c r="J7" s="186"/>
      <c r="K7" s="187"/>
      <c r="L7" s="187"/>
      <c r="M7" s="450"/>
      <c r="P7" s="451"/>
    </row>
    <row r="8" spans="1:16" s="448" customFormat="1" ht="20.100000000000001" customHeight="1">
      <c r="A8" s="531" t="s">
        <v>402</v>
      </c>
      <c r="B8" s="531"/>
      <c r="C8" s="532" t="b">
        <f>IF(J7="RWC","Provide Previous Item #",IF(J7="New","N/A"))</f>
        <v>0</v>
      </c>
      <c r="D8" s="533"/>
      <c r="E8" s="533"/>
      <c r="F8" s="533"/>
      <c r="G8" s="533"/>
      <c r="H8" s="533"/>
      <c r="I8" s="534"/>
      <c r="J8" s="534"/>
      <c r="K8" s="534"/>
      <c r="L8" s="534"/>
      <c r="M8" s="450"/>
      <c r="P8" s="451"/>
    </row>
    <row r="9" spans="1:16" s="448" customFormat="1" ht="20.100000000000001" customHeight="1" thickBot="1">
      <c r="A9" s="535" t="s">
        <v>403</v>
      </c>
      <c r="B9" s="536"/>
      <c r="C9" s="188"/>
      <c r="D9" s="189" t="s">
        <v>1</v>
      </c>
      <c r="E9" s="935"/>
      <c r="F9" s="935"/>
      <c r="G9" s="537" t="s">
        <v>404</v>
      </c>
      <c r="H9" s="538"/>
      <c r="I9" s="190"/>
      <c r="J9" s="191" t="s">
        <v>405</v>
      </c>
      <c r="K9" s="192"/>
      <c r="L9" s="193"/>
      <c r="M9" s="450"/>
    </row>
    <row r="10" spans="1:16" s="448" customFormat="1" ht="9" customHeight="1">
      <c r="A10" s="187"/>
      <c r="B10" s="187"/>
      <c r="C10" s="187"/>
      <c r="D10" s="187"/>
      <c r="E10" s="187"/>
      <c r="F10" s="187"/>
      <c r="G10" s="187"/>
      <c r="H10" s="187"/>
      <c r="I10" s="187"/>
      <c r="J10" s="187"/>
      <c r="K10" s="187"/>
      <c r="L10" s="187"/>
      <c r="M10" s="452"/>
      <c r="O10" s="453"/>
    </row>
    <row r="11" spans="1:16" s="448" customFormat="1" ht="21" customHeight="1">
      <c r="A11" s="517" t="str">
        <f>IF(OR(M49=1,M49=2,M49=3),"This invoice includes external charges:","This quote includes external charges:")</f>
        <v>This quote includes external charges:</v>
      </c>
      <c r="B11" s="517"/>
      <c r="C11" s="517"/>
      <c r="D11" s="194" t="s">
        <v>406</v>
      </c>
      <c r="E11" s="195"/>
      <c r="F11" s="196" t="s">
        <v>407</v>
      </c>
      <c r="G11" s="195"/>
      <c r="H11" s="196" t="s">
        <v>199</v>
      </c>
      <c r="I11" s="195"/>
      <c r="J11" s="196" t="s">
        <v>408</v>
      </c>
      <c r="K11" s="195"/>
      <c r="L11" s="197"/>
      <c r="M11" s="198" t="b">
        <v>0</v>
      </c>
      <c r="O11" s="453"/>
    </row>
    <row r="12" spans="1:16" s="448" customFormat="1" ht="9" customHeight="1" thickBot="1">
      <c r="A12" s="187"/>
      <c r="B12" s="187"/>
      <c r="C12" s="187"/>
      <c r="D12" s="187"/>
      <c r="E12" s="187"/>
      <c r="F12" s="187"/>
      <c r="G12" s="187"/>
      <c r="H12" s="187"/>
      <c r="I12" s="187"/>
      <c r="J12" s="187"/>
      <c r="K12" s="187"/>
      <c r="L12" s="187"/>
      <c r="M12" s="452"/>
      <c r="O12" s="453"/>
    </row>
    <row r="13" spans="1:16" s="448" customFormat="1" ht="30" customHeight="1" thickBot="1">
      <c r="A13" s="518" t="s">
        <v>409</v>
      </c>
      <c r="B13" s="518"/>
      <c r="C13" s="199" t="s">
        <v>410</v>
      </c>
      <c r="D13" s="200" t="s">
        <v>411</v>
      </c>
      <c r="E13" s="201"/>
      <c r="F13" s="519" t="s">
        <v>412</v>
      </c>
      <c r="G13" s="519"/>
      <c r="H13" s="520"/>
      <c r="I13" s="202"/>
      <c r="J13" s="202" t="s">
        <v>413</v>
      </c>
      <c r="K13" s="203"/>
      <c r="L13" s="199" t="s">
        <v>414</v>
      </c>
      <c r="M13" s="454">
        <v>0</v>
      </c>
      <c r="N13" s="455"/>
      <c r="O13" s="455"/>
      <c r="P13" s="455"/>
    </row>
    <row r="14" spans="1:16" s="448" customFormat="1" ht="6.95" customHeight="1">
      <c r="A14" s="204"/>
      <c r="B14" s="204"/>
      <c r="C14" s="204"/>
      <c r="D14" s="204"/>
      <c r="E14" s="204"/>
      <c r="F14" s="204"/>
      <c r="G14" s="204"/>
      <c r="H14" s="204"/>
      <c r="I14" s="204"/>
      <c r="J14" s="204"/>
      <c r="K14" s="204"/>
      <c r="L14" s="204"/>
      <c r="N14" s="455"/>
      <c r="O14" s="455"/>
      <c r="P14" s="455"/>
    </row>
    <row r="15" spans="1:16" s="448" customFormat="1" ht="20.100000000000001" customHeight="1">
      <c r="A15" s="521" t="s">
        <v>415</v>
      </c>
      <c r="B15" s="522"/>
      <c r="C15" s="523"/>
      <c r="D15" s="524"/>
      <c r="E15" s="525"/>
      <c r="F15" s="456"/>
      <c r="G15" s="456"/>
      <c r="H15" s="526" t="s">
        <v>416</v>
      </c>
      <c r="I15" s="526"/>
      <c r="J15" s="502"/>
      <c r="K15" s="503"/>
      <c r="L15" s="503"/>
    </row>
    <row r="16" spans="1:16" s="448" customFormat="1" ht="9" customHeight="1" thickBot="1">
      <c r="F16" s="205"/>
      <c r="H16" s="171"/>
      <c r="I16" s="171"/>
      <c r="J16" s="171"/>
      <c r="K16" s="171"/>
      <c r="L16" s="171"/>
      <c r="M16" s="452"/>
    </row>
    <row r="17" spans="1:16" s="217" customFormat="1" ht="24" customHeight="1">
      <c r="A17" s="206" t="s">
        <v>417</v>
      </c>
      <c r="B17" s="207" t="s">
        <v>418</v>
      </c>
      <c r="C17" s="208" t="s">
        <v>419</v>
      </c>
      <c r="D17" s="209" t="s">
        <v>420</v>
      </c>
      <c r="E17" s="208" t="s">
        <v>421</v>
      </c>
      <c r="F17" s="209" t="s">
        <v>422</v>
      </c>
      <c r="G17" s="208" t="s">
        <v>423</v>
      </c>
      <c r="H17" s="210" t="s">
        <v>424</v>
      </c>
      <c r="I17" s="211" t="s">
        <v>425</v>
      </c>
      <c r="J17" s="212" t="s">
        <v>426</v>
      </c>
      <c r="K17" s="213" t="s">
        <v>427</v>
      </c>
      <c r="L17" s="214" t="s">
        <v>428</v>
      </c>
      <c r="M17" s="215"/>
      <c r="N17" s="216"/>
    </row>
    <row r="18" spans="1:16" s="217" customFormat="1" ht="21.95" customHeight="1" thickBot="1">
      <c r="A18" s="218">
        <f>Assessment!C7</f>
        <v>0</v>
      </c>
      <c r="B18" s="218">
        <f>A18</f>
        <v>0</v>
      </c>
      <c r="C18" s="219"/>
      <c r="D18" s="219"/>
      <c r="E18" s="219"/>
      <c r="F18" s="219"/>
      <c r="G18" s="219"/>
      <c r="H18" s="219"/>
      <c r="I18" s="218"/>
      <c r="J18" s="220">
        <f>A18</f>
        <v>0</v>
      </c>
      <c r="K18" s="219"/>
      <c r="L18" s="220"/>
      <c r="P18" s="221"/>
    </row>
    <row r="19" spans="1:16" s="217" customFormat="1" ht="9" customHeight="1" thickBot="1">
      <c r="A19" s="222"/>
      <c r="B19" s="222"/>
      <c r="C19" s="223"/>
      <c r="D19" s="223"/>
      <c r="E19" s="223"/>
      <c r="F19" s="222"/>
      <c r="G19" s="222"/>
      <c r="H19" s="222"/>
      <c r="I19" s="222"/>
      <c r="J19" s="222"/>
      <c r="K19" s="222"/>
      <c r="L19" s="224"/>
    </row>
    <row r="20" spans="1:16" s="226" customFormat="1" ht="26.1" customHeight="1">
      <c r="A20" s="504" t="s">
        <v>429</v>
      </c>
      <c r="B20" s="504"/>
      <c r="C20" s="507" t="s">
        <v>430</v>
      </c>
      <c r="D20" s="508"/>
      <c r="E20" s="225"/>
      <c r="F20" s="509" t="s">
        <v>431</v>
      </c>
      <c r="G20" s="510"/>
      <c r="H20" s="510"/>
      <c r="I20" s="509" t="s">
        <v>432</v>
      </c>
      <c r="J20" s="510"/>
      <c r="K20" s="510"/>
      <c r="L20" s="225"/>
    </row>
    <row r="21" spans="1:16" s="448" customFormat="1" ht="26.1" customHeight="1">
      <c r="A21" s="505"/>
      <c r="B21" s="505"/>
      <c r="C21" s="511" t="s">
        <v>433</v>
      </c>
      <c r="D21" s="512"/>
      <c r="E21" s="227"/>
      <c r="F21" s="513" t="s">
        <v>434</v>
      </c>
      <c r="G21" s="514"/>
      <c r="H21" s="514"/>
      <c r="I21" s="513" t="s">
        <v>435</v>
      </c>
      <c r="J21" s="514"/>
      <c r="K21" s="514"/>
      <c r="L21" s="457"/>
    </row>
    <row r="22" spans="1:16" s="448" customFormat="1" ht="26.1" customHeight="1" thickBot="1">
      <c r="A22" s="506"/>
      <c r="B22" s="506"/>
      <c r="C22" s="515" t="s">
        <v>436</v>
      </c>
      <c r="D22" s="516"/>
      <c r="E22" s="228"/>
      <c r="F22" s="495" t="s">
        <v>437</v>
      </c>
      <c r="G22" s="496"/>
      <c r="H22" s="496"/>
      <c r="I22" s="495" t="s">
        <v>438</v>
      </c>
      <c r="J22" s="496"/>
      <c r="K22" s="496"/>
      <c r="L22" s="458"/>
      <c r="N22" s="459"/>
    </row>
    <row r="23" spans="1:16" s="448" customFormat="1" ht="9" customHeight="1">
      <c r="A23" s="229"/>
      <c r="B23" s="229"/>
      <c r="C23" s="229"/>
      <c r="D23" s="230"/>
      <c r="E23" s="231"/>
      <c r="F23" s="232"/>
      <c r="G23" s="231"/>
      <c r="H23" s="231"/>
      <c r="I23" s="231"/>
      <c r="J23" s="231"/>
      <c r="K23" s="231"/>
      <c r="L23" s="232"/>
    </row>
    <row r="24" spans="1:16" s="448" customFormat="1" ht="18" customHeight="1">
      <c r="A24" s="497" t="s">
        <v>439</v>
      </c>
      <c r="B24" s="498"/>
      <c r="C24" s="499"/>
      <c r="D24" s="500"/>
      <c r="E24" s="231"/>
      <c r="F24" s="232"/>
      <c r="G24" s="231"/>
      <c r="H24" s="231"/>
      <c r="I24" s="231"/>
      <c r="J24" s="231"/>
      <c r="K24" s="231"/>
      <c r="L24" s="232"/>
    </row>
    <row r="25" spans="1:16" s="448" customFormat="1" ht="9" customHeight="1" thickBot="1">
      <c r="A25" s="232"/>
      <c r="B25" s="232"/>
      <c r="C25" s="232"/>
      <c r="D25" s="231"/>
      <c r="E25" s="231"/>
      <c r="F25" s="232"/>
      <c r="G25" s="231"/>
      <c r="H25" s="231"/>
      <c r="I25" s="231"/>
      <c r="J25" s="231"/>
      <c r="K25" s="231"/>
      <c r="L25" s="232"/>
    </row>
    <row r="26" spans="1:16" s="226" customFormat="1" ht="20.100000000000001" customHeight="1" thickBot="1">
      <c r="A26" s="233" t="s">
        <v>440</v>
      </c>
      <c r="B26" s="233"/>
      <c r="C26" s="233"/>
      <c r="D26" s="234" t="str">
        <f>IF(OR(M13=0,M13=1,M13=2,M13=4,M13=5),"Units","")</f>
        <v>Units</v>
      </c>
      <c r="E26" s="235" t="str">
        <f>IF(OR(M13=3,M13=2,M13=6),"Units","")</f>
        <v/>
      </c>
      <c r="F26" s="233"/>
      <c r="G26" s="233" t="s">
        <v>441</v>
      </c>
      <c r="H26" s="233"/>
      <c r="I26" s="233"/>
      <c r="J26" s="233"/>
      <c r="K26" s="233"/>
      <c r="L26" s="233" t="s">
        <v>442</v>
      </c>
    </row>
    <row r="27" spans="1:16" s="240" customFormat="1" ht="18.95" customHeight="1">
      <c r="A27" s="501" t="s">
        <v>443</v>
      </c>
      <c r="B27" s="501"/>
      <c r="C27" s="436"/>
      <c r="D27" s="236">
        <f>IF(OR(M13=0,M13=1,M13=2,M13=4),B18,"")</f>
        <v>0</v>
      </c>
      <c r="E27" s="237" t="str">
        <f>IF(M13=3,B18,"")</f>
        <v/>
      </c>
      <c r="F27" s="436"/>
      <c r="G27" s="238">
        <v>37.5</v>
      </c>
      <c r="H27" s="436"/>
      <c r="I27" s="436"/>
      <c r="J27" s="436"/>
      <c r="K27" s="436"/>
      <c r="L27" s="239">
        <f>IFERROR(IF(M13=3,E27*G27,D27*G27),0)</f>
        <v>0</v>
      </c>
    </row>
    <row r="28" spans="1:16" s="240" customFormat="1" ht="18.95" customHeight="1">
      <c r="A28" s="241" t="s">
        <v>444</v>
      </c>
      <c r="B28" s="241"/>
      <c r="C28" s="241"/>
      <c r="D28" s="242">
        <f>IF(OR(M13=0,M13=1,M13=2,M13=4),B18,"")</f>
        <v>0</v>
      </c>
      <c r="E28" s="243" t="str">
        <f>IF(M13=3,B18,"")</f>
        <v/>
      </c>
      <c r="F28" s="241"/>
      <c r="G28" s="244">
        <v>28</v>
      </c>
      <c r="H28" s="241"/>
      <c r="I28" s="241"/>
      <c r="J28" s="241"/>
      <c r="K28" s="241"/>
      <c r="L28" s="245">
        <f>IFERROR(IF(M13=3,E28*G28,D28*G28),0)</f>
        <v>0</v>
      </c>
    </row>
    <row r="29" spans="1:16" s="240" customFormat="1" ht="18.95" customHeight="1">
      <c r="A29" s="489" t="s">
        <v>445</v>
      </c>
      <c r="B29" s="489"/>
      <c r="C29" s="437"/>
      <c r="D29" s="246">
        <f>IF(M13=0,[1]Calculations!F12,IF(M13=1,[1]Calculations!F12,IF(M13=2,[1]Calculations!F12,IF(M13=5,"",IF(M13=3,"",IF(M13=4,"",IF(M13=6,"")))))))</f>
        <v>0</v>
      </c>
      <c r="E29" s="247" t="str">
        <f>IF(OR(M13=3,M13=6),0,"")</f>
        <v/>
      </c>
      <c r="F29" s="437"/>
      <c r="G29" s="248">
        <v>150</v>
      </c>
      <c r="H29" s="437"/>
      <c r="I29" s="437"/>
      <c r="J29" s="437"/>
      <c r="K29" s="437"/>
      <c r="L29" s="239">
        <f>IFERROR(IF(OR(M13=3,M13=6),E29*G29,D29*G29),0)</f>
        <v>0</v>
      </c>
    </row>
    <row r="30" spans="1:16" s="240" customFormat="1" ht="18.95" customHeight="1">
      <c r="A30" s="249" t="str">
        <f>IF(M13=2,"Additonal Preflight Time (Rev)","")</f>
        <v/>
      </c>
      <c r="B30" s="438"/>
      <c r="C30" s="438"/>
      <c r="D30" s="250"/>
      <c r="E30" s="251" t="str">
        <f>IF(M13=2,0,"")</f>
        <v/>
      </c>
      <c r="F30" s="438"/>
      <c r="G30" s="252">
        <v>150</v>
      </c>
      <c r="H30" s="438"/>
      <c r="I30" s="438"/>
      <c r="J30" s="438"/>
      <c r="K30" s="438"/>
      <c r="L30" s="245">
        <f>IFERROR(IF(M13=2,E30*G30,0),0)</f>
        <v>0</v>
      </c>
    </row>
    <row r="31" spans="1:16" s="240" customFormat="1" ht="18.95" customHeight="1">
      <c r="A31" s="489" t="s">
        <v>446</v>
      </c>
      <c r="B31" s="489"/>
      <c r="C31" s="437"/>
      <c r="D31" s="246">
        <f>IF(OR(M13=0,M13=1,M13=2),I18,"")</f>
        <v>0</v>
      </c>
      <c r="E31" s="253" t="str">
        <f>IF(M13=3,I18,"")</f>
        <v/>
      </c>
      <c r="F31" s="437"/>
      <c r="G31" s="248">
        <v>50</v>
      </c>
      <c r="H31" s="437"/>
      <c r="I31" s="437"/>
      <c r="J31" s="437"/>
      <c r="K31" s="437"/>
      <c r="L31" s="239">
        <f>IFERROR(IF(M13=3,E31*G31,D31*G31),0)</f>
        <v>0</v>
      </c>
    </row>
    <row r="32" spans="1:16" s="240" customFormat="1" ht="18.95" customHeight="1">
      <c r="A32" s="487" t="s">
        <v>447</v>
      </c>
      <c r="B32" s="487"/>
      <c r="C32" s="438"/>
      <c r="D32" s="250">
        <f>IF(OR(M13=0,M13=1,M13=2),[1]Calculations!F16,"")</f>
        <v>0</v>
      </c>
      <c r="E32" s="254" t="str">
        <f>IF(M13=3,[1]Calculations!G16,"")</f>
        <v/>
      </c>
      <c r="F32" s="438"/>
      <c r="G32" s="252">
        <v>150</v>
      </c>
      <c r="H32" s="438"/>
      <c r="I32" s="438"/>
      <c r="J32" s="438"/>
      <c r="K32" s="438"/>
      <c r="L32" s="245">
        <f>IFERROR(IF(M13=3,E32*G32,D32*G32),0)</f>
        <v>0</v>
      </c>
    </row>
    <row r="33" spans="1:13" s="240" customFormat="1" ht="18.95" customHeight="1">
      <c r="A33" s="255" t="str">
        <f>IF(AND(M13=2,K18&gt;0),"Additional CC Time (Rev CP)","")</f>
        <v/>
      </c>
      <c r="B33" s="255"/>
      <c r="C33" s="255"/>
      <c r="D33" s="255"/>
      <c r="E33" s="256" t="str">
        <f>IF(AND(M13=2,K18&gt;0),"0","")</f>
        <v/>
      </c>
      <c r="F33" s="437"/>
      <c r="G33" s="248">
        <v>150</v>
      </c>
      <c r="H33" s="437"/>
      <c r="I33" s="437"/>
      <c r="J33" s="437"/>
      <c r="K33" s="437"/>
      <c r="L33" s="239">
        <f>IFERROR(IF(M13=2,E33*G33,0),0)</f>
        <v>0</v>
      </c>
    </row>
    <row r="34" spans="1:13" s="240" customFormat="1" ht="18.95" customHeight="1">
      <c r="A34" s="487" t="s">
        <v>448</v>
      </c>
      <c r="B34" s="488"/>
      <c r="C34" s="438"/>
      <c r="D34" s="250">
        <f>IF(OR(M13=0,M13=1,M13=2,M13=4),L18,"")</f>
        <v>0</v>
      </c>
      <c r="E34" s="257" t="str">
        <f>IF(M13=3,L18,"")</f>
        <v/>
      </c>
      <c r="F34" s="438"/>
      <c r="G34" s="252">
        <v>225</v>
      </c>
      <c r="H34" s="438"/>
      <c r="I34" s="438"/>
      <c r="J34" s="438"/>
      <c r="K34" s="438"/>
      <c r="L34" s="245">
        <f>IFERROR(IF(M13=3,E34*G34,D34*G34),0)</f>
        <v>0</v>
      </c>
    </row>
    <row r="35" spans="1:13" s="240" customFormat="1" ht="18.95" customHeight="1">
      <c r="A35" s="489" t="s">
        <v>449</v>
      </c>
      <c r="B35" s="490"/>
      <c r="C35" s="437"/>
      <c r="D35" s="246" t="b">
        <f>IF(M13=0,[1]Calculations!B19,IF(M13=1,[1]Calculations!B19,IF(M13=2,[1]Calculations!B19,IF(M13=5,"",IF(M13=3,"",IF(M13=4,"",IF(M13=6,"")))))))</f>
        <v>0</v>
      </c>
      <c r="E35" s="247" t="str">
        <f>IF(M13=3,0,"")</f>
        <v/>
      </c>
      <c r="F35" s="437"/>
      <c r="G35" s="248">
        <v>150</v>
      </c>
      <c r="H35" s="437"/>
      <c r="I35" s="437"/>
      <c r="J35" s="437"/>
      <c r="K35" s="437"/>
      <c r="L35" s="239">
        <f>IFERROR(IF(M13=3,E35*G35,D35*G35),0)</f>
        <v>0</v>
      </c>
    </row>
    <row r="36" spans="1:13" s="240" customFormat="1" ht="18.95" customHeight="1">
      <c r="A36" s="487" t="s">
        <v>450</v>
      </c>
      <c r="B36" s="488"/>
      <c r="C36" s="438"/>
      <c r="D36" s="250">
        <f>IF(OR(M13=0,M13=1,M13=2),J18,"")</f>
        <v>0</v>
      </c>
      <c r="E36" s="257" t="str">
        <f>IF(M13=3,J18,"")</f>
        <v/>
      </c>
      <c r="F36" s="438"/>
      <c r="G36" s="252">
        <v>15</v>
      </c>
      <c r="H36" s="438"/>
      <c r="I36" s="438"/>
      <c r="J36" s="438"/>
      <c r="K36" s="438"/>
      <c r="L36" s="245">
        <f>IFERROR(IF(M13=3,E36*G36,D36*G36),0)</f>
        <v>0</v>
      </c>
    </row>
    <row r="37" spans="1:13" s="240" customFormat="1" ht="18.95" customHeight="1">
      <c r="A37" s="491" t="s">
        <v>451</v>
      </c>
      <c r="B37" s="492"/>
      <c r="C37" s="440"/>
      <c r="D37" s="258">
        <f>IF(OR(M13=0,M13=1,M13=2,M13=5),[1]Calculations!B22,"")</f>
        <v>0</v>
      </c>
      <c r="E37" s="259" t="str">
        <f>IF(M13=3,0,"")</f>
        <v/>
      </c>
      <c r="F37" s="440"/>
      <c r="G37" s="260">
        <v>150</v>
      </c>
      <c r="H37" s="440"/>
      <c r="I37" s="440"/>
      <c r="J37" s="440"/>
      <c r="K37" s="440"/>
      <c r="L37" s="239">
        <f>IFERROR(IF(M13=3,E37*G37,D37*G37),0)</f>
        <v>0</v>
      </c>
    </row>
    <row r="38" spans="1:13" s="240" customFormat="1" ht="18.95" customHeight="1">
      <c r="A38" s="493" t="s">
        <v>452</v>
      </c>
      <c r="B38" s="494"/>
      <c r="C38" s="435"/>
      <c r="D38" s="261">
        <f>IF(OR(M13=0,M13=1,M13=2,M13=4,M13=5),([1]Calculations!C26*[1]Calculations!D26)*C18,"")</f>
        <v>0</v>
      </c>
      <c r="E38" s="262" t="str">
        <f>IF(M13=3,[1]Calculations!C26*[1]Calculations!D26*C18,"")</f>
        <v/>
      </c>
      <c r="F38" s="435"/>
      <c r="G38" s="263">
        <v>0.24</v>
      </c>
      <c r="H38" s="435"/>
      <c r="I38" s="435"/>
      <c r="J38" s="435"/>
      <c r="K38" s="435"/>
      <c r="L38" s="264">
        <f>IFERROR(IF(M13=3,E38*G38,D38*G38),0)</f>
        <v>0</v>
      </c>
    </row>
    <row r="39" spans="1:13" s="240" customFormat="1" ht="18.95" customHeight="1">
      <c r="A39" s="265" t="str">
        <f>IF(E11&gt;0,"External Mac Time Charge","")</f>
        <v/>
      </c>
      <c r="B39" s="441"/>
      <c r="C39" s="440"/>
      <c r="D39" s="266"/>
      <c r="E39" s="267"/>
      <c r="F39" s="440"/>
      <c r="G39" s="260"/>
      <c r="H39" s="440"/>
      <c r="I39" s="440"/>
      <c r="J39" s="440"/>
      <c r="K39" s="440"/>
      <c r="L39" s="268">
        <f>IF(M11,E11,0)</f>
        <v>0</v>
      </c>
      <c r="M39" s="269" t="b">
        <f>OR(M12=1,M12=2)</f>
        <v>0</v>
      </c>
    </row>
    <row r="40" spans="1:13" s="240" customFormat="1" ht="18.95" customHeight="1">
      <c r="A40" s="249" t="str">
        <f>IF(G11&gt;0,"External Proof Charge","")</f>
        <v/>
      </c>
      <c r="B40" s="439"/>
      <c r="C40" s="438"/>
      <c r="D40" s="270"/>
      <c r="E40" s="254"/>
      <c r="F40" s="438"/>
      <c r="G40" s="252"/>
      <c r="H40" s="438"/>
      <c r="I40" s="438"/>
      <c r="J40" s="438"/>
      <c r="K40" s="438"/>
      <c r="L40" s="264">
        <f>IF(M11,G11,0)</f>
        <v>0</v>
      </c>
      <c r="M40" s="269" t="b">
        <f>OR(M12=1,M12=2)</f>
        <v>0</v>
      </c>
    </row>
    <row r="41" spans="1:13" s="240" customFormat="1" ht="18.95" customHeight="1">
      <c r="A41" s="271" t="str">
        <f>IF(I11,"External Plate Charge","")</f>
        <v/>
      </c>
      <c r="B41" s="272"/>
      <c r="C41" s="436"/>
      <c r="D41" s="273"/>
      <c r="E41" s="274"/>
      <c r="F41" s="436"/>
      <c r="G41" s="238"/>
      <c r="H41" s="436"/>
      <c r="I41" s="436"/>
      <c r="J41" s="436"/>
      <c r="K41" s="436"/>
      <c r="L41" s="239">
        <f>IF(M11,I11,0)</f>
        <v>0</v>
      </c>
      <c r="M41" s="269" t="b">
        <f>OR(M12=1,M12=2)</f>
        <v>0</v>
      </c>
    </row>
    <row r="42" spans="1:13" s="240" customFormat="1" ht="18.95" customHeight="1" thickBot="1">
      <c r="A42" s="275" t="str">
        <f>IF(K11&gt;0,"Custom Sleeve Charge","")</f>
        <v/>
      </c>
      <c r="B42" s="276"/>
      <c r="C42" s="277"/>
      <c r="D42" s="278"/>
      <c r="E42" s="279"/>
      <c r="F42" s="277"/>
      <c r="G42" s="280"/>
      <c r="H42" s="277"/>
      <c r="I42" s="277"/>
      <c r="J42" s="277"/>
      <c r="K42" s="277"/>
      <c r="L42" s="281">
        <f>IF(M11,K11,0)</f>
        <v>0</v>
      </c>
      <c r="M42" s="269" t="b">
        <f>OR(M13=1,M13=2)</f>
        <v>0</v>
      </c>
    </row>
    <row r="43" spans="1:13" s="240" customFormat="1" ht="18.95" customHeight="1" thickBot="1">
      <c r="A43" s="232"/>
      <c r="B43" s="232"/>
      <c r="C43" s="232"/>
      <c r="D43" s="232"/>
      <c r="E43" s="232"/>
      <c r="F43" s="232"/>
      <c r="G43" s="232"/>
      <c r="H43" s="232"/>
      <c r="I43" s="232"/>
      <c r="J43" s="232"/>
      <c r="K43" s="282" t="s">
        <v>453</v>
      </c>
      <c r="L43" s="283">
        <f>SUM(L27:L42)</f>
        <v>0</v>
      </c>
    </row>
    <row r="44" spans="1:13" s="240" customFormat="1" ht="18.95" customHeight="1" thickBot="1">
      <c r="A44" s="479" t="s">
        <v>454</v>
      </c>
      <c r="B44" s="479"/>
      <c r="C44" s="284"/>
      <c r="D44" s="285"/>
      <c r="E44" s="286"/>
      <c r="F44" s="286"/>
      <c r="G44" s="286"/>
      <c r="H44" s="286"/>
      <c r="I44" s="286"/>
      <c r="J44" s="286"/>
      <c r="K44" s="287" t="s">
        <v>455</v>
      </c>
      <c r="L44" s="288" t="e">
        <f>L43/C18</f>
        <v>#DIV/0!</v>
      </c>
      <c r="M44" s="289" t="b">
        <v>0</v>
      </c>
    </row>
    <row r="45" spans="1:13" s="240" customFormat="1" ht="6" customHeight="1">
      <c r="A45" s="290"/>
      <c r="B45" s="290"/>
      <c r="E45" s="286"/>
      <c r="F45" s="286"/>
      <c r="G45" s="286"/>
      <c r="H45" s="286"/>
      <c r="I45" s="286"/>
      <c r="J45" s="286"/>
      <c r="K45" s="291"/>
      <c r="L45" s="292"/>
    </row>
    <row r="46" spans="1:13" s="240" customFormat="1" ht="17.100000000000001" customHeight="1">
      <c r="A46" s="293"/>
      <c r="B46" s="293"/>
      <c r="E46" s="286"/>
      <c r="F46" s="286"/>
      <c r="G46" s="286"/>
      <c r="H46" s="286"/>
      <c r="I46" s="286"/>
      <c r="J46" s="286"/>
      <c r="K46" s="294" t="str">
        <f>IF(M11,"Internal:","")</f>
        <v/>
      </c>
      <c r="L46" s="295" t="str">
        <f>IF(M11,L43-L47,"")</f>
        <v/>
      </c>
    </row>
    <row r="47" spans="1:13" s="240" customFormat="1" ht="18" customHeight="1">
      <c r="E47" s="286"/>
      <c r="F47" s="286"/>
      <c r="G47" s="286"/>
      <c r="H47" s="286"/>
      <c r="I47" s="286"/>
      <c r="J47" s="286"/>
      <c r="K47" s="294" t="str">
        <f>IF(M11,"External:","")</f>
        <v/>
      </c>
      <c r="L47" s="295" t="str">
        <f>IF(M11,L39+L40+L41+L42,"")</f>
        <v/>
      </c>
    </row>
    <row r="48" spans="1:13" s="240" customFormat="1" ht="6" customHeight="1" thickBot="1">
      <c r="E48" s="286"/>
      <c r="F48" s="286"/>
      <c r="G48" s="286"/>
      <c r="H48" s="286"/>
      <c r="I48" s="286"/>
      <c r="J48" s="286"/>
      <c r="K48" s="291"/>
      <c r="L48" s="292"/>
    </row>
    <row r="49" spans="1:13" s="240" customFormat="1" ht="27" customHeight="1" thickBot="1">
      <c r="A49" s="480" t="s">
        <v>456</v>
      </c>
      <c r="B49" s="481"/>
      <c r="C49" s="481"/>
      <c r="D49" s="482"/>
      <c r="E49" s="482"/>
      <c r="F49" s="483" t="s">
        <v>457</v>
      </c>
      <c r="G49" s="483"/>
      <c r="H49" s="484" t="str">
        <f>IF(OR(M49=1,M49=2,M49=3),"Total Before Markup:","")</f>
        <v/>
      </c>
      <c r="I49" s="484"/>
      <c r="J49" s="484"/>
      <c r="K49" s="484"/>
      <c r="L49" s="296" t="b">
        <f>IF(M49=2,L43)</f>
        <v>0</v>
      </c>
      <c r="M49" s="454">
        <v>0</v>
      </c>
    </row>
    <row r="50" spans="1:13" s="240" customFormat="1" ht="18.95" customHeight="1" thickBot="1">
      <c r="A50" s="485" t="s">
        <v>458</v>
      </c>
      <c r="B50" s="486"/>
      <c r="C50" s="297"/>
      <c r="D50" s="297"/>
      <c r="E50" s="297"/>
      <c r="F50" s="297"/>
      <c r="G50" s="297"/>
      <c r="H50" s="297"/>
      <c r="I50" s="297"/>
      <c r="J50" s="297"/>
      <c r="K50" s="297"/>
      <c r="L50" s="297"/>
      <c r="M50" s="298">
        <f ca="1">TODAY()</f>
        <v>42564</v>
      </c>
    </row>
    <row r="51" spans="1:13" s="240" customFormat="1" ht="21" customHeight="1">
      <c r="A51" s="299"/>
      <c r="B51" s="299"/>
      <c r="C51" s="299"/>
      <c r="D51" s="299"/>
      <c r="E51" s="299"/>
      <c r="F51" s="299"/>
      <c r="G51" s="299"/>
      <c r="H51" s="299"/>
      <c r="I51" s="299"/>
      <c r="J51" s="299"/>
      <c r="K51" s="299"/>
      <c r="L51" s="299"/>
      <c r="M51" s="300"/>
    </row>
    <row r="52" spans="1:13" s="240" customFormat="1" ht="21" customHeight="1">
      <c r="A52" s="299"/>
      <c r="B52" s="299"/>
      <c r="C52" s="299"/>
      <c r="D52" s="299"/>
      <c r="E52" s="299"/>
      <c r="F52" s="299"/>
      <c r="G52" s="299"/>
      <c r="H52" s="299"/>
      <c r="I52" s="299"/>
      <c r="J52" s="299"/>
      <c r="K52" s="299"/>
      <c r="L52" s="299"/>
      <c r="M52" s="300"/>
    </row>
    <row r="53" spans="1:13" s="240" customFormat="1" ht="21" customHeight="1">
      <c r="A53" s="299"/>
      <c r="B53" s="299"/>
      <c r="C53" s="299"/>
      <c r="D53" s="299"/>
      <c r="E53" s="299"/>
      <c r="F53" s="299"/>
      <c r="G53" s="299"/>
      <c r="H53" s="299"/>
      <c r="I53" s="299"/>
      <c r="J53" s="299"/>
      <c r="K53" s="299"/>
      <c r="L53" s="299"/>
      <c r="M53" s="300"/>
    </row>
    <row r="54" spans="1:13" s="240" customFormat="1" ht="21" customHeight="1">
      <c r="A54" s="299"/>
      <c r="B54" s="299"/>
      <c r="C54" s="299"/>
      <c r="D54" s="299"/>
      <c r="E54" s="299"/>
      <c r="F54" s="299"/>
      <c r="G54" s="299"/>
      <c r="H54" s="299"/>
      <c r="I54" s="299"/>
      <c r="J54" s="299"/>
      <c r="K54" s="299"/>
      <c r="L54" s="299"/>
      <c r="M54" s="300"/>
    </row>
    <row r="55" spans="1:13" s="240" customFormat="1" ht="21" customHeight="1">
      <c r="A55" s="299"/>
      <c r="B55" s="299"/>
      <c r="C55" s="299"/>
      <c r="D55" s="299"/>
      <c r="E55" s="299"/>
      <c r="F55" s="299"/>
      <c r="G55" s="299"/>
      <c r="H55" s="299"/>
      <c r="I55" s="299"/>
      <c r="J55" s="299"/>
      <c r="K55" s="299"/>
      <c r="L55" s="299"/>
      <c r="M55" s="300"/>
    </row>
    <row r="56" spans="1:13" s="240" customFormat="1" ht="21" customHeight="1">
      <c r="A56" s="299"/>
      <c r="B56" s="299"/>
      <c r="C56" s="299"/>
      <c r="D56" s="299"/>
      <c r="E56" s="299"/>
      <c r="F56" s="299"/>
      <c r="G56" s="299"/>
      <c r="H56" s="299"/>
      <c r="I56" s="299"/>
      <c r="J56" s="299"/>
      <c r="K56" s="299"/>
      <c r="L56" s="299"/>
      <c r="M56" s="300"/>
    </row>
    <row r="57" spans="1:13" s="240" customFormat="1" ht="21" customHeight="1" thickBot="1">
      <c r="A57" s="301"/>
      <c r="B57" s="301"/>
      <c r="C57" s="301"/>
      <c r="D57" s="301"/>
      <c r="E57" s="301"/>
      <c r="F57" s="301"/>
      <c r="G57" s="301"/>
      <c r="H57" s="301"/>
      <c r="I57" s="301"/>
      <c r="J57" s="301"/>
      <c r="K57" s="301"/>
      <c r="L57" s="301"/>
    </row>
    <row r="58" spans="1:13" s="240" customFormat="1" ht="20.100000000000001" customHeight="1">
      <c r="A58" s="478" t="s">
        <v>459</v>
      </c>
      <c r="B58" s="478"/>
      <c r="C58" s="478"/>
      <c r="D58" s="478"/>
      <c r="E58" s="478"/>
      <c r="F58" s="478"/>
      <c r="G58" s="478"/>
      <c r="H58" s="478"/>
      <c r="I58" s="478"/>
      <c r="J58" s="478"/>
      <c r="K58" s="478"/>
      <c r="L58" s="478"/>
    </row>
    <row r="59" spans="1:13" s="302" customFormat="1"/>
    <row r="60" spans="1:13" s="302" customFormat="1"/>
    <row r="61" spans="1:13" s="302" customFormat="1"/>
    <row r="62" spans="1:13" s="302" customFormat="1"/>
    <row r="63" spans="1:13" s="302" customFormat="1"/>
    <row r="64" spans="1:13" s="302" customFormat="1"/>
    <row r="65" s="302" customFormat="1"/>
    <row r="66" s="302" customFormat="1"/>
    <row r="67" s="302" customFormat="1"/>
    <row r="68" s="302" customFormat="1"/>
    <row r="69" s="302" customFormat="1"/>
    <row r="70" s="302" customFormat="1"/>
    <row r="71" s="302" customFormat="1"/>
    <row r="72" s="302" customFormat="1"/>
    <row r="73" s="302" customFormat="1"/>
    <row r="74" s="302" customFormat="1"/>
    <row r="75" s="302" customFormat="1"/>
    <row r="76" s="302" customFormat="1"/>
    <row r="77" s="302" customFormat="1"/>
    <row r="78" s="302" customFormat="1"/>
    <row r="79" s="302" customFormat="1"/>
    <row r="80" s="302" customFormat="1"/>
    <row r="81" s="302" customFormat="1"/>
    <row r="82" s="302" customFormat="1"/>
    <row r="83" s="302" customFormat="1"/>
    <row r="84" s="302" customFormat="1"/>
    <row r="85" s="302" customFormat="1"/>
    <row r="86" s="302" customFormat="1"/>
    <row r="87" s="302" customFormat="1"/>
    <row r="88" s="302" customFormat="1"/>
    <row r="89" s="302" customFormat="1"/>
    <row r="90" s="302" customFormat="1"/>
    <row r="91" s="302" customFormat="1"/>
    <row r="92" s="302" customFormat="1"/>
    <row r="93" s="302" customFormat="1"/>
    <row r="94" s="302" customFormat="1"/>
    <row r="95" s="302" customFormat="1"/>
    <row r="96" s="302" customFormat="1"/>
    <row r="97" s="302" customFormat="1"/>
    <row r="98" s="302" customFormat="1"/>
    <row r="99" s="302" customFormat="1"/>
    <row r="100" s="302" customFormat="1"/>
    <row r="101" s="302" customFormat="1"/>
    <row r="102" s="302" customFormat="1"/>
    <row r="103" s="302" customFormat="1"/>
    <row r="104" s="302" customFormat="1"/>
    <row r="105" s="302" customFormat="1"/>
    <row r="106" s="302" customFormat="1"/>
    <row r="107" s="302" customFormat="1"/>
    <row r="108" s="302" customFormat="1"/>
    <row r="109" s="302" customFormat="1"/>
    <row r="110" s="302" customFormat="1"/>
    <row r="111" s="302" customFormat="1"/>
    <row r="112" s="302" customFormat="1"/>
    <row r="113" s="302" customFormat="1"/>
  </sheetData>
  <sheetProtection sheet="1" objects="1" scenarios="1" insertHyperlinks="0"/>
  <mergeCells count="49">
    <mergeCell ref="B5:C5"/>
    <mergeCell ref="E5:H5"/>
    <mergeCell ref="E1:G1"/>
    <mergeCell ref="K1:L1"/>
    <mergeCell ref="A3:C3"/>
    <mergeCell ref="E3:G3"/>
    <mergeCell ref="K3:L3"/>
    <mergeCell ref="B6:J6"/>
    <mergeCell ref="B7:H7"/>
    <mergeCell ref="A8:B8"/>
    <mergeCell ref="C8:L8"/>
    <mergeCell ref="A9:B9"/>
    <mergeCell ref="E9:F9"/>
    <mergeCell ref="G9:H9"/>
    <mergeCell ref="A11:C11"/>
    <mergeCell ref="A13:B13"/>
    <mergeCell ref="F13:H13"/>
    <mergeCell ref="A15:B15"/>
    <mergeCell ref="C15:E15"/>
    <mergeCell ref="H15:I15"/>
    <mergeCell ref="J15:L15"/>
    <mergeCell ref="A20:B22"/>
    <mergeCell ref="C20:D20"/>
    <mergeCell ref="F20:H20"/>
    <mergeCell ref="I20:K20"/>
    <mergeCell ref="C21:D21"/>
    <mergeCell ref="F21:H21"/>
    <mergeCell ref="I21:K21"/>
    <mergeCell ref="C22:D22"/>
    <mergeCell ref="F22:H22"/>
    <mergeCell ref="A38:B38"/>
    <mergeCell ref="I22:K22"/>
    <mergeCell ref="A24:B24"/>
    <mergeCell ref="C24:D24"/>
    <mergeCell ref="A27:B27"/>
    <mergeCell ref="A29:B29"/>
    <mergeCell ref="A31:B31"/>
    <mergeCell ref="A32:B32"/>
    <mergeCell ref="A34:B34"/>
    <mergeCell ref="A35:B35"/>
    <mergeCell ref="A36:B36"/>
    <mergeCell ref="A37:B37"/>
    <mergeCell ref="A58:L58"/>
    <mergeCell ref="A44:B44"/>
    <mergeCell ref="A49:C49"/>
    <mergeCell ref="D49:E49"/>
    <mergeCell ref="F49:G49"/>
    <mergeCell ref="H49:K49"/>
    <mergeCell ref="A50:B50"/>
  </mergeCells>
  <conditionalFormatting sqref="L49">
    <cfRule type="containsText" dxfId="61" priority="7" operator="containsText" text="FALSE">
      <formula>NOT(ISERROR(SEARCH("FALSE",L49)))</formula>
    </cfRule>
  </conditionalFormatting>
  <conditionalFormatting sqref="G9">
    <cfRule type="containsText" dxfId="60" priority="6" operator="containsText" text="Pkg Size:">
      <formula>NOT(ISERROR(SEARCH("Pkg Size:",G9)))</formula>
    </cfRule>
  </conditionalFormatting>
  <conditionalFormatting sqref="K46">
    <cfRule type="containsText" dxfId="59" priority="5" operator="containsText" text="Internal">
      <formula>NOT(ISERROR(SEARCH("Internal",K46)))</formula>
    </cfRule>
  </conditionalFormatting>
  <conditionalFormatting sqref="K47">
    <cfRule type="containsText" dxfId="58" priority="4" operator="containsText" text="External">
      <formula>NOT(ISERROR(SEARCH("External",K47)))</formula>
    </cfRule>
  </conditionalFormatting>
  <conditionalFormatting sqref="L46">
    <cfRule type="cellIs" dxfId="57" priority="3" operator="greaterThan">
      <formula>0</formula>
    </cfRule>
  </conditionalFormatting>
  <conditionalFormatting sqref="L47">
    <cfRule type="cellIs" dxfId="56" priority="2" operator="greaterThan">
      <formula>0</formula>
    </cfRule>
  </conditionalFormatting>
  <conditionalFormatting sqref="A39:A42">
    <cfRule type="containsText" dxfId="55" priority="1" operator="containsText" text="External">
      <formula>NOT(ISERROR(SEARCH("External",A39)))</formula>
    </cfRule>
  </conditionalFormatting>
  <dataValidations count="10">
    <dataValidation type="list" allowBlank="1" showInputMessage="1" showErrorMessage="1" sqref="K9">
      <formula1>"OD, ID"</formula1>
    </dataValidation>
    <dataValidation type="whole" allowBlank="1" showInputMessage="1" showErrorMessage="1" sqref="A18:E18 G18:L18">
      <formula1>0</formula1>
      <formula2>2000</formula2>
    </dataValidation>
    <dataValidation allowBlank="1" showInputMessage="1" showErrorMessage="1" prompt="Does not include contract proofs. Enter number of contract proofs below." sqref="G11"/>
    <dataValidation type="list" allowBlank="1" showInputMessage="1" showErrorMessage="1" sqref="C9">
      <formula1>"Registered, Random"</formula1>
    </dataValidation>
    <dataValidation allowBlank="1" showInputMessage="1" showErrorMessage="1" prompt="Enter email address." sqref="E5"/>
    <dataValidation type="list" allowBlank="1" showInputMessage="1" showErrorMessage="1" sqref="L5">
      <formula1>"LC,ST,TC,LH,SL,BH,VH,IW,LW"</formula1>
    </dataValidation>
    <dataValidation type="list" allowBlank="1" showInputMessage="1" showErrorMessage="1" sqref="J7">
      <formula1>"New, RWC"</formula1>
    </dataValidation>
    <dataValidation type="list" allowBlank="1" showInputMessage="1" showErrorMessage="1" prompt="Select yes if there are common elements that will reduce overall time between items." sqref="C24:D24">
      <formula1>"Yes, No, N/A"</formula1>
    </dataValidation>
    <dataValidation allowBlank="1" showInputMessage="1" showErrorMessage="1" prompt="If known, enter # of full web (cust step) content proofs required." sqref="H19:J19"/>
    <dataValidation type="list" allowBlank="1" showInputMessage="1" showErrorMessage="1" prompt="Choose option that best describes work required. This determines the base time." sqref="C15:E15">
      <formula1>"All new art, RWC with all new art, RWC to existing art, New - use existing art,New - Redraw, Eyespot Trial,Dieline Drawing"</formula1>
    </dataValidation>
  </dataValidations>
  <printOptions horizontalCentered="1" verticalCentered="1"/>
  <pageMargins left="0.30000000000000004" right="0.30000000000000004" top="0.2" bottom="0.2" header="0.39000000000000007" footer="0.39000000000000007"/>
  <pageSetup scale="65" orientation="portrait" horizontalDpi="4294967292" verticalDpi="4294967292"/>
  <headerFooter>
    <oddFooter>&amp;C&amp;"Arial,Regular"&amp;11&amp;K000000Issue Date: 01-Feb-16  Revision No.: 0  Revision Date: N/A</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30721" r:id="rId3" name="Option Button 1">
              <controlPr defaultSize="0" autoFill="0" autoLine="0" autoPict="0">
                <anchor moveWithCells="1">
                  <from>
                    <xdr:col>2</xdr:col>
                    <xdr:colOff>9525</xdr:colOff>
                    <xdr:row>20</xdr:row>
                    <xdr:rowOff>66675</xdr:rowOff>
                  </from>
                  <to>
                    <xdr:col>2</xdr:col>
                    <xdr:colOff>409575</xdr:colOff>
                    <xdr:row>20</xdr:row>
                    <xdr:rowOff>276225</xdr:rowOff>
                  </to>
                </anchor>
              </controlPr>
            </control>
          </mc:Choice>
        </mc:AlternateContent>
        <mc:AlternateContent xmlns:mc="http://schemas.openxmlformats.org/markup-compatibility/2006">
          <mc:Choice Requires="x14">
            <control shapeId="30722" r:id="rId4" name="Option Button 2">
              <controlPr defaultSize="0" autoFill="0" autoLine="0" autoPict="0">
                <anchor moveWithCells="1">
                  <from>
                    <xdr:col>5</xdr:col>
                    <xdr:colOff>0</xdr:colOff>
                    <xdr:row>20</xdr:row>
                    <xdr:rowOff>66675</xdr:rowOff>
                  </from>
                  <to>
                    <xdr:col>5</xdr:col>
                    <xdr:colOff>390525</xdr:colOff>
                    <xdr:row>20</xdr:row>
                    <xdr:rowOff>276225</xdr:rowOff>
                  </to>
                </anchor>
              </controlPr>
            </control>
          </mc:Choice>
        </mc:AlternateContent>
        <mc:AlternateContent xmlns:mc="http://schemas.openxmlformats.org/markup-compatibility/2006">
          <mc:Choice Requires="x14">
            <control shapeId="30723" r:id="rId5" name="Option Button 3">
              <controlPr defaultSize="0" autoFill="0" autoLine="0" autoPict="0">
                <anchor moveWithCells="1">
                  <from>
                    <xdr:col>8</xdr:col>
                    <xdr:colOff>0</xdr:colOff>
                    <xdr:row>20</xdr:row>
                    <xdr:rowOff>66675</xdr:rowOff>
                  </from>
                  <to>
                    <xdr:col>8</xdr:col>
                    <xdr:colOff>390525</xdr:colOff>
                    <xdr:row>20</xdr:row>
                    <xdr:rowOff>276225</xdr:rowOff>
                  </to>
                </anchor>
              </controlPr>
            </control>
          </mc:Choice>
        </mc:AlternateContent>
        <mc:AlternateContent xmlns:mc="http://schemas.openxmlformats.org/markup-compatibility/2006">
          <mc:Choice Requires="x14">
            <control shapeId="30724" r:id="rId6" name="Option Button 4">
              <controlPr defaultSize="0" autoFill="0" autoLine="0" autoPict="0">
                <anchor moveWithCells="1">
                  <from>
                    <xdr:col>2</xdr:col>
                    <xdr:colOff>9525</xdr:colOff>
                    <xdr:row>21</xdr:row>
                    <xdr:rowOff>47625</xdr:rowOff>
                  </from>
                  <to>
                    <xdr:col>2</xdr:col>
                    <xdr:colOff>409575</xdr:colOff>
                    <xdr:row>21</xdr:row>
                    <xdr:rowOff>266700</xdr:rowOff>
                  </to>
                </anchor>
              </controlPr>
            </control>
          </mc:Choice>
        </mc:AlternateContent>
        <mc:AlternateContent xmlns:mc="http://schemas.openxmlformats.org/markup-compatibility/2006">
          <mc:Choice Requires="x14">
            <control shapeId="30725" r:id="rId7" name="Option Button 5">
              <controlPr defaultSize="0" autoFill="0" autoLine="0" autoPict="0">
                <anchor moveWithCells="1">
                  <from>
                    <xdr:col>5</xdr:col>
                    <xdr:colOff>0</xdr:colOff>
                    <xdr:row>21</xdr:row>
                    <xdr:rowOff>47625</xdr:rowOff>
                  </from>
                  <to>
                    <xdr:col>5</xdr:col>
                    <xdr:colOff>390525</xdr:colOff>
                    <xdr:row>21</xdr:row>
                    <xdr:rowOff>266700</xdr:rowOff>
                  </to>
                </anchor>
              </controlPr>
            </control>
          </mc:Choice>
        </mc:AlternateContent>
        <mc:AlternateContent xmlns:mc="http://schemas.openxmlformats.org/markup-compatibility/2006">
          <mc:Choice Requires="x14">
            <control shapeId="30726" r:id="rId8" name="Option Button 6">
              <controlPr defaultSize="0" autoFill="0" autoLine="0" autoPict="0">
                <anchor moveWithCells="1">
                  <from>
                    <xdr:col>8</xdr:col>
                    <xdr:colOff>0</xdr:colOff>
                    <xdr:row>21</xdr:row>
                    <xdr:rowOff>47625</xdr:rowOff>
                  </from>
                  <to>
                    <xdr:col>8</xdr:col>
                    <xdr:colOff>390525</xdr:colOff>
                    <xdr:row>21</xdr:row>
                    <xdr:rowOff>266700</xdr:rowOff>
                  </to>
                </anchor>
              </controlPr>
            </control>
          </mc:Choice>
        </mc:AlternateContent>
        <mc:AlternateContent xmlns:mc="http://schemas.openxmlformats.org/markup-compatibility/2006">
          <mc:Choice Requires="x14">
            <control shapeId="30727" r:id="rId9" name="Option Button 7">
              <controlPr defaultSize="0" autoFill="0" autoLine="0" autoPict="0">
                <anchor moveWithCells="1">
                  <from>
                    <xdr:col>2</xdr:col>
                    <xdr:colOff>9525</xdr:colOff>
                    <xdr:row>19</xdr:row>
                    <xdr:rowOff>47625</xdr:rowOff>
                  </from>
                  <to>
                    <xdr:col>2</xdr:col>
                    <xdr:colOff>409575</xdr:colOff>
                    <xdr:row>19</xdr:row>
                    <xdr:rowOff>266700</xdr:rowOff>
                  </to>
                </anchor>
              </controlPr>
            </control>
          </mc:Choice>
        </mc:AlternateContent>
        <mc:AlternateContent xmlns:mc="http://schemas.openxmlformats.org/markup-compatibility/2006">
          <mc:Choice Requires="x14">
            <control shapeId="30728" r:id="rId10" name="Option Button 8">
              <controlPr defaultSize="0" autoFill="0" autoLine="0" autoPict="0">
                <anchor moveWithCells="1">
                  <from>
                    <xdr:col>5</xdr:col>
                    <xdr:colOff>0</xdr:colOff>
                    <xdr:row>19</xdr:row>
                    <xdr:rowOff>47625</xdr:rowOff>
                  </from>
                  <to>
                    <xdr:col>5</xdr:col>
                    <xdr:colOff>390525</xdr:colOff>
                    <xdr:row>19</xdr:row>
                    <xdr:rowOff>266700</xdr:rowOff>
                  </to>
                </anchor>
              </controlPr>
            </control>
          </mc:Choice>
        </mc:AlternateContent>
        <mc:AlternateContent xmlns:mc="http://schemas.openxmlformats.org/markup-compatibility/2006">
          <mc:Choice Requires="x14">
            <control shapeId="30729" r:id="rId11" name="Group Box 9">
              <controlPr defaultSize="0" autoFill="0" autoPict="0">
                <anchor moveWithCells="1">
                  <from>
                    <xdr:col>1</xdr:col>
                    <xdr:colOff>923925</xdr:colOff>
                    <xdr:row>19</xdr:row>
                    <xdr:rowOff>0</xdr:rowOff>
                  </from>
                  <to>
                    <xdr:col>12</xdr:col>
                    <xdr:colOff>0</xdr:colOff>
                    <xdr:row>22</xdr:row>
                    <xdr:rowOff>0</xdr:rowOff>
                  </to>
                </anchor>
              </controlPr>
            </control>
          </mc:Choice>
        </mc:AlternateContent>
        <mc:AlternateContent xmlns:mc="http://schemas.openxmlformats.org/markup-compatibility/2006">
          <mc:Choice Requires="x14">
            <control shapeId="30730" r:id="rId12" name="Option Button 10">
              <controlPr defaultSize="0" autoFill="0" autoLine="0" autoPict="0">
                <anchor moveWithCells="1">
                  <from>
                    <xdr:col>0</xdr:col>
                    <xdr:colOff>38100</xdr:colOff>
                    <xdr:row>48</xdr:row>
                    <xdr:rowOff>38100</xdr:rowOff>
                  </from>
                  <to>
                    <xdr:col>0</xdr:col>
                    <xdr:colOff>428625</xdr:colOff>
                    <xdr:row>48</xdr:row>
                    <xdr:rowOff>295275</xdr:rowOff>
                  </to>
                </anchor>
              </controlPr>
            </control>
          </mc:Choice>
        </mc:AlternateContent>
        <mc:AlternateContent xmlns:mc="http://schemas.openxmlformats.org/markup-compatibility/2006">
          <mc:Choice Requires="x14">
            <control shapeId="30731" r:id="rId13" name="Option Button 11">
              <controlPr defaultSize="0" autoFill="0" autoLine="0" autoPict="0">
                <anchor moveWithCells="1">
                  <from>
                    <xdr:col>5</xdr:col>
                    <xdr:colOff>47625</xdr:colOff>
                    <xdr:row>48</xdr:row>
                    <xdr:rowOff>38100</xdr:rowOff>
                  </from>
                  <to>
                    <xdr:col>5</xdr:col>
                    <xdr:colOff>447675</xdr:colOff>
                    <xdr:row>48</xdr:row>
                    <xdr:rowOff>295275</xdr:rowOff>
                  </to>
                </anchor>
              </controlPr>
            </control>
          </mc:Choice>
        </mc:AlternateContent>
        <mc:AlternateContent xmlns:mc="http://schemas.openxmlformats.org/markup-compatibility/2006">
          <mc:Choice Requires="x14">
            <control shapeId="30732" r:id="rId14" name="Group Box 12">
              <controlPr defaultSize="0" autoFill="0" autoPict="0">
                <anchor moveWithCells="1">
                  <from>
                    <xdr:col>0</xdr:col>
                    <xdr:colOff>0</xdr:colOff>
                    <xdr:row>12</xdr:row>
                    <xdr:rowOff>0</xdr:rowOff>
                  </from>
                  <to>
                    <xdr:col>12</xdr:col>
                    <xdr:colOff>0</xdr:colOff>
                    <xdr:row>12</xdr:row>
                    <xdr:rowOff>352425</xdr:rowOff>
                  </to>
                </anchor>
              </controlPr>
            </control>
          </mc:Choice>
        </mc:AlternateContent>
        <mc:AlternateContent xmlns:mc="http://schemas.openxmlformats.org/markup-compatibility/2006">
          <mc:Choice Requires="x14">
            <control shapeId="30733" r:id="rId15" name="Option Button 13">
              <controlPr defaultSize="0" autoFill="0" autoLine="0" autoPict="0">
                <anchor moveWithCells="1">
                  <from>
                    <xdr:col>0</xdr:col>
                    <xdr:colOff>28575</xdr:colOff>
                    <xdr:row>12</xdr:row>
                    <xdr:rowOff>66675</xdr:rowOff>
                  </from>
                  <to>
                    <xdr:col>0</xdr:col>
                    <xdr:colOff>419100</xdr:colOff>
                    <xdr:row>12</xdr:row>
                    <xdr:rowOff>276225</xdr:rowOff>
                  </to>
                </anchor>
              </controlPr>
            </control>
          </mc:Choice>
        </mc:AlternateContent>
        <mc:AlternateContent xmlns:mc="http://schemas.openxmlformats.org/markup-compatibility/2006">
          <mc:Choice Requires="x14">
            <control shapeId="30734" r:id="rId16" name="Option Button 14">
              <controlPr defaultSize="0" autoFill="0" autoLine="0" autoPict="0">
                <anchor moveWithCells="1">
                  <from>
                    <xdr:col>1</xdr:col>
                    <xdr:colOff>542925</xdr:colOff>
                    <xdr:row>12</xdr:row>
                    <xdr:rowOff>66675</xdr:rowOff>
                  </from>
                  <to>
                    <xdr:col>2</xdr:col>
                    <xdr:colOff>0</xdr:colOff>
                    <xdr:row>12</xdr:row>
                    <xdr:rowOff>276225</xdr:rowOff>
                  </to>
                </anchor>
              </controlPr>
            </control>
          </mc:Choice>
        </mc:AlternateContent>
        <mc:AlternateContent xmlns:mc="http://schemas.openxmlformats.org/markup-compatibility/2006">
          <mc:Choice Requires="x14">
            <control shapeId="30735" r:id="rId17" name="Option Button 15">
              <controlPr defaultSize="0" autoFill="0" autoLine="0" autoPict="0">
                <anchor moveWithCells="1">
                  <from>
                    <xdr:col>3</xdr:col>
                    <xdr:colOff>0</xdr:colOff>
                    <xdr:row>12</xdr:row>
                    <xdr:rowOff>66675</xdr:rowOff>
                  </from>
                  <to>
                    <xdr:col>3</xdr:col>
                    <xdr:colOff>409575</xdr:colOff>
                    <xdr:row>12</xdr:row>
                    <xdr:rowOff>276225</xdr:rowOff>
                  </to>
                </anchor>
              </controlPr>
            </control>
          </mc:Choice>
        </mc:AlternateContent>
        <mc:AlternateContent xmlns:mc="http://schemas.openxmlformats.org/markup-compatibility/2006">
          <mc:Choice Requires="x14">
            <control shapeId="30736" r:id="rId18" name="Option Button 16">
              <controlPr defaultSize="0" autoFill="0" autoLine="0" autoPict="0">
                <anchor moveWithCells="1">
                  <from>
                    <xdr:col>4</xdr:col>
                    <xdr:colOff>495300</xdr:colOff>
                    <xdr:row>12</xdr:row>
                    <xdr:rowOff>66675</xdr:rowOff>
                  </from>
                  <to>
                    <xdr:col>5</xdr:col>
                    <xdr:colOff>85725</xdr:colOff>
                    <xdr:row>12</xdr:row>
                    <xdr:rowOff>276225</xdr:rowOff>
                  </to>
                </anchor>
              </controlPr>
            </control>
          </mc:Choice>
        </mc:AlternateContent>
        <mc:AlternateContent xmlns:mc="http://schemas.openxmlformats.org/markup-compatibility/2006">
          <mc:Choice Requires="x14">
            <control shapeId="30737" r:id="rId19" name="Option Button 17">
              <controlPr defaultSize="0" autoFill="0" autoLine="0" autoPict="0">
                <anchor moveWithCells="1">
                  <from>
                    <xdr:col>8</xdr:col>
                    <xdr:colOff>695325</xdr:colOff>
                    <xdr:row>12</xdr:row>
                    <xdr:rowOff>66675</xdr:rowOff>
                  </from>
                  <to>
                    <xdr:col>9</xdr:col>
                    <xdr:colOff>76200</xdr:colOff>
                    <xdr:row>12</xdr:row>
                    <xdr:rowOff>276225</xdr:rowOff>
                  </to>
                </anchor>
              </controlPr>
            </control>
          </mc:Choice>
        </mc:AlternateContent>
        <mc:AlternateContent xmlns:mc="http://schemas.openxmlformats.org/markup-compatibility/2006">
          <mc:Choice Requires="x14">
            <control shapeId="30738" r:id="rId20" name="Option Button 18">
              <controlPr defaultSize="0" autoFill="0" autoLine="0" autoPict="0">
                <anchor moveWithCells="1">
                  <from>
                    <xdr:col>8</xdr:col>
                    <xdr:colOff>0</xdr:colOff>
                    <xdr:row>19</xdr:row>
                    <xdr:rowOff>85725</xdr:rowOff>
                  </from>
                  <to>
                    <xdr:col>8</xdr:col>
                    <xdr:colOff>390525</xdr:colOff>
                    <xdr:row>19</xdr:row>
                    <xdr:rowOff>304800</xdr:rowOff>
                  </to>
                </anchor>
              </controlPr>
            </control>
          </mc:Choice>
        </mc:AlternateContent>
        <mc:AlternateContent xmlns:mc="http://schemas.openxmlformats.org/markup-compatibility/2006">
          <mc:Choice Requires="x14">
            <control shapeId="30739" r:id="rId21" name="Check Box 19">
              <controlPr defaultSize="0" autoFill="0" autoLine="0" autoPict="0">
                <anchor moveWithCells="1">
                  <from>
                    <xdr:col>0</xdr:col>
                    <xdr:colOff>38100</xdr:colOff>
                    <xdr:row>10</xdr:row>
                    <xdr:rowOff>9525</xdr:rowOff>
                  </from>
                  <to>
                    <xdr:col>0</xdr:col>
                    <xdr:colOff>428625</xdr:colOff>
                    <xdr:row>10</xdr:row>
                    <xdr:rowOff>228600</xdr:rowOff>
                  </to>
                </anchor>
              </controlPr>
            </control>
          </mc:Choice>
        </mc:AlternateContent>
        <mc:AlternateContent xmlns:mc="http://schemas.openxmlformats.org/markup-compatibility/2006">
          <mc:Choice Requires="x14">
            <control shapeId="30740" r:id="rId22" name="Option Button 20">
              <controlPr defaultSize="0" autoFill="0" autoLine="0" autoPict="0">
                <anchor moveWithCells="1">
                  <from>
                    <xdr:col>10</xdr:col>
                    <xdr:colOff>533400</xdr:colOff>
                    <xdr:row>12</xdr:row>
                    <xdr:rowOff>66675</xdr:rowOff>
                  </from>
                  <to>
                    <xdr:col>11</xdr:col>
                    <xdr:colOff>0</xdr:colOff>
                    <xdr:row>12</xdr:row>
                    <xdr:rowOff>276225</xdr:rowOff>
                  </to>
                </anchor>
              </controlPr>
            </control>
          </mc:Choice>
        </mc:AlternateContent>
        <mc:AlternateContent xmlns:mc="http://schemas.openxmlformats.org/markup-compatibility/2006">
          <mc:Choice Requires="x14">
            <control shapeId="30741" r:id="rId23" name="Check Box 21">
              <controlPr defaultSize="0" autoFill="0" autoLine="0" autoPict="0">
                <anchor moveWithCells="1">
                  <from>
                    <xdr:col>0</xdr:col>
                    <xdr:colOff>28575</xdr:colOff>
                    <xdr:row>43</xdr:row>
                    <xdr:rowOff>0</xdr:rowOff>
                  </from>
                  <to>
                    <xdr:col>0</xdr:col>
                    <xdr:colOff>419100</xdr:colOff>
                    <xdr:row>43</xdr:row>
                    <xdr:rowOff>228600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H28"/>
  <sheetViews>
    <sheetView showGridLines="0" zoomScale="115" zoomScaleNormal="115" zoomScalePageLayoutView="115" workbookViewId="0">
      <selection activeCell="O16" sqref="O16"/>
    </sheetView>
  </sheetViews>
  <sheetFormatPr defaultColWidth="12.140625" defaultRowHeight="15.75"/>
  <cols>
    <col min="1" max="1" width="12.28515625" style="171" customWidth="1"/>
    <col min="2" max="2" width="10.5703125" style="171" customWidth="1"/>
    <col min="3" max="3" width="19.5703125" style="171" customWidth="1"/>
    <col min="4" max="4" width="9" style="171" customWidth="1"/>
    <col min="5" max="5" width="12.140625" style="171" customWidth="1"/>
    <col min="6" max="8" width="8.7109375" style="171" customWidth="1"/>
    <col min="9" max="16384" width="12.140625" style="171"/>
  </cols>
  <sheetData>
    <row r="1" spans="1:8" ht="53.1" customHeight="1">
      <c r="F1" s="567"/>
      <c r="G1" s="567"/>
      <c r="H1" s="567"/>
    </row>
    <row r="2" spans="1:8" ht="33.950000000000003" customHeight="1" thickBot="1">
      <c r="A2" s="568" t="s">
        <v>460</v>
      </c>
      <c r="B2" s="568"/>
      <c r="C2" s="568"/>
      <c r="D2" s="568"/>
      <c r="E2" s="568"/>
      <c r="F2" s="444"/>
      <c r="G2" s="444"/>
      <c r="H2" s="444"/>
    </row>
    <row r="3" spans="1:8" s="448" customFormat="1" ht="20.100000000000001" customHeight="1">
      <c r="A3" s="569" t="s">
        <v>398</v>
      </c>
      <c r="B3" s="569"/>
      <c r="C3" s="570">
        <f>'Quote Request'!B5</f>
        <v>0</v>
      </c>
      <c r="D3" s="570"/>
      <c r="E3" s="570"/>
      <c r="F3" s="171"/>
      <c r="G3" s="171"/>
      <c r="H3" s="171"/>
    </row>
    <row r="4" spans="1:8" s="448" customFormat="1" ht="20.100000000000001" customHeight="1">
      <c r="A4" s="563" t="s">
        <v>44</v>
      </c>
      <c r="B4" s="563"/>
      <c r="C4" s="571">
        <f>'Quote Request'!E5</f>
        <v>0</v>
      </c>
      <c r="D4" s="571"/>
      <c r="E4" s="571"/>
      <c r="F4" s="171"/>
      <c r="G4" s="171"/>
      <c r="H4" s="171"/>
    </row>
    <row r="5" spans="1:8" s="448" customFormat="1" ht="20.100000000000001" customHeight="1">
      <c r="A5" s="445" t="s">
        <v>461</v>
      </c>
      <c r="B5" s="445"/>
      <c r="C5" s="303">
        <f>'Quote Request'!J5</f>
        <v>0</v>
      </c>
      <c r="D5" s="446"/>
      <c r="E5" s="446"/>
      <c r="F5" s="171"/>
      <c r="G5" s="171"/>
      <c r="H5" s="171"/>
    </row>
    <row r="6" spans="1:8" s="448" customFormat="1" ht="20.100000000000001" customHeight="1">
      <c r="A6" s="563" t="s">
        <v>54</v>
      </c>
      <c r="B6" s="563"/>
      <c r="C6" s="564">
        <f>'Quote Request'!B6</f>
        <v>0</v>
      </c>
      <c r="D6" s="564"/>
      <c r="E6" s="564"/>
      <c r="F6" s="171"/>
      <c r="G6" s="171"/>
      <c r="H6" s="171"/>
    </row>
    <row r="7" spans="1:8" s="448" customFormat="1" ht="20.100000000000001" customHeight="1" thickBot="1">
      <c r="A7" s="565" t="s">
        <v>462</v>
      </c>
      <c r="B7" s="565"/>
      <c r="C7" s="558">
        <f>'Quote Request'!B7</f>
        <v>0</v>
      </c>
      <c r="D7" s="559"/>
      <c r="E7" s="559"/>
      <c r="F7" s="171"/>
      <c r="G7" s="171"/>
      <c r="H7" s="171"/>
    </row>
    <row r="8" spans="1:8" s="448" customFormat="1" ht="20.100000000000001" customHeight="1" thickBot="1">
      <c r="A8" s="232"/>
      <c r="B8" s="232"/>
      <c r="C8" s="232"/>
      <c r="D8" s="231"/>
      <c r="E8" s="231"/>
      <c r="F8" s="232"/>
      <c r="G8" s="231"/>
      <c r="H8" s="231"/>
    </row>
    <row r="9" spans="1:8" s="226" customFormat="1" ht="21.95" customHeight="1" thickBot="1">
      <c r="A9" s="304" t="s">
        <v>440</v>
      </c>
      <c r="B9" s="304"/>
      <c r="C9" s="305"/>
      <c r="D9" s="306"/>
      <c r="E9" s="304" t="s">
        <v>442</v>
      </c>
      <c r="F9" s="187"/>
      <c r="G9" s="187"/>
      <c r="H9" s="187"/>
    </row>
    <row r="10" spans="1:8" s="240" customFormat="1" ht="18.95" customHeight="1">
      <c r="A10" s="566" t="s">
        <v>463</v>
      </c>
      <c r="B10" s="566"/>
      <c r="C10" s="436"/>
      <c r="D10" s="236"/>
      <c r="E10" s="239">
        <f>SUM('Quote Request'!L27+'Quote Request'!L29+'Quote Request'!L30+'Quote Request'!L32+'Quote Request'!L33+'Quote Request'!L35+'Quote Request'!L37+'Quote Request'!L39)*1.25</f>
        <v>0</v>
      </c>
      <c r="F10" s="187"/>
      <c r="G10" s="187"/>
      <c r="H10" s="187"/>
    </row>
    <row r="11" spans="1:8" s="240" customFormat="1" ht="18.95" customHeight="1">
      <c r="A11" s="447" t="s">
        <v>464</v>
      </c>
      <c r="B11" s="447"/>
      <c r="C11" s="436"/>
      <c r="D11" s="236"/>
      <c r="E11" s="239">
        <f>('Quote Request'!L28+'Quote Request'!L31+'Quote Request'!L40)*1.25</f>
        <v>0</v>
      </c>
      <c r="F11" s="187"/>
      <c r="G11" s="187"/>
      <c r="H11" s="187"/>
    </row>
    <row r="12" spans="1:8" s="240" customFormat="1" ht="18.95" customHeight="1">
      <c r="A12" s="554" t="s">
        <v>448</v>
      </c>
      <c r="B12" s="555"/>
      <c r="C12" s="437"/>
      <c r="D12" s="246"/>
      <c r="E12" s="307">
        <f>'Quote Request'!L34*1.25</f>
        <v>0</v>
      </c>
      <c r="F12" s="187"/>
      <c r="G12" s="187"/>
      <c r="H12" s="187"/>
    </row>
    <row r="13" spans="1:8" s="240" customFormat="1" ht="18.95" customHeight="1">
      <c r="A13" s="554" t="s">
        <v>465</v>
      </c>
      <c r="B13" s="555"/>
      <c r="C13" s="437"/>
      <c r="D13" s="246"/>
      <c r="E13" s="307">
        <f>'Quote Request'!L36*1.25</f>
        <v>0</v>
      </c>
      <c r="F13" s="187"/>
      <c r="G13" s="187"/>
      <c r="H13" s="187"/>
    </row>
    <row r="14" spans="1:8" s="240" customFormat="1" ht="18.95" customHeight="1">
      <c r="A14" s="556" t="s">
        <v>466</v>
      </c>
      <c r="B14" s="557"/>
      <c r="C14" s="440"/>
      <c r="D14" s="258"/>
      <c r="E14" s="268">
        <f>('Quote Request'!L38+'Quote Request'!L41)*1.25</f>
        <v>0</v>
      </c>
      <c r="F14" s="197"/>
      <c r="G14" s="197"/>
      <c r="H14" s="197"/>
    </row>
    <row r="15" spans="1:8" s="240" customFormat="1" ht="18.95" customHeight="1" thickBot="1">
      <c r="A15" s="558" t="str">
        <f>'Quote Request'!A42</f>
        <v/>
      </c>
      <c r="B15" s="559"/>
      <c r="C15" s="308"/>
      <c r="D15" s="309"/>
      <c r="E15" s="310">
        <f>'Quote Request'!L42*1.25</f>
        <v>0</v>
      </c>
      <c r="F15" s="197"/>
      <c r="G15" s="197"/>
      <c r="H15" s="197"/>
    </row>
    <row r="16" spans="1:8" s="240" customFormat="1" ht="20.100000000000001" customHeight="1" thickBot="1">
      <c r="A16" s="229"/>
      <c r="B16" s="229"/>
      <c r="C16" s="229"/>
      <c r="D16" s="311" t="s">
        <v>453</v>
      </c>
      <c r="E16" s="312">
        <f>SUM(E10:E15)</f>
        <v>0</v>
      </c>
      <c r="F16" s="232"/>
      <c r="G16" s="232"/>
      <c r="H16" s="232"/>
    </row>
    <row r="17" spans="1:8" s="240" customFormat="1" ht="20.100000000000001" customHeight="1" thickBot="1">
      <c r="A17" s="232"/>
      <c r="B17" s="232"/>
      <c r="C17" s="232"/>
      <c r="D17" s="311" t="s">
        <v>455</v>
      </c>
      <c r="E17" s="312" t="e">
        <f>E16/'Quote Request'!C18</f>
        <v>#DIV/0!</v>
      </c>
      <c r="F17" s="232"/>
      <c r="G17" s="232"/>
      <c r="H17" s="232"/>
    </row>
    <row r="18" spans="1:8" ht="20.100000000000001" customHeight="1" thickBot="1"/>
    <row r="19" spans="1:8" ht="20.100000000000001" customHeight="1" thickBot="1">
      <c r="A19" s="560" t="s">
        <v>467</v>
      </c>
      <c r="B19" s="560"/>
      <c r="C19" s="561">
        <f>'Quote Request'!J15</f>
        <v>0</v>
      </c>
      <c r="D19" s="561"/>
      <c r="E19" s="561"/>
    </row>
    <row r="20" spans="1:8" ht="20.100000000000001" customHeight="1">
      <c r="A20" s="313"/>
      <c r="B20" s="313"/>
      <c r="C20" s="314"/>
      <c r="D20" s="314"/>
      <c r="E20" s="314"/>
    </row>
    <row r="21" spans="1:8" s="240" customFormat="1" ht="20.100000000000001" customHeight="1" thickBot="1">
      <c r="A21" s="315" t="s">
        <v>468</v>
      </c>
      <c r="B21" s="316"/>
      <c r="C21" s="316"/>
      <c r="D21" s="316"/>
      <c r="E21" s="316"/>
      <c r="F21" s="316"/>
      <c r="G21" s="316"/>
      <c r="H21" s="316"/>
    </row>
    <row r="22" spans="1:8" s="240" customFormat="1" ht="29.1" customHeight="1" thickBot="1">
      <c r="A22" s="562">
        <f>IF('Quote Request'!M44, "Price based on working digital files supplied by customer. Quote subject to review upon receipt and assessment of supplied files.",0)</f>
        <v>0</v>
      </c>
      <c r="B22" s="562"/>
      <c r="C22" s="562"/>
      <c r="D22" s="562"/>
      <c r="E22" s="562"/>
      <c r="F22" s="187"/>
      <c r="G22" s="187"/>
      <c r="H22" s="187"/>
    </row>
    <row r="23" spans="1:8" s="240" customFormat="1" ht="29.1" customHeight="1">
      <c r="A23" s="317"/>
      <c r="B23" s="317"/>
      <c r="C23" s="317"/>
      <c r="D23" s="317"/>
      <c r="E23" s="317"/>
      <c r="F23" s="187"/>
      <c r="G23" s="187"/>
      <c r="H23" s="187"/>
    </row>
    <row r="24" spans="1:8" s="240" customFormat="1" ht="29.1" customHeight="1">
      <c r="A24" s="317"/>
      <c r="B24" s="317"/>
      <c r="C24" s="317"/>
      <c r="D24" s="317"/>
      <c r="E24" s="317"/>
      <c r="F24" s="187"/>
      <c r="G24" s="187"/>
      <c r="H24" s="187"/>
    </row>
    <row r="25" spans="1:8" s="240" customFormat="1" ht="29.1" customHeight="1">
      <c r="A25" s="317"/>
      <c r="B25" s="317"/>
      <c r="C25" s="317"/>
      <c r="D25" s="317"/>
      <c r="E25" s="317"/>
      <c r="F25" s="187"/>
      <c r="G25" s="187"/>
      <c r="H25" s="187"/>
    </row>
    <row r="26" spans="1:8" s="240" customFormat="1" ht="29.1" customHeight="1">
      <c r="A26" s="317"/>
      <c r="B26" s="317"/>
      <c r="C26" s="317"/>
      <c r="D26" s="317"/>
      <c r="E26" s="317"/>
      <c r="F26" s="187"/>
      <c r="G26" s="187"/>
      <c r="H26" s="187"/>
    </row>
    <row r="27" spans="1:8" s="240" customFormat="1" ht="29.1" customHeight="1" thickBot="1">
      <c r="A27" s="318"/>
      <c r="B27" s="318"/>
      <c r="C27" s="318"/>
      <c r="D27" s="318"/>
      <c r="E27" s="318"/>
      <c r="F27" s="197"/>
      <c r="G27" s="197"/>
      <c r="H27" s="197"/>
    </row>
    <row r="28" spans="1:8" s="240" customFormat="1" ht="36.950000000000003" customHeight="1" thickBot="1">
      <c r="A28" s="553" t="s">
        <v>469</v>
      </c>
      <c r="B28" s="553"/>
      <c r="C28" s="553"/>
      <c r="D28" s="553"/>
      <c r="E28" s="553"/>
      <c r="F28" s="319"/>
      <c r="G28" s="319"/>
      <c r="H28" s="319"/>
    </row>
  </sheetData>
  <sheetProtection sheet="1" objects="1" scenarios="1" insertHyperlinks="0"/>
  <mergeCells count="19">
    <mergeCell ref="A12:B12"/>
    <mergeCell ref="F1:H1"/>
    <mergeCell ref="A2:E2"/>
    <mergeCell ref="A3:B3"/>
    <mergeCell ref="C3:E3"/>
    <mergeCell ref="A4:B4"/>
    <mergeCell ref="C4:E4"/>
    <mergeCell ref="A6:B6"/>
    <mergeCell ref="C6:E6"/>
    <mergeCell ref="A7:B7"/>
    <mergeCell ref="C7:E7"/>
    <mergeCell ref="A10:B10"/>
    <mergeCell ref="A28:E28"/>
    <mergeCell ref="A13:B13"/>
    <mergeCell ref="A14:B14"/>
    <mergeCell ref="A15:B15"/>
    <mergeCell ref="A19:B19"/>
    <mergeCell ref="C19:E19"/>
    <mergeCell ref="A22:E22"/>
  </mergeCells>
  <conditionalFormatting sqref="A22:E22">
    <cfRule type="beginsWith" dxfId="54" priority="1" operator="beginsWith" text="Price">
      <formula>LEFT(A22,LEN("Price"))="Price"</formula>
    </cfRule>
  </conditionalFormatting>
  <dataValidations count="1">
    <dataValidation allowBlank="1" showInputMessage="1" showErrorMessage="1" prompt="Enter a brief description." sqref="C7:E7"/>
  </dataValidations>
  <printOptions horizontalCentered="1"/>
  <pageMargins left="0.79000000000000015" right="0.79000000000000015" top="0.79000000000000015" bottom="0.79000000000000015" header="0.39000000000000007" footer="0.39000000000000007"/>
  <pageSetup orientation="portrait" horizontalDpi="4294967292" verticalDpi="4294967292"/>
  <headerFooter>
    <oddFooter>&amp;C&amp;"Arial,Regular"&amp;11&amp;K000000Issue Date: 01-Feb-16  Revision No.: 0  Revision Date: N/A</oddFooter>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FF00"/>
  </sheetPr>
  <dimension ref="A1:P105"/>
  <sheetViews>
    <sheetView showGridLines="0" zoomScale="120" zoomScaleNormal="120" workbookViewId="0">
      <selection activeCell="M9" sqref="M9"/>
    </sheetView>
  </sheetViews>
  <sheetFormatPr defaultColWidth="8.85546875" defaultRowHeight="12.75"/>
  <cols>
    <col min="1" max="1" width="13.42578125" style="6" customWidth="1"/>
    <col min="2" max="2" width="4.140625" style="6" customWidth="1"/>
    <col min="3" max="3" width="11.85546875" style="6" customWidth="1"/>
    <col min="4" max="4" width="1" style="6" customWidth="1"/>
    <col min="5" max="5" width="13.140625" style="6" customWidth="1"/>
    <col min="6" max="6" width="13" style="6" customWidth="1"/>
    <col min="7" max="7" width="1" style="6" customWidth="1"/>
    <col min="8" max="8" width="12.7109375" style="6" customWidth="1"/>
    <col min="9" max="9" width="6.85546875" style="6" customWidth="1"/>
    <col min="10" max="10" width="11.85546875" style="6" customWidth="1"/>
    <col min="11" max="16384" width="8.85546875" style="6"/>
  </cols>
  <sheetData>
    <row r="1" spans="1:10" ht="21" customHeight="1">
      <c r="A1" s="3" t="s">
        <v>107</v>
      </c>
      <c r="B1" s="3"/>
      <c r="C1" s="4"/>
      <c r="D1" s="4"/>
      <c r="E1" s="4"/>
      <c r="F1" s="4"/>
      <c r="G1" s="4"/>
      <c r="H1" s="4"/>
      <c r="I1" s="4"/>
      <c r="J1" s="4"/>
    </row>
    <row r="2" spans="1:10" ht="6" customHeight="1">
      <c r="A2" s="11"/>
      <c r="B2" s="11"/>
      <c r="C2" s="11"/>
      <c r="D2" s="11"/>
      <c r="E2" s="11"/>
      <c r="F2" s="11"/>
      <c r="G2" s="11"/>
      <c r="H2" s="11"/>
      <c r="I2" s="11"/>
      <c r="J2" s="11"/>
    </row>
    <row r="3" spans="1:10" ht="21.75" customHeight="1">
      <c r="A3" s="22" t="s">
        <v>108</v>
      </c>
      <c r="B3" s="579"/>
      <c r="C3" s="579"/>
      <c r="D3" s="579"/>
      <c r="E3" s="579"/>
      <c r="F3" s="580"/>
      <c r="G3" s="12"/>
      <c r="H3" s="23" t="s">
        <v>44</v>
      </c>
      <c r="I3" s="572">
        <f>Assessment!L7</f>
        <v>0</v>
      </c>
      <c r="J3" s="573"/>
    </row>
    <row r="4" spans="1:10" ht="6" customHeight="1">
      <c r="A4" s="27"/>
      <c r="B4" s="27"/>
      <c r="C4" s="12"/>
      <c r="D4" s="12"/>
      <c r="E4" s="12"/>
      <c r="F4" s="12"/>
      <c r="G4" s="12"/>
      <c r="H4" s="27"/>
      <c r="I4" s="12"/>
      <c r="J4" s="12"/>
    </row>
    <row r="5" spans="1:10" ht="21.75" customHeight="1">
      <c r="A5" s="22" t="s">
        <v>105</v>
      </c>
      <c r="B5" s="572"/>
      <c r="C5" s="572"/>
      <c r="D5" s="572"/>
      <c r="E5" s="572"/>
      <c r="F5" s="573"/>
      <c r="G5" s="12"/>
      <c r="H5" s="23" t="s">
        <v>277</v>
      </c>
      <c r="I5" s="574">
        <f>'Quote Request'!J5</f>
        <v>0</v>
      </c>
      <c r="J5" s="575"/>
    </row>
    <row r="6" spans="1:10" ht="6" customHeight="1">
      <c r="A6" s="27"/>
      <c r="B6" s="27"/>
      <c r="C6" s="12"/>
      <c r="D6" s="12"/>
      <c r="E6" s="12"/>
      <c r="F6" s="12"/>
      <c r="G6" s="12"/>
      <c r="H6" s="27"/>
      <c r="I6" s="12"/>
      <c r="J6" s="12"/>
    </row>
    <row r="7" spans="1:10" ht="24" customHeight="1">
      <c r="A7" s="22" t="s">
        <v>54</v>
      </c>
      <c r="B7" s="572">
        <f>Assessment!C6</f>
        <v>0</v>
      </c>
      <c r="C7" s="572"/>
      <c r="D7" s="572"/>
      <c r="E7" s="572"/>
      <c r="F7" s="573"/>
      <c r="G7" s="12"/>
      <c r="H7" s="23" t="s">
        <v>117</v>
      </c>
      <c r="I7" s="574"/>
      <c r="J7" s="576"/>
    </row>
    <row r="8" spans="1:10" ht="6" customHeight="1">
      <c r="A8" s="27"/>
      <c r="B8" s="27"/>
      <c r="C8" s="12"/>
      <c r="D8" s="12"/>
      <c r="E8" s="12"/>
      <c r="F8" s="12"/>
      <c r="G8" s="12"/>
      <c r="H8" s="27"/>
      <c r="I8" s="12"/>
      <c r="J8" s="12"/>
    </row>
    <row r="9" spans="1:10" ht="24" customHeight="1">
      <c r="A9" s="22" t="s">
        <v>249</v>
      </c>
      <c r="B9" s="572"/>
      <c r="C9" s="572"/>
      <c r="D9" s="572"/>
      <c r="E9" s="572"/>
      <c r="F9" s="573"/>
      <c r="G9" s="12"/>
      <c r="H9" s="23" t="s">
        <v>36</v>
      </c>
      <c r="I9" s="572">
        <f>Assessment!C7</f>
        <v>0</v>
      </c>
      <c r="J9" s="573"/>
    </row>
    <row r="10" spans="1:10" ht="6" customHeight="1">
      <c r="A10" s="27"/>
      <c r="B10" s="27"/>
      <c r="C10" s="12"/>
      <c r="D10" s="12"/>
      <c r="E10" s="12"/>
      <c r="F10" s="12"/>
      <c r="G10" s="12"/>
      <c r="H10" s="27"/>
      <c r="I10" s="12"/>
      <c r="J10" s="12"/>
    </row>
    <row r="11" spans="1:10" ht="24" customHeight="1">
      <c r="A11" s="22" t="s">
        <v>130</v>
      </c>
      <c r="B11" s="121">
        <f>ICM!B11</f>
        <v>0</v>
      </c>
      <c r="C11" s="588">
        <f>Assessment!K6</f>
        <v>0</v>
      </c>
      <c r="D11" s="588"/>
      <c r="E11" s="588"/>
      <c r="F11" s="589"/>
      <c r="G11" s="12"/>
      <c r="H11" s="23" t="s">
        <v>121</v>
      </c>
      <c r="I11" s="586">
        <f>Assessment!L10</f>
        <v>0</v>
      </c>
      <c r="J11" s="587"/>
    </row>
    <row r="12" spans="1:10" ht="6" customHeight="1">
      <c r="A12" s="27"/>
      <c r="B12" s="27"/>
      <c r="C12" s="12"/>
      <c r="D12" s="12"/>
      <c r="E12" s="12"/>
      <c r="F12" s="12"/>
      <c r="G12" s="12"/>
      <c r="H12" s="27"/>
      <c r="I12" s="12"/>
      <c r="J12" s="12"/>
    </row>
    <row r="13" spans="1:10" ht="24" customHeight="1">
      <c r="A13" s="27"/>
      <c r="B13" s="27"/>
      <c r="C13" s="12"/>
      <c r="D13" s="12"/>
      <c r="E13" s="12"/>
      <c r="F13" s="12"/>
      <c r="G13" s="12"/>
      <c r="H13" s="83" t="s">
        <v>62</v>
      </c>
      <c r="I13" s="586"/>
      <c r="J13" s="590"/>
    </row>
    <row r="14" spans="1:10" ht="6" customHeight="1">
      <c r="A14" s="27"/>
      <c r="B14" s="27"/>
      <c r="C14" s="12"/>
      <c r="D14" s="12"/>
      <c r="E14" s="12"/>
      <c r="F14" s="12"/>
      <c r="G14" s="12"/>
      <c r="H14" s="27"/>
      <c r="I14" s="12"/>
      <c r="J14" s="12"/>
    </row>
    <row r="15" spans="1:10" ht="24" customHeight="1">
      <c r="A15" s="22" t="s">
        <v>1</v>
      </c>
      <c r="B15" s="572">
        <f>'Quote Request'!E9</f>
        <v>0</v>
      </c>
      <c r="C15" s="572"/>
      <c r="D15" s="572"/>
      <c r="E15" s="572"/>
      <c r="F15" s="573"/>
      <c r="G15" s="12"/>
      <c r="H15" s="22" t="s">
        <v>192</v>
      </c>
      <c r="I15" s="572"/>
      <c r="J15" s="573"/>
    </row>
    <row r="16" spans="1:10" ht="6" customHeight="1">
      <c r="A16" s="27"/>
      <c r="B16" s="27"/>
      <c r="C16" s="12"/>
      <c r="D16" s="12"/>
      <c r="E16" s="12"/>
      <c r="F16" s="12"/>
      <c r="G16" s="12"/>
      <c r="H16" s="12"/>
      <c r="I16" s="12"/>
      <c r="J16" s="12"/>
    </row>
    <row r="17" spans="1:16" ht="24" customHeight="1">
      <c r="A17" s="22" t="s">
        <v>112</v>
      </c>
      <c r="B17" s="577"/>
      <c r="C17" s="578"/>
      <c r="D17" s="13"/>
      <c r="E17" s="67" t="s">
        <v>45</v>
      </c>
      <c r="F17" s="584" t="b">
        <f>IF(B17="No","N/A",IF(B17="Yes","Type laser position here"))</f>
        <v>0</v>
      </c>
      <c r="G17" s="584"/>
      <c r="H17" s="584"/>
      <c r="I17" s="584"/>
      <c r="J17" s="585"/>
    </row>
    <row r="18" spans="1:16" ht="6" customHeight="1">
      <c r="A18" s="29"/>
      <c r="B18" s="29"/>
      <c r="C18" s="13"/>
      <c r="D18" s="13"/>
      <c r="E18" s="13"/>
      <c r="F18" s="13"/>
      <c r="G18" s="13"/>
      <c r="H18" s="13"/>
      <c r="I18" s="13"/>
      <c r="J18" s="13"/>
    </row>
    <row r="19" spans="1:16" ht="24" customHeight="1">
      <c r="A19" s="25" t="s">
        <v>234</v>
      </c>
      <c r="B19" s="572"/>
      <c r="C19" s="572"/>
      <c r="D19" s="572"/>
      <c r="E19" s="572"/>
      <c r="F19" s="572"/>
      <c r="G19" s="572"/>
      <c r="H19" s="572"/>
      <c r="I19" s="572"/>
      <c r="J19" s="573"/>
    </row>
    <row r="20" spans="1:16" ht="6" customHeight="1">
      <c r="A20" s="11"/>
      <c r="B20" s="11"/>
      <c r="C20" s="11"/>
      <c r="D20" s="11"/>
      <c r="E20" s="11"/>
      <c r="F20" s="11"/>
      <c r="G20" s="11"/>
      <c r="H20" s="11"/>
      <c r="I20" s="11"/>
      <c r="J20" s="11"/>
    </row>
    <row r="21" spans="1:16" ht="23.1" customHeight="1">
      <c r="A21" s="3" t="s">
        <v>189</v>
      </c>
      <c r="B21" s="3"/>
      <c r="C21" s="8"/>
      <c r="D21" s="8"/>
      <c r="E21" s="8"/>
      <c r="F21" s="8"/>
      <c r="G21" s="8"/>
      <c r="H21" s="8"/>
      <c r="I21" s="8"/>
      <c r="J21" s="8"/>
    </row>
    <row r="22" spans="1:16" ht="6.75" customHeight="1"/>
    <row r="23" spans="1:16" ht="23.1" customHeight="1">
      <c r="A23" s="604"/>
      <c r="B23" s="605"/>
      <c r="C23" s="606"/>
      <c r="E23" s="21" t="s">
        <v>217</v>
      </c>
      <c r="F23" s="584" t="b">
        <f>IF(ICM!J3=1,"N/A", IF(ICM!J3=2,"Indicate Movex # here"))</f>
        <v>0</v>
      </c>
      <c r="G23" s="599"/>
      <c r="H23" s="599"/>
      <c r="I23" s="599"/>
      <c r="J23" s="600"/>
      <c r="N23" s="19"/>
    </row>
    <row r="24" spans="1:16" ht="6.75" customHeight="1">
      <c r="A24" s="151"/>
      <c r="B24" s="152"/>
      <c r="C24" s="153"/>
      <c r="E24" s="24"/>
      <c r="F24" s="15"/>
      <c r="G24" s="15"/>
      <c r="H24" s="15"/>
      <c r="I24" s="15"/>
    </row>
    <row r="25" spans="1:16" ht="23.1" customHeight="1">
      <c r="A25" s="154"/>
      <c r="B25" s="155"/>
      <c r="C25" s="156"/>
      <c r="D25" s="7"/>
      <c r="E25" s="22" t="s">
        <v>50</v>
      </c>
      <c r="F25" s="572"/>
      <c r="G25" s="572"/>
      <c r="H25" s="572"/>
      <c r="I25" s="572"/>
      <c r="J25" s="573"/>
    </row>
    <row r="26" spans="1:16" ht="6.75" customHeight="1"/>
    <row r="27" spans="1:16" ht="23.1" customHeight="1">
      <c r="A27" s="581" t="b">
        <f>IF(F23="N/A","NOTE: Winpak Graphics requires an exisiting printed sample if item is NEW to Winpak")</f>
        <v>0</v>
      </c>
      <c r="B27" s="581"/>
      <c r="C27" s="581"/>
      <c r="E27" s="22" t="s">
        <v>238</v>
      </c>
      <c r="F27" s="607"/>
      <c r="G27" s="607"/>
      <c r="H27" s="607"/>
      <c r="I27" s="607"/>
      <c r="J27" s="608"/>
    </row>
    <row r="28" spans="1:16" ht="6.75" customHeight="1"/>
    <row r="29" spans="1:16" ht="21" customHeight="1">
      <c r="A29" s="3" t="s">
        <v>66</v>
      </c>
      <c r="B29" s="3"/>
      <c r="C29" s="8"/>
      <c r="D29" s="8"/>
      <c r="E29" s="8"/>
      <c r="F29" s="8"/>
      <c r="G29" s="8"/>
      <c r="H29" s="8"/>
      <c r="I29" s="8"/>
      <c r="J29" s="8"/>
      <c r="P29"/>
    </row>
    <row r="30" spans="1:16" ht="15.75" customHeight="1">
      <c r="A30" s="97" t="s">
        <v>181</v>
      </c>
      <c r="B30" s="582" t="s">
        <v>226</v>
      </c>
      <c r="C30" s="583"/>
      <c r="D30" s="95"/>
      <c r="E30" s="94" t="s">
        <v>179</v>
      </c>
      <c r="F30" s="94" t="s">
        <v>180</v>
      </c>
      <c r="N30"/>
      <c r="O30"/>
    </row>
    <row r="31" spans="1:16" ht="24" customHeight="1">
      <c r="A31" s="148"/>
      <c r="B31" s="591"/>
      <c r="C31" s="592"/>
      <c r="D31" s="15"/>
      <c r="E31" s="149"/>
      <c r="F31" s="149"/>
      <c r="G31" s="15"/>
    </row>
    <row r="32" spans="1:16" ht="6.75" customHeight="1">
      <c r="A32" s="24"/>
      <c r="B32" s="24"/>
      <c r="C32" s="15"/>
      <c r="D32" s="15"/>
      <c r="E32" s="24"/>
      <c r="F32" s="15"/>
      <c r="G32" s="15"/>
      <c r="H32" s="24"/>
      <c r="I32" s="15"/>
    </row>
    <row r="33" spans="1:10" ht="24" customHeight="1">
      <c r="A33" s="22" t="s">
        <v>142</v>
      </c>
      <c r="B33" s="572"/>
      <c r="C33" s="573"/>
      <c r="D33" s="15"/>
      <c r="E33" s="22" t="s">
        <v>53</v>
      </c>
      <c r="F33" s="150"/>
      <c r="G33" s="15"/>
      <c r="H33" s="50" t="s">
        <v>118</v>
      </c>
      <c r="I33" s="572"/>
      <c r="J33" s="573"/>
    </row>
    <row r="34" spans="1:10" ht="6.75" customHeight="1">
      <c r="A34" s="24"/>
      <c r="B34" s="24"/>
      <c r="C34" s="15"/>
      <c r="D34" s="15"/>
      <c r="E34" s="24"/>
      <c r="F34" s="15"/>
      <c r="G34" s="15"/>
      <c r="H34" s="15"/>
      <c r="I34" s="15"/>
    </row>
    <row r="35" spans="1:10" ht="24" customHeight="1">
      <c r="A35" s="21" t="s">
        <v>233</v>
      </c>
      <c r="B35" s="584"/>
      <c r="C35" s="585"/>
      <c r="D35" s="15"/>
      <c r="E35" s="21" t="s">
        <v>88</v>
      </c>
      <c r="F35" s="601" t="b">
        <f>IF(B35="Sample","N/A",IF(B35="Print Layout (Die Drawing)","N/A",IF(B35="Existing Item","Indicate Movex # here",IF(B35="Other (See Comments)","N/A"))))</f>
        <v>0</v>
      </c>
      <c r="G35" s="601"/>
      <c r="H35" s="601"/>
      <c r="I35" s="601"/>
      <c r="J35" s="602"/>
    </row>
    <row r="36" spans="1:10" ht="6.75" customHeight="1">
      <c r="A36" s="24"/>
      <c r="B36" s="24"/>
      <c r="C36" s="31"/>
      <c r="D36" s="15"/>
      <c r="E36" s="24"/>
      <c r="F36" s="15"/>
      <c r="G36" s="15"/>
      <c r="H36" s="15"/>
      <c r="I36" s="15"/>
    </row>
    <row r="37" spans="1:10" ht="24" customHeight="1">
      <c r="A37" s="21" t="s">
        <v>4</v>
      </c>
      <c r="B37" s="584"/>
      <c r="C37" s="585"/>
      <c r="D37" s="16"/>
      <c r="E37" s="21" t="s">
        <v>51</v>
      </c>
      <c r="F37" s="102" t="b">
        <f>IF(B37="Yes","N/A",IF(B37="No","Indicate Position Here"))</f>
        <v>0</v>
      </c>
      <c r="G37" s="77"/>
      <c r="H37" s="595" t="s">
        <v>394</v>
      </c>
      <c r="I37" s="596"/>
      <c r="J37" s="597"/>
    </row>
    <row r="38" spans="1:10" ht="6.75" customHeight="1">
      <c r="A38" s="24"/>
      <c r="B38" s="24"/>
      <c r="C38" s="15"/>
      <c r="D38" s="15"/>
      <c r="E38" s="15"/>
      <c r="F38" s="15"/>
      <c r="G38" s="15"/>
      <c r="H38" s="15"/>
      <c r="I38" s="15"/>
    </row>
    <row r="39" spans="1:10" ht="24.75" customHeight="1">
      <c r="A39" s="21" t="s">
        <v>5</v>
      </c>
      <c r="B39" s="584"/>
      <c r="C39" s="585"/>
      <c r="D39" s="15"/>
      <c r="E39" s="28" t="s">
        <v>48</v>
      </c>
      <c r="F39" s="150"/>
      <c r="G39" s="55"/>
      <c r="H39" s="21" t="s">
        <v>256</v>
      </c>
      <c r="I39" s="169"/>
      <c r="J39" s="103" t="s">
        <v>222</v>
      </c>
    </row>
    <row r="40" spans="1:10" ht="6.75" customHeight="1">
      <c r="A40" s="24"/>
      <c r="B40" s="24"/>
      <c r="C40" s="15"/>
      <c r="D40" s="15"/>
      <c r="E40" s="15"/>
      <c r="F40" s="15"/>
      <c r="G40" s="15"/>
      <c r="H40" s="15"/>
      <c r="I40" s="15"/>
    </row>
    <row r="41" spans="1:10" ht="21.75" customHeight="1">
      <c r="A41" s="603" t="s">
        <v>244</v>
      </c>
      <c r="B41" s="603"/>
      <c r="C41" s="603"/>
      <c r="D41" s="603"/>
      <c r="E41" s="603"/>
      <c r="F41" s="603"/>
      <c r="G41" s="603"/>
      <c r="H41" s="603"/>
      <c r="I41" s="18"/>
      <c r="J41" s="18"/>
    </row>
    <row r="42" spans="1:10" ht="6.75" customHeight="1">
      <c r="A42" s="24"/>
      <c r="B42" s="24"/>
      <c r="C42" s="15"/>
      <c r="D42" s="15"/>
      <c r="E42" s="15"/>
      <c r="F42" s="15"/>
      <c r="G42" s="15"/>
      <c r="H42" s="15"/>
      <c r="I42" s="15"/>
    </row>
    <row r="43" spans="1:10" ht="24" customHeight="1">
      <c r="A43" s="22" t="s">
        <v>6</v>
      </c>
      <c r="B43" s="584"/>
      <c r="C43" s="585"/>
      <c r="D43" s="15"/>
      <c r="E43" s="28" t="s">
        <v>240</v>
      </c>
      <c r="F43" s="147">
        <f>Assessment!F20</f>
        <v>0</v>
      </c>
      <c r="G43" s="15"/>
      <c r="H43" s="22" t="s">
        <v>77</v>
      </c>
      <c r="I43" s="572">
        <f>Assessment!H20</f>
        <v>0</v>
      </c>
      <c r="J43" s="573"/>
    </row>
    <row r="44" spans="1:10" ht="6.75" customHeight="1"/>
    <row r="45" spans="1:10" ht="29.1" customHeight="1">
      <c r="A45" s="170">
        <f>Assessment!B21</f>
        <v>0</v>
      </c>
      <c r="B45" s="593">
        <f>Assessment!B22</f>
        <v>0</v>
      </c>
      <c r="C45" s="594"/>
      <c r="D45" s="593">
        <f>Assessment!B23</f>
        <v>0</v>
      </c>
      <c r="E45" s="594"/>
      <c r="F45" s="593">
        <f>Assessment!B24</f>
        <v>0</v>
      </c>
      <c r="G45" s="594"/>
      <c r="H45" s="170">
        <f>Assessment!B25</f>
        <v>0</v>
      </c>
      <c r="I45" s="593">
        <f>Assessment!B26</f>
        <v>0</v>
      </c>
      <c r="J45" s="594"/>
    </row>
    <row r="46" spans="1:10" ht="6.75" customHeight="1">
      <c r="A46" s="38"/>
      <c r="B46" s="38"/>
      <c r="C46" s="38"/>
      <c r="D46" s="38"/>
      <c r="E46" s="38"/>
      <c r="F46" s="38"/>
      <c r="G46" s="38"/>
      <c r="H46" s="72"/>
    </row>
    <row r="47" spans="1:10" ht="27.75" customHeight="1">
      <c r="A47" s="170">
        <f>Assessment!F21</f>
        <v>0</v>
      </c>
      <c r="B47" s="593">
        <f>Assessment!F22</f>
        <v>0</v>
      </c>
      <c r="C47" s="594"/>
      <c r="D47" s="593">
        <f>Assessment!F23</f>
        <v>0</v>
      </c>
      <c r="E47" s="594"/>
      <c r="F47" s="593">
        <f>Assessment!F24</f>
        <v>0</v>
      </c>
      <c r="G47" s="594"/>
      <c r="H47" s="170">
        <f>Assessment!F25</f>
        <v>0</v>
      </c>
      <c r="I47" s="593">
        <f>Assessment!F26</f>
        <v>0</v>
      </c>
      <c r="J47" s="594"/>
    </row>
    <row r="48" spans="1:10" ht="6.75" customHeight="1">
      <c r="A48" s="9"/>
      <c r="B48" s="9"/>
      <c r="C48" s="9"/>
    </row>
    <row r="49" spans="1:10" ht="21.75" customHeight="1">
      <c r="A49" s="3" t="s">
        <v>194</v>
      </c>
      <c r="B49" s="3"/>
      <c r="C49" s="8"/>
      <c r="D49" s="8"/>
      <c r="E49" s="8"/>
      <c r="F49" s="8"/>
      <c r="G49" s="8"/>
      <c r="H49" s="8"/>
      <c r="I49" s="8"/>
      <c r="J49" s="8"/>
    </row>
    <row r="50" spans="1:10" ht="6.75" customHeight="1">
      <c r="A50" s="96"/>
      <c r="B50" s="96"/>
      <c r="C50" s="96"/>
      <c r="D50" s="96"/>
      <c r="E50" s="96"/>
      <c r="F50" s="96"/>
      <c r="G50" s="96"/>
      <c r="H50" s="96"/>
      <c r="I50" s="96"/>
      <c r="J50" s="96"/>
    </row>
    <row r="51" spans="1:10">
      <c r="A51" s="598"/>
      <c r="B51" s="598"/>
      <c r="C51" s="598"/>
      <c r="D51" s="598"/>
      <c r="E51" s="598"/>
      <c r="F51" s="598"/>
      <c r="G51" s="598"/>
      <c r="H51" s="598"/>
      <c r="I51" s="598"/>
      <c r="J51" s="598"/>
    </row>
    <row r="52" spans="1:10">
      <c r="A52" s="598"/>
      <c r="B52" s="598"/>
      <c r="C52" s="598"/>
      <c r="D52" s="598"/>
      <c r="E52" s="598"/>
      <c r="F52" s="598"/>
      <c r="G52" s="598"/>
      <c r="H52" s="598"/>
      <c r="I52" s="598"/>
      <c r="J52" s="598"/>
    </row>
    <row r="53" spans="1:10">
      <c r="A53" s="598"/>
      <c r="B53" s="598"/>
      <c r="C53" s="598"/>
      <c r="D53" s="598"/>
      <c r="E53" s="598"/>
      <c r="F53" s="598"/>
      <c r="G53" s="598"/>
      <c r="H53" s="598"/>
      <c r="I53" s="598"/>
      <c r="J53" s="598"/>
    </row>
    <row r="54" spans="1:10">
      <c r="A54" s="598"/>
      <c r="B54" s="598"/>
      <c r="C54" s="598"/>
      <c r="D54" s="598"/>
      <c r="E54" s="598"/>
      <c r="F54" s="598"/>
      <c r="G54" s="598"/>
      <c r="H54" s="598"/>
      <c r="I54" s="598"/>
      <c r="J54" s="598"/>
    </row>
    <row r="55" spans="1:10">
      <c r="A55" s="598"/>
      <c r="B55" s="598"/>
      <c r="C55" s="598"/>
      <c r="D55" s="598"/>
      <c r="E55" s="598"/>
      <c r="F55" s="598"/>
      <c r="G55" s="598"/>
      <c r="H55" s="598"/>
      <c r="I55" s="598"/>
      <c r="J55" s="598"/>
    </row>
    <row r="56" spans="1:10">
      <c r="A56" s="598"/>
      <c r="B56" s="598"/>
      <c r="C56" s="598"/>
      <c r="D56" s="598"/>
      <c r="E56" s="598"/>
      <c r="F56" s="598"/>
      <c r="G56" s="598"/>
      <c r="H56" s="598"/>
      <c r="I56" s="598"/>
      <c r="J56" s="598"/>
    </row>
    <row r="57" spans="1:10">
      <c r="A57" s="598"/>
      <c r="B57" s="598"/>
      <c r="C57" s="598"/>
      <c r="D57" s="598"/>
      <c r="E57" s="598"/>
      <c r="F57" s="598"/>
      <c r="G57" s="598"/>
      <c r="H57" s="598"/>
      <c r="I57" s="598"/>
      <c r="J57" s="598"/>
    </row>
    <row r="58" spans="1:10">
      <c r="A58" s="598"/>
      <c r="B58" s="598"/>
      <c r="C58" s="598"/>
      <c r="D58" s="598"/>
      <c r="E58" s="598"/>
      <c r="F58" s="598"/>
      <c r="G58" s="598"/>
      <c r="H58" s="598"/>
      <c r="I58" s="598"/>
      <c r="J58" s="598"/>
    </row>
    <row r="59" spans="1:10">
      <c r="A59" s="598"/>
      <c r="B59" s="598"/>
      <c r="C59" s="598"/>
      <c r="D59" s="598"/>
      <c r="E59" s="598"/>
      <c r="F59" s="598"/>
      <c r="G59" s="598"/>
      <c r="H59" s="598"/>
      <c r="I59" s="598"/>
      <c r="J59" s="598"/>
    </row>
    <row r="60" spans="1:10">
      <c r="A60" s="598"/>
      <c r="B60" s="598"/>
      <c r="C60" s="598"/>
      <c r="D60" s="598"/>
      <c r="E60" s="598"/>
      <c r="F60" s="598"/>
      <c r="G60" s="598"/>
      <c r="H60" s="598"/>
      <c r="I60" s="598"/>
      <c r="J60" s="598"/>
    </row>
    <row r="61" spans="1:10">
      <c r="A61" s="598"/>
      <c r="B61" s="598"/>
      <c r="C61" s="598"/>
      <c r="D61" s="598"/>
      <c r="E61" s="598"/>
      <c r="F61" s="598"/>
      <c r="G61" s="598"/>
      <c r="H61" s="598"/>
      <c r="I61" s="598"/>
      <c r="J61" s="598"/>
    </row>
    <row r="62" spans="1:10">
      <c r="A62" s="598"/>
      <c r="B62" s="598"/>
      <c r="C62" s="598"/>
      <c r="D62" s="598"/>
      <c r="E62" s="598"/>
      <c r="F62" s="598"/>
      <c r="G62" s="598"/>
      <c r="H62" s="598"/>
      <c r="I62" s="598"/>
      <c r="J62" s="598"/>
    </row>
    <row r="63" spans="1:10">
      <c r="A63" s="598"/>
      <c r="B63" s="598"/>
      <c r="C63" s="598"/>
      <c r="D63" s="598"/>
      <c r="E63" s="598"/>
      <c r="F63" s="598"/>
      <c r="G63" s="598"/>
      <c r="H63" s="598"/>
      <c r="I63" s="598"/>
      <c r="J63" s="598"/>
    </row>
    <row r="64" spans="1:10">
      <c r="A64" s="598"/>
      <c r="B64" s="598"/>
      <c r="C64" s="598"/>
      <c r="D64" s="598"/>
      <c r="E64" s="598"/>
      <c r="F64" s="598"/>
      <c r="G64" s="598"/>
      <c r="H64" s="598"/>
      <c r="I64" s="598"/>
      <c r="J64" s="598"/>
    </row>
    <row r="65" spans="1:10">
      <c r="A65" s="598"/>
      <c r="B65" s="598"/>
      <c r="C65" s="598"/>
      <c r="D65" s="598"/>
      <c r="E65" s="598"/>
      <c r="F65" s="598"/>
      <c r="G65" s="598"/>
      <c r="H65" s="598"/>
      <c r="I65" s="598"/>
      <c r="J65" s="598"/>
    </row>
    <row r="66" spans="1:10">
      <c r="A66" s="598"/>
      <c r="B66" s="598"/>
      <c r="C66" s="598"/>
      <c r="D66" s="598"/>
      <c r="E66" s="598"/>
      <c r="F66" s="598"/>
      <c r="G66" s="598"/>
      <c r="H66" s="598"/>
      <c r="I66" s="598"/>
      <c r="J66" s="598"/>
    </row>
    <row r="67" spans="1:10">
      <c r="A67" s="598"/>
      <c r="B67" s="598"/>
      <c r="C67" s="598"/>
      <c r="D67" s="598"/>
      <c r="E67" s="598"/>
      <c r="F67" s="598"/>
      <c r="G67" s="598"/>
      <c r="H67" s="598"/>
      <c r="I67" s="598"/>
      <c r="J67" s="598"/>
    </row>
    <row r="68" spans="1:10">
      <c r="A68" s="598"/>
      <c r="B68" s="598"/>
      <c r="C68" s="598"/>
      <c r="D68" s="598"/>
      <c r="E68" s="598"/>
      <c r="F68" s="598"/>
      <c r="G68" s="598"/>
      <c r="H68" s="598"/>
      <c r="I68" s="598"/>
      <c r="J68" s="598"/>
    </row>
    <row r="69" spans="1:10">
      <c r="A69" s="598"/>
      <c r="B69" s="598"/>
      <c r="C69" s="598"/>
      <c r="D69" s="598"/>
      <c r="E69" s="598"/>
      <c r="F69" s="598"/>
      <c r="G69" s="598"/>
      <c r="H69" s="598"/>
      <c r="I69" s="598"/>
      <c r="J69" s="598"/>
    </row>
    <row r="70" spans="1:10">
      <c r="A70" s="598"/>
      <c r="B70" s="598"/>
      <c r="C70" s="598"/>
      <c r="D70" s="598"/>
      <c r="E70" s="598"/>
      <c r="F70" s="598"/>
      <c r="G70" s="598"/>
      <c r="H70" s="598"/>
      <c r="I70" s="598"/>
      <c r="J70" s="598"/>
    </row>
    <row r="71" spans="1:10">
      <c r="A71" s="598"/>
      <c r="B71" s="598"/>
      <c r="C71" s="598"/>
      <c r="D71" s="598"/>
      <c r="E71" s="598"/>
      <c r="F71" s="598"/>
      <c r="G71" s="598"/>
      <c r="H71" s="598"/>
      <c r="I71" s="598"/>
      <c r="J71" s="598"/>
    </row>
    <row r="72" spans="1:10">
      <c r="A72" s="598"/>
      <c r="B72" s="598"/>
      <c r="C72" s="598"/>
      <c r="D72" s="598"/>
      <c r="E72" s="598"/>
      <c r="F72" s="598"/>
      <c r="G72" s="598"/>
      <c r="H72" s="598"/>
      <c r="I72" s="598"/>
      <c r="J72" s="598"/>
    </row>
    <row r="73" spans="1:10">
      <c r="A73" s="598"/>
      <c r="B73" s="598"/>
      <c r="C73" s="598"/>
      <c r="D73" s="598"/>
      <c r="E73" s="598"/>
      <c r="F73" s="598"/>
      <c r="G73" s="598"/>
      <c r="H73" s="598"/>
      <c r="I73" s="598"/>
      <c r="J73" s="598"/>
    </row>
    <row r="74" spans="1:10">
      <c r="A74" s="598"/>
      <c r="B74" s="598"/>
      <c r="C74" s="598"/>
      <c r="D74" s="598"/>
      <c r="E74" s="598"/>
      <c r="F74" s="598"/>
      <c r="G74" s="598"/>
      <c r="H74" s="598"/>
      <c r="I74" s="598"/>
      <c r="J74" s="598"/>
    </row>
    <row r="75" spans="1:10">
      <c r="A75" s="598"/>
      <c r="B75" s="598"/>
      <c r="C75" s="598"/>
      <c r="D75" s="598"/>
      <c r="E75" s="598"/>
      <c r="F75" s="598"/>
      <c r="G75" s="598"/>
      <c r="H75" s="598"/>
      <c r="I75" s="598"/>
      <c r="J75" s="598"/>
    </row>
    <row r="76" spans="1:10">
      <c r="A76" s="598"/>
      <c r="B76" s="598"/>
      <c r="C76" s="598"/>
      <c r="D76" s="598"/>
      <c r="E76" s="598"/>
      <c r="F76" s="598"/>
      <c r="G76" s="598"/>
      <c r="H76" s="598"/>
      <c r="I76" s="598"/>
      <c r="J76" s="598"/>
    </row>
    <row r="77" spans="1:10">
      <c r="A77" s="598"/>
      <c r="B77" s="598"/>
      <c r="C77" s="598"/>
      <c r="D77" s="598"/>
      <c r="E77" s="598"/>
      <c r="F77" s="598"/>
      <c r="G77" s="598"/>
      <c r="H77" s="598"/>
      <c r="I77" s="598"/>
      <c r="J77" s="598"/>
    </row>
    <row r="78" spans="1:10">
      <c r="A78" s="598"/>
      <c r="B78" s="598"/>
      <c r="C78" s="598"/>
      <c r="D78" s="598"/>
      <c r="E78" s="598"/>
      <c r="F78" s="598"/>
      <c r="G78" s="598"/>
      <c r="H78" s="598"/>
      <c r="I78" s="598"/>
      <c r="J78" s="598"/>
    </row>
    <row r="79" spans="1:10">
      <c r="A79" s="598"/>
      <c r="B79" s="598"/>
      <c r="C79" s="598"/>
      <c r="D79" s="598"/>
      <c r="E79" s="598"/>
      <c r="F79" s="598"/>
      <c r="G79" s="598"/>
      <c r="H79" s="598"/>
      <c r="I79" s="598"/>
      <c r="J79" s="598"/>
    </row>
    <row r="80" spans="1:10">
      <c r="A80" s="598"/>
      <c r="B80" s="598"/>
      <c r="C80" s="598"/>
      <c r="D80" s="598"/>
      <c r="E80" s="598"/>
      <c r="F80" s="598"/>
      <c r="G80" s="598"/>
      <c r="H80" s="598"/>
      <c r="I80" s="598"/>
      <c r="J80" s="598"/>
    </row>
    <row r="81" spans="1:10">
      <c r="A81" s="598"/>
      <c r="B81" s="598"/>
      <c r="C81" s="598"/>
      <c r="D81" s="598"/>
      <c r="E81" s="598"/>
      <c r="F81" s="598"/>
      <c r="G81" s="598"/>
      <c r="H81" s="598"/>
      <c r="I81" s="598"/>
      <c r="J81" s="598"/>
    </row>
    <row r="82" spans="1:10">
      <c r="A82" s="598"/>
      <c r="B82" s="598"/>
      <c r="C82" s="598"/>
      <c r="D82" s="598"/>
      <c r="E82" s="598"/>
      <c r="F82" s="598"/>
      <c r="G82" s="598"/>
      <c r="H82" s="598"/>
      <c r="I82" s="598"/>
      <c r="J82" s="598"/>
    </row>
    <row r="83" spans="1:10">
      <c r="A83" s="598"/>
      <c r="B83" s="598"/>
      <c r="C83" s="598"/>
      <c r="D83" s="598"/>
      <c r="E83" s="598"/>
      <c r="F83" s="598"/>
      <c r="G83" s="598"/>
      <c r="H83" s="598"/>
      <c r="I83" s="598"/>
      <c r="J83" s="598"/>
    </row>
    <row r="84" spans="1:10">
      <c r="A84" s="598"/>
      <c r="B84" s="598"/>
      <c r="C84" s="598"/>
      <c r="D84" s="598"/>
      <c r="E84" s="598"/>
      <c r="F84" s="598"/>
      <c r="G84" s="598"/>
      <c r="H84" s="598"/>
      <c r="I84" s="598"/>
      <c r="J84" s="598"/>
    </row>
    <row r="85" spans="1:10">
      <c r="A85" s="598"/>
      <c r="B85" s="598"/>
      <c r="C85" s="598"/>
      <c r="D85" s="598"/>
      <c r="E85" s="598"/>
      <c r="F85" s="598"/>
      <c r="G85" s="598"/>
      <c r="H85" s="598"/>
      <c r="I85" s="598"/>
      <c r="J85" s="598"/>
    </row>
    <row r="86" spans="1:10">
      <c r="A86" s="598"/>
      <c r="B86" s="598"/>
      <c r="C86" s="598"/>
      <c r="D86" s="598"/>
      <c r="E86" s="598"/>
      <c r="F86" s="598"/>
      <c r="G86" s="598"/>
      <c r="H86" s="598"/>
      <c r="I86" s="598"/>
      <c r="J86" s="598"/>
    </row>
    <row r="87" spans="1:10">
      <c r="A87" s="598"/>
      <c r="B87" s="598"/>
      <c r="C87" s="598"/>
      <c r="D87" s="598"/>
      <c r="E87" s="598"/>
      <c r="F87" s="598"/>
      <c r="G87" s="598"/>
      <c r="H87" s="598"/>
      <c r="I87" s="598"/>
      <c r="J87" s="598"/>
    </row>
    <row r="88" spans="1:10">
      <c r="A88" s="598"/>
      <c r="B88" s="598"/>
      <c r="C88" s="598"/>
      <c r="D88" s="598"/>
      <c r="E88" s="598"/>
      <c r="F88" s="598"/>
      <c r="G88" s="598"/>
      <c r="H88" s="598"/>
      <c r="I88" s="598"/>
      <c r="J88" s="598"/>
    </row>
    <row r="89" spans="1:10">
      <c r="A89" s="598"/>
      <c r="B89" s="598"/>
      <c r="C89" s="598"/>
      <c r="D89" s="598"/>
      <c r="E89" s="598"/>
      <c r="F89" s="598"/>
      <c r="G89" s="598"/>
      <c r="H89" s="598"/>
      <c r="I89" s="598"/>
      <c r="J89" s="598"/>
    </row>
    <row r="90" spans="1:10">
      <c r="A90" s="598"/>
      <c r="B90" s="598"/>
      <c r="C90" s="598"/>
      <c r="D90" s="598"/>
      <c r="E90" s="598"/>
      <c r="F90" s="598"/>
      <c r="G90" s="598"/>
      <c r="H90" s="598"/>
      <c r="I90" s="598"/>
      <c r="J90" s="598"/>
    </row>
    <row r="91" spans="1:10">
      <c r="A91" s="598"/>
      <c r="B91" s="598"/>
      <c r="C91" s="598"/>
      <c r="D91" s="598"/>
      <c r="E91" s="598"/>
      <c r="F91" s="598"/>
      <c r="G91" s="598"/>
      <c r="H91" s="598"/>
      <c r="I91" s="598"/>
      <c r="J91" s="598"/>
    </row>
    <row r="92" spans="1:10">
      <c r="A92" s="598"/>
      <c r="B92" s="598"/>
      <c r="C92" s="598"/>
      <c r="D92" s="598"/>
      <c r="E92" s="598"/>
      <c r="F92" s="598"/>
      <c r="G92" s="598"/>
      <c r="H92" s="598"/>
      <c r="I92" s="598"/>
      <c r="J92" s="598"/>
    </row>
    <row r="93" spans="1:10">
      <c r="A93" s="598"/>
      <c r="B93" s="598"/>
      <c r="C93" s="598"/>
      <c r="D93" s="598"/>
      <c r="E93" s="598"/>
      <c r="F93" s="598"/>
      <c r="G93" s="598"/>
      <c r="H93" s="598"/>
      <c r="I93" s="598"/>
      <c r="J93" s="598"/>
    </row>
    <row r="94" spans="1:10">
      <c r="A94" s="598"/>
      <c r="B94" s="598"/>
      <c r="C94" s="598"/>
      <c r="D94" s="598"/>
      <c r="E94" s="598"/>
      <c r="F94" s="598"/>
      <c r="G94" s="598"/>
      <c r="H94" s="598"/>
      <c r="I94" s="598"/>
      <c r="J94" s="598"/>
    </row>
    <row r="95" spans="1:10">
      <c r="A95" s="598"/>
      <c r="B95" s="598"/>
      <c r="C95" s="598"/>
      <c r="D95" s="598"/>
      <c r="E95" s="598"/>
      <c r="F95" s="598"/>
      <c r="G95" s="598"/>
      <c r="H95" s="598"/>
      <c r="I95" s="598"/>
      <c r="J95" s="598"/>
    </row>
    <row r="96" spans="1:10">
      <c r="A96" s="598"/>
      <c r="B96" s="598"/>
      <c r="C96" s="598"/>
      <c r="D96" s="598"/>
      <c r="E96" s="598"/>
      <c r="F96" s="598"/>
      <c r="G96" s="598"/>
      <c r="H96" s="598"/>
      <c r="I96" s="598"/>
      <c r="J96" s="598"/>
    </row>
    <row r="97" spans="1:10">
      <c r="A97" s="598"/>
      <c r="B97" s="598"/>
      <c r="C97" s="598"/>
      <c r="D97" s="598"/>
      <c r="E97" s="598"/>
      <c r="F97" s="598"/>
      <c r="G97" s="598"/>
      <c r="H97" s="598"/>
      <c r="I97" s="598"/>
      <c r="J97" s="598"/>
    </row>
    <row r="98" spans="1:10">
      <c r="A98" s="598"/>
      <c r="B98" s="598"/>
      <c r="C98" s="598"/>
      <c r="D98" s="598"/>
      <c r="E98" s="598"/>
      <c r="F98" s="598"/>
      <c r="G98" s="598"/>
      <c r="H98" s="598"/>
      <c r="I98" s="598"/>
      <c r="J98" s="598"/>
    </row>
    <row r="99" spans="1:10">
      <c r="A99" s="598"/>
      <c r="B99" s="598"/>
      <c r="C99" s="598"/>
      <c r="D99" s="598"/>
      <c r="E99" s="598"/>
      <c r="F99" s="598"/>
      <c r="G99" s="598"/>
      <c r="H99" s="598"/>
      <c r="I99" s="598"/>
      <c r="J99" s="598"/>
    </row>
    <row r="100" spans="1:10">
      <c r="A100" s="598"/>
      <c r="B100" s="598"/>
      <c r="C100" s="598"/>
      <c r="D100" s="598"/>
      <c r="E100" s="598"/>
      <c r="F100" s="598"/>
      <c r="G100" s="598"/>
      <c r="H100" s="598"/>
      <c r="I100" s="598"/>
      <c r="J100" s="598"/>
    </row>
    <row r="101" spans="1:10">
      <c r="A101" s="598"/>
      <c r="B101" s="598"/>
      <c r="C101" s="598"/>
      <c r="D101" s="598"/>
      <c r="E101" s="598"/>
      <c r="F101" s="598"/>
      <c r="G101" s="598"/>
      <c r="H101" s="598"/>
      <c r="I101" s="598"/>
      <c r="J101" s="598"/>
    </row>
    <row r="102" spans="1:10">
      <c r="A102" s="598"/>
      <c r="B102" s="598"/>
      <c r="C102" s="598"/>
      <c r="D102" s="598"/>
      <c r="E102" s="598"/>
      <c r="F102" s="598"/>
      <c r="G102" s="598"/>
      <c r="H102" s="598"/>
      <c r="I102" s="598"/>
      <c r="J102" s="598"/>
    </row>
    <row r="103" spans="1:10">
      <c r="A103" s="598"/>
      <c r="B103" s="598"/>
      <c r="C103" s="598"/>
      <c r="D103" s="598"/>
      <c r="E103" s="598"/>
      <c r="F103" s="598"/>
      <c r="G103" s="598"/>
      <c r="H103" s="598"/>
      <c r="I103" s="598"/>
      <c r="J103" s="598"/>
    </row>
    <row r="104" spans="1:10">
      <c r="A104" s="598"/>
      <c r="B104" s="598"/>
      <c r="C104" s="598"/>
      <c r="D104" s="598"/>
      <c r="E104" s="598"/>
      <c r="F104" s="598"/>
      <c r="G104" s="598"/>
      <c r="H104" s="598"/>
      <c r="I104" s="598"/>
      <c r="J104" s="598"/>
    </row>
    <row r="105" spans="1:10">
      <c r="A105" s="598"/>
      <c r="B105" s="598"/>
      <c r="C105" s="598"/>
      <c r="D105" s="598"/>
      <c r="E105" s="598"/>
      <c r="F105" s="598"/>
      <c r="G105" s="598"/>
      <c r="H105" s="598"/>
      <c r="I105" s="598"/>
      <c r="J105" s="598"/>
    </row>
  </sheetData>
  <sheetProtection insertHyperlinks="0"/>
  <mergeCells count="42">
    <mergeCell ref="A51:J105"/>
    <mergeCell ref="F23:J23"/>
    <mergeCell ref="I43:J43"/>
    <mergeCell ref="I33:J33"/>
    <mergeCell ref="F35:J35"/>
    <mergeCell ref="A41:H41"/>
    <mergeCell ref="A23:C23"/>
    <mergeCell ref="D45:E45"/>
    <mergeCell ref="F45:G45"/>
    <mergeCell ref="B45:C45"/>
    <mergeCell ref="I47:J47"/>
    <mergeCell ref="B47:C47"/>
    <mergeCell ref="F27:J27"/>
    <mergeCell ref="F25:J25"/>
    <mergeCell ref="D47:E47"/>
    <mergeCell ref="F47:G47"/>
    <mergeCell ref="B31:C31"/>
    <mergeCell ref="B39:C39"/>
    <mergeCell ref="I45:J45"/>
    <mergeCell ref="B43:C43"/>
    <mergeCell ref="B37:C37"/>
    <mergeCell ref="H37:J37"/>
    <mergeCell ref="B35:C35"/>
    <mergeCell ref="B33:C33"/>
    <mergeCell ref="A27:C27"/>
    <mergeCell ref="B30:C30"/>
    <mergeCell ref="F17:J17"/>
    <mergeCell ref="I11:J11"/>
    <mergeCell ref="B19:J19"/>
    <mergeCell ref="I15:J15"/>
    <mergeCell ref="C11:F11"/>
    <mergeCell ref="I13:J13"/>
    <mergeCell ref="B15:F15"/>
    <mergeCell ref="I3:J3"/>
    <mergeCell ref="I5:J5"/>
    <mergeCell ref="I7:J7"/>
    <mergeCell ref="I9:J9"/>
    <mergeCell ref="B17:C17"/>
    <mergeCell ref="B3:F3"/>
    <mergeCell ref="B5:F5"/>
    <mergeCell ref="B7:F7"/>
    <mergeCell ref="B9:F9"/>
  </mergeCells>
  <phoneticPr fontId="6" type="noConversion"/>
  <conditionalFormatting sqref="G37:J37">
    <cfRule type="cellIs" dxfId="53" priority="4" stopIfTrue="1" operator="equal">
      <formula>FALSE</formula>
    </cfRule>
  </conditionalFormatting>
  <conditionalFormatting sqref="F31 B31">
    <cfRule type="cellIs" dxfId="52" priority="5" stopIfTrue="1" operator="equal">
      <formula>0</formula>
    </cfRule>
  </conditionalFormatting>
  <conditionalFormatting sqref="F35:J35">
    <cfRule type="cellIs" dxfId="51" priority="6" stopIfTrue="1" operator="equal">
      <formula>FALSE</formula>
    </cfRule>
    <cfRule type="cellIs" dxfId="50" priority="7" stopIfTrue="1" operator="equal">
      <formula>"Indicate Movex # here"</formula>
    </cfRule>
  </conditionalFormatting>
  <conditionalFormatting sqref="B11">
    <cfRule type="cellIs" dxfId="49" priority="8" stopIfTrue="1" operator="equal">
      <formula>0</formula>
    </cfRule>
  </conditionalFormatting>
  <conditionalFormatting sqref="F17:J17 F37">
    <cfRule type="cellIs" dxfId="48" priority="9" stopIfTrue="1" operator="equal">
      <formula>FALSE</formula>
    </cfRule>
  </conditionalFormatting>
  <conditionalFormatting sqref="F23:J23">
    <cfRule type="cellIs" dxfId="47" priority="11" stopIfTrue="1" operator="equal">
      <formula>FALSE</formula>
    </cfRule>
    <cfRule type="cellIs" dxfId="46" priority="12" stopIfTrue="1" operator="equal">
      <formula>"Indicate Movex # here"</formula>
    </cfRule>
  </conditionalFormatting>
  <conditionalFormatting sqref="F17:J17">
    <cfRule type="containsText" dxfId="45" priority="3" operator="containsText" text="Type laser position here">
      <formula>NOT(ISERROR(SEARCH("Type laser position here",F17)))</formula>
    </cfRule>
  </conditionalFormatting>
  <conditionalFormatting sqref="F37">
    <cfRule type="containsText" dxfId="44" priority="2" operator="containsText" text="Indicate Position Here">
      <formula>NOT(ISERROR(SEARCH("Indicate Position Here",F37)))</formula>
    </cfRule>
  </conditionalFormatting>
  <conditionalFormatting sqref="A27:C27">
    <cfRule type="containsText" dxfId="43" priority="1" operator="containsText" text="FALSE">
      <formula>NOT(ISERROR(SEARCH("FALSE",A27)))</formula>
    </cfRule>
  </conditionalFormatting>
  <dataValidations xWindow="237" yWindow="941" count="33">
    <dataValidation type="decimal" allowBlank="1" showInputMessage="1" showErrorMessage="1" prompt="Enter IMPERIAL slit roll width OR METRIC IN NEXT FIELD." sqref="E31">
      <formula1>1</formula1>
      <formula2>20000</formula2>
    </dataValidation>
    <dataValidation type="textLength" showInputMessage="1" showErrorMessage="1" sqref="I11 I7">
      <formula1>1</formula1>
      <formula2>20</formula2>
    </dataValidation>
    <dataValidation type="textLength" showInputMessage="1" showErrorMessage="1" sqref="I3:J3">
      <formula1>1</formula1>
      <formula2>15</formula2>
    </dataValidation>
    <dataValidation type="whole" showInputMessage="1" showErrorMessage="1" sqref="F33 B33:C33">
      <formula1>1</formula1>
      <formula2>100</formula2>
    </dataValidation>
    <dataValidation type="list" showInputMessage="1" showErrorMessage="1" prompt="Select Yes or No." sqref="F39">
      <formula1>"Yes, No"</formula1>
    </dataValidation>
    <dataValidation type="list" showInputMessage="1" showErrorMessage="1" prompt="Choose print type." sqref="I43:J43">
      <formula1>"MCP, Line, Process"</formula1>
    </dataValidation>
    <dataValidation type="list" showInputMessage="1" showErrorMessage="1" prompt="Select # sides." sqref="I33:J33">
      <formula1>"1, 2"</formula1>
    </dataValidation>
    <dataValidation type="textLength" allowBlank="1" showInputMessage="1" showErrorMessage="1" prompt="If &quot;Existing Item&quot; selected, indicate Movex Item # to use for layout." sqref="F35:J35">
      <formula1>1</formula1>
      <formula2>100</formula2>
    </dataValidation>
    <dataValidation type="textLength" allowBlank="1" showInputMessage="1" showErrorMessage="1" prompt="If &quot;No&quot; selected, indicate print position" sqref="G37">
      <formula1>1</formula1>
      <formula2>200</formula2>
    </dataValidation>
    <dataValidation showInputMessage="1" showErrorMessage="1" prompt="Enter print direction # or &quot;see below&quot;." sqref="I39"/>
    <dataValidation type="list" showInputMessage="1" showErrorMessage="1" prompt="Select colour match option." sqref="B43">
      <formula1>"Sample, PMS, Other (see comments)"</formula1>
    </dataValidation>
    <dataValidation type="list" allowBlank="1" showInputMessage="1" showErrorMessage="1" prompt="Select # of colours." sqref="F43">
      <formula1>"1, 2, 3, 4, 5, 6, 7, 8, 9, 10, See Comments"</formula1>
    </dataValidation>
    <dataValidation type="list" showInputMessage="1" showErrorMessage="1" sqref="I15:J15">
      <formula1>"Forming, Non-Forming"</formula1>
    </dataValidation>
    <dataValidation type="list" showInputMessage="1" showErrorMessage="1" prompt="Select appropriate option from list." sqref="F27:J27">
      <formula1>"Assessed art file, Assessed art file with changes (see comments), Sample, Sample with changes (see comments), Previous art with changes (see comments), Other (see comments)"</formula1>
    </dataValidation>
    <dataValidation type="decimal" showInputMessage="1" showErrorMessage="1" prompt="Enter IMPERIAL slit roll width OR METRIC IN NEXT FIELD." sqref="A31">
      <formula1>1</formula1>
      <formula2>2000</formula2>
    </dataValidation>
    <dataValidation type="textLength" allowBlank="1" showInputMessage="1" showErrorMessage="1" prompt="Enter METRIC here if provided (overwrite conversion formula)." sqref="B31">
      <formula1>1</formula1>
      <formula2>25</formula2>
    </dataValidation>
    <dataValidation allowBlank="1" showErrorMessage="1" prompt="_x000a_" sqref="A51:J105"/>
    <dataValidation allowBlank="1" showInputMessage="1" showErrorMessage="1" prompt="If RWC, indicate movex #." sqref="F23:J23"/>
    <dataValidation type="list" showInputMessage="1" showErrorMessage="1" prompt="Select Yes or No. If &quot;No&quot;, tab to next field to enter measurement." sqref="B37">
      <formula1>"Yes, No"</formula1>
    </dataValidation>
    <dataValidation type="textLength" allowBlank="1" showInputMessage="1" showErrorMessage="1" prompt="If &quot;No&quot; selected, indicate mm from artwork to edge (not including eyemarks)." sqref="F37">
      <formula1>1</formula1>
      <formula2>200</formula2>
    </dataValidation>
    <dataValidation type="whole" showInputMessage="1" showErrorMessage="1" prompt="Total # items on sales order." sqref="I9:J9">
      <formula1>1</formula1>
      <formula2>100</formula2>
    </dataValidation>
    <dataValidation type="textLength" showInputMessage="1" showErrorMessage="1" prompt="Enter METRIC here if provided (overwrite conversion formula)." sqref="F31">
      <formula1>1</formula1>
      <formula2>20</formula2>
    </dataValidation>
    <dataValidation type="textLength" showInputMessage="1" showErrorMessage="1" sqref="B19:J19">
      <formula1>1</formula1>
      <formula2>80</formula2>
    </dataValidation>
    <dataValidation type="textLength" showInputMessage="1" showErrorMessage="1" sqref="B9:F9 B5">
      <formula1>1</formula1>
      <formula2>50</formula2>
    </dataValidation>
    <dataValidation type="list" showInputMessage="1" showErrorMessage="1" prompt="Select Yes or No." sqref="B17:C17">
      <formula1>"Yes, No"</formula1>
    </dataValidation>
    <dataValidation type="textLength" showInputMessage="1" showErrorMessage="1" sqref="F17:J17">
      <formula1>1</formula1>
      <formula2>50</formula2>
    </dataValidation>
    <dataValidation type="list" allowBlank="1" showInputMessage="1" showErrorMessage="1" prompt="Select appropriate option." sqref="B39:C39">
      <formula1>"Registered, Continuous"</formula1>
    </dataValidation>
    <dataValidation type="list" showInputMessage="1" showErrorMessage="1" prompt="Surface or Reverse?" sqref="F25:J25">
      <formula1>"Sandwich, Sandwich with Matte OL, Surface with OL, Surface without OL,Surface at Pouch,Sandwich - 2 pass,Sandwich with Matte OL - 2 pass,Sandwich with Surface AND Reverse Plates,Print readable from sealable side (Surface Plates)"</formula1>
    </dataValidation>
    <dataValidation type="textLength" showInputMessage="1" showErrorMessage="1" sqref="C11:F11">
      <formula1>1</formula1>
      <formula2>50</formula2>
    </dataValidation>
    <dataValidation type="textLength" showInputMessage="1" showErrorMessage="1" sqref="B7">
      <formula1>1</formula1>
      <formula2>40</formula2>
    </dataValidation>
    <dataValidation type="list" showInputMessage="1" showErrorMessage="1" prompt="Select appropriate option. If &quot;Existing Item&quot;, please indicate Movex # in the next field." sqref="B35:C35">
      <formula1>"Existing Item, Sample, Print Layout (Die Drawing), Other (See Comments)"</formula1>
    </dataValidation>
    <dataValidation type="textLength" allowBlank="1" showInputMessage="1" showErrorMessage="1" sqref="I13">
      <formula1>1</formula1>
      <formula2>20</formula2>
    </dataValidation>
    <dataValidation type="textLength" allowBlank="1" showInputMessage="1" showErrorMessage="1" sqref="A45 B45:C45 D45:E45 F45:G45 H45 I45:J45 I47:J47 H47 F47:G47 D47:E47 B47:C47 A47">
      <formula1>0</formula1>
      <formula2>40</formula2>
    </dataValidation>
  </dataValidations>
  <hyperlinks>
    <hyperlink ref="J39" location="'Print Direction Chart'!A1" display="Print Direction Chart"/>
  </hyperlinks>
  <printOptions horizontalCentered="1"/>
  <pageMargins left="0.5" right="0.5" top="0.25" bottom="0.5" header="0.13" footer="0.13"/>
  <pageSetup orientation="portrait" blackAndWhite="1" horizontalDpi="4294967292" verticalDpi="4294967292" r:id="rId1"/>
  <headerFooter alignWithMargins="0">
    <oddFooter xml:space="preserve">&amp;C&amp;K000000Issue Date: 1-Sep-98  Revision: 3  Revision Date: 04-Sep-14
</oddFooter>
  </headerFooter>
  <rowBreaks count="1" manualBreakCount="1">
    <brk id="47"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2313" r:id="rId4" name="Group Box 265">
              <controlPr defaultSize="0" print="0" autoFill="0" autoPict="0">
                <anchor moveWithCells="1">
                  <from>
                    <xdr:col>0</xdr:col>
                    <xdr:colOff>9525</xdr:colOff>
                    <xdr:row>22</xdr:row>
                    <xdr:rowOff>0</xdr:rowOff>
                  </from>
                  <to>
                    <xdr:col>2</xdr:col>
                    <xdr:colOff>781050</xdr:colOff>
                    <xdr:row>25</xdr:row>
                    <xdr:rowOff>0</xdr:rowOff>
                  </to>
                </anchor>
              </controlPr>
            </control>
          </mc:Choice>
        </mc:AlternateContent>
        <mc:AlternateContent xmlns:mc="http://schemas.openxmlformats.org/markup-compatibility/2006">
          <mc:Choice Requires="x14">
            <control shapeId="2315" r:id="rId5" name="Option Button 267">
              <controlPr defaultSize="0" autoFill="0" autoLine="0" autoPict="0">
                <anchor moveWithCells="1">
                  <from>
                    <xdr:col>0</xdr:col>
                    <xdr:colOff>123825</xdr:colOff>
                    <xdr:row>22</xdr:row>
                    <xdr:rowOff>66675</xdr:rowOff>
                  </from>
                  <to>
                    <xdr:col>1</xdr:col>
                    <xdr:colOff>152400</xdr:colOff>
                    <xdr:row>23</xdr:row>
                    <xdr:rowOff>0</xdr:rowOff>
                  </to>
                </anchor>
              </controlPr>
            </control>
          </mc:Choice>
        </mc:AlternateContent>
        <mc:AlternateContent xmlns:mc="http://schemas.openxmlformats.org/markup-compatibility/2006">
          <mc:Choice Requires="x14">
            <control shapeId="2316" r:id="rId6" name="Option Button 268">
              <controlPr defaultSize="0" autoFill="0" autoLine="0" autoPict="0">
                <anchor moveWithCells="1">
                  <from>
                    <xdr:col>0</xdr:col>
                    <xdr:colOff>123825</xdr:colOff>
                    <xdr:row>23</xdr:row>
                    <xdr:rowOff>66675</xdr:rowOff>
                  </from>
                  <to>
                    <xdr:col>2</xdr:col>
                    <xdr:colOff>638175</xdr:colOff>
                    <xdr:row>24</xdr:row>
                    <xdr:rowOff>200025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FF0000"/>
  </sheetPr>
  <dimension ref="A1:O133"/>
  <sheetViews>
    <sheetView showGridLines="0" zoomScale="120" zoomScaleNormal="120" workbookViewId="0">
      <selection activeCell="L67" sqref="L67"/>
    </sheetView>
  </sheetViews>
  <sheetFormatPr defaultColWidth="11.42578125" defaultRowHeight="12.75"/>
  <cols>
    <col min="1" max="1" width="13" customWidth="1"/>
    <col min="2" max="2" width="5.7109375" customWidth="1"/>
    <col min="3" max="3" width="9.85546875" customWidth="1"/>
    <col min="4" max="4" width="1" customWidth="1"/>
    <col min="5" max="5" width="14.28515625" customWidth="1"/>
    <col min="6" max="6" width="14.42578125" customWidth="1"/>
    <col min="7" max="7" width="1" customWidth="1"/>
    <col min="8" max="8" width="14.28515625" customWidth="1"/>
    <col min="9" max="9" width="15.85546875" customWidth="1"/>
    <col min="10" max="10" width="11.42578125" style="76" hidden="1" customWidth="1"/>
  </cols>
  <sheetData>
    <row r="1" spans="1:10" s="6" customFormat="1" ht="17.100000000000001" customHeight="1">
      <c r="A1" s="3" t="s">
        <v>208</v>
      </c>
      <c r="B1" s="3"/>
      <c r="C1" s="4"/>
      <c r="D1" s="4"/>
      <c r="E1" s="4"/>
      <c r="F1" s="4"/>
      <c r="G1" s="4"/>
      <c r="H1" s="4"/>
      <c r="I1" s="4"/>
      <c r="J1" s="70"/>
    </row>
    <row r="2" spans="1:10" s="6" customFormat="1" ht="5.0999999999999996" customHeight="1">
      <c r="A2" s="11"/>
      <c r="B2" s="11"/>
      <c r="C2" s="11"/>
      <c r="D2" s="11"/>
      <c r="E2" s="11"/>
      <c r="F2" s="11"/>
      <c r="G2" s="11"/>
      <c r="H2" s="11"/>
      <c r="I2" s="11"/>
      <c r="J2" s="70"/>
    </row>
    <row r="3" spans="1:10" s="6" customFormat="1" ht="17.100000000000001" customHeight="1">
      <c r="A3" s="89" t="s">
        <v>178</v>
      </c>
      <c r="B3" s="621" t="str">
        <f>IF(J3=1,"New Item",IF(J3=2,"RWC",IF(J3=0," ")))</f>
        <v xml:space="preserve"> </v>
      </c>
      <c r="C3" s="622"/>
      <c r="D3" s="33"/>
      <c r="E3" s="23" t="s">
        <v>117</v>
      </c>
      <c r="F3" s="135">
        <f>'Roll Stock Checklist'!I7</f>
        <v>0</v>
      </c>
      <c r="G3" s="12"/>
      <c r="H3" s="37" t="s">
        <v>33</v>
      </c>
      <c r="I3" s="145"/>
      <c r="J3" s="74">
        <v>0</v>
      </c>
    </row>
    <row r="4" spans="1:10" s="6" customFormat="1" ht="5.0999999999999996" customHeight="1">
      <c r="A4" s="27"/>
      <c r="B4" s="27"/>
      <c r="C4" s="12"/>
      <c r="D4" s="12"/>
      <c r="E4" s="12"/>
      <c r="F4" s="12"/>
      <c r="G4" s="12"/>
      <c r="H4" s="27"/>
      <c r="I4" s="12"/>
      <c r="J4" s="70"/>
    </row>
    <row r="5" spans="1:10" s="6" customFormat="1" ht="17.100000000000001" customHeight="1">
      <c r="A5" s="25" t="s">
        <v>199</v>
      </c>
      <c r="B5" s="623"/>
      <c r="C5" s="624"/>
      <c r="D5" s="68"/>
      <c r="E5" s="59" t="s">
        <v>109</v>
      </c>
      <c r="F5" s="106"/>
      <c r="G5" s="12"/>
      <c r="H5" s="23" t="s">
        <v>198</v>
      </c>
      <c r="I5" s="105"/>
      <c r="J5" s="70"/>
    </row>
    <row r="6" spans="1:10" s="6" customFormat="1" ht="5.0999999999999996" customHeight="1">
      <c r="A6" s="27"/>
      <c r="B6" s="27"/>
      <c r="C6" s="12"/>
      <c r="D6" s="12"/>
      <c r="E6" s="12"/>
      <c r="F6" s="12"/>
      <c r="G6" s="12"/>
      <c r="H6" s="27"/>
      <c r="I6" s="12"/>
      <c r="J6" s="70"/>
    </row>
    <row r="7" spans="1:10" s="6" customFormat="1" ht="17.100000000000001" customHeight="1">
      <c r="A7" s="90" t="s">
        <v>108</v>
      </c>
      <c r="B7" s="625"/>
      <c r="C7" s="626"/>
      <c r="D7" s="60"/>
      <c r="E7" s="120" t="s">
        <v>24</v>
      </c>
      <c r="F7" s="118"/>
      <c r="G7" s="12"/>
      <c r="H7" s="119" t="s">
        <v>134</v>
      </c>
      <c r="I7" s="115"/>
      <c r="J7" s="70"/>
    </row>
    <row r="8" spans="1:10" s="6" customFormat="1" ht="5.0999999999999996" customHeight="1">
      <c r="A8" s="27"/>
      <c r="B8" s="27"/>
      <c r="C8" s="12"/>
      <c r="D8" s="12"/>
      <c r="E8" s="12"/>
      <c r="F8" s="12"/>
      <c r="G8" s="12"/>
      <c r="H8" s="27"/>
      <c r="I8" s="12"/>
      <c r="J8" s="70"/>
    </row>
    <row r="9" spans="1:10" s="6" customFormat="1" ht="17.100000000000001" customHeight="1">
      <c r="A9" s="25" t="s">
        <v>54</v>
      </c>
      <c r="B9" s="627">
        <f>'Roll Stock Checklist'!B7</f>
        <v>0</v>
      </c>
      <c r="C9" s="627"/>
      <c r="D9" s="627"/>
      <c r="E9" s="627"/>
      <c r="F9" s="628"/>
      <c r="G9" s="12"/>
      <c r="H9" s="23" t="s">
        <v>105</v>
      </c>
      <c r="I9" s="136">
        <f>'Roll Stock Checklist'!B5</f>
        <v>0</v>
      </c>
      <c r="J9" s="70"/>
    </row>
    <row r="10" spans="1:10" s="6" customFormat="1" ht="5.0999999999999996" customHeight="1">
      <c r="A10" s="27"/>
      <c r="B10" s="27"/>
      <c r="C10" s="12"/>
      <c r="D10" s="12"/>
      <c r="E10" s="12"/>
      <c r="F10" s="12"/>
      <c r="G10" s="12"/>
      <c r="H10" s="27"/>
      <c r="I10" s="12"/>
      <c r="J10" s="70"/>
    </row>
    <row r="11" spans="1:10" s="6" customFormat="1" ht="17.100000000000001" customHeight="1">
      <c r="A11" s="22" t="s">
        <v>131</v>
      </c>
      <c r="B11" s="122"/>
      <c r="C11" s="629">
        <f>'Roll Stock Checklist'!C11</f>
        <v>0</v>
      </c>
      <c r="D11" s="629"/>
      <c r="E11" s="629"/>
      <c r="F11" s="630"/>
      <c r="G11" s="12"/>
      <c r="H11" s="23" t="s">
        <v>121</v>
      </c>
      <c r="I11" s="138">
        <f>'Roll Stock Checklist'!I11</f>
        <v>0</v>
      </c>
      <c r="J11" s="70"/>
    </row>
    <row r="12" spans="1:10" s="6" customFormat="1" ht="5.0999999999999996" customHeight="1">
      <c r="A12" s="26"/>
      <c r="B12" s="26"/>
      <c r="C12" s="34"/>
      <c r="D12" s="34"/>
      <c r="E12" s="34"/>
      <c r="F12" s="34"/>
      <c r="G12" s="14"/>
      <c r="H12" s="26"/>
      <c r="I12" s="35"/>
      <c r="J12" s="70"/>
    </row>
    <row r="13" spans="1:10" s="6" customFormat="1" ht="17.100000000000001" customHeight="1">
      <c r="A13" s="58" t="s">
        <v>234</v>
      </c>
      <c r="B13" s="632">
        <f>'Roll Stock Checklist'!B19</f>
        <v>0</v>
      </c>
      <c r="C13" s="632"/>
      <c r="D13" s="632"/>
      <c r="E13" s="632"/>
      <c r="F13" s="633"/>
      <c r="G13" s="14"/>
      <c r="H13" s="83" t="s">
        <v>62</v>
      </c>
      <c r="I13" s="130">
        <f>'Roll Stock Checklist'!I13</f>
        <v>0</v>
      </c>
      <c r="J13" s="70"/>
    </row>
    <row r="14" spans="1:10" s="6" customFormat="1" ht="5.0999999999999996" customHeight="1">
      <c r="A14" s="26"/>
      <c r="B14" s="26"/>
      <c r="C14" s="34"/>
      <c r="D14" s="34"/>
      <c r="E14" s="34"/>
      <c r="F14" s="34"/>
      <c r="G14" s="14"/>
      <c r="H14" s="26"/>
      <c r="I14" s="35"/>
      <c r="J14" s="70"/>
    </row>
    <row r="15" spans="1:10" s="6" customFormat="1" ht="17.100000000000001" customHeight="1">
      <c r="A15" s="58" t="s">
        <v>1</v>
      </c>
      <c r="B15" s="632">
        <f>'Roll Stock Checklist'!B15</f>
        <v>0</v>
      </c>
      <c r="C15" s="632"/>
      <c r="D15" s="632"/>
      <c r="E15" s="632"/>
      <c r="F15" s="633"/>
      <c r="G15" s="14"/>
      <c r="H15" s="23" t="s">
        <v>36</v>
      </c>
      <c r="I15" s="107">
        <f>'Roll Stock Checklist'!I9</f>
        <v>0</v>
      </c>
      <c r="J15" s="70"/>
    </row>
    <row r="16" spans="1:10" s="6" customFormat="1" ht="5.0999999999999996" customHeight="1">
      <c r="A16" s="26"/>
      <c r="B16" s="26"/>
      <c r="C16" s="34"/>
      <c r="D16" s="34"/>
      <c r="E16" s="34"/>
      <c r="F16" s="34"/>
      <c r="G16" s="14"/>
      <c r="H16" s="26"/>
      <c r="I16" s="35"/>
      <c r="J16" s="70"/>
    </row>
    <row r="17" spans="1:15" s="6" customFormat="1" ht="17.100000000000001" customHeight="1">
      <c r="A17" s="25" t="s">
        <v>169</v>
      </c>
      <c r="B17" s="596" t="s">
        <v>174</v>
      </c>
      <c r="C17" s="596"/>
      <c r="D17" s="631" t="e">
        <f>VLOOKUP(F17,'GL Codes'!A1:C200,3,FALSE)</f>
        <v>#N/A</v>
      </c>
      <c r="E17" s="631"/>
      <c r="F17" s="137">
        <f>'Roll Stock Checklist'!I5</f>
        <v>0</v>
      </c>
      <c r="G17" s="12"/>
      <c r="H17" s="23" t="s">
        <v>55</v>
      </c>
      <c r="I17" s="108"/>
      <c r="J17" s="70"/>
    </row>
    <row r="18" spans="1:15" s="6" customFormat="1" ht="5.0999999999999996" customHeight="1" thickBot="1">
      <c r="A18" s="27"/>
      <c r="B18" s="27"/>
      <c r="C18" s="12"/>
      <c r="D18" s="12"/>
      <c r="E18" s="12"/>
      <c r="F18" s="12"/>
      <c r="G18" s="12"/>
      <c r="H18" s="27"/>
      <c r="I18" s="12"/>
      <c r="J18" s="70"/>
    </row>
    <row r="19" spans="1:15" s="6" customFormat="1" ht="15.75" customHeight="1" thickBot="1">
      <c r="A19" s="123" t="s">
        <v>273</v>
      </c>
      <c r="B19" s="124"/>
      <c r="C19" s="125"/>
      <c r="D19" s="619"/>
      <c r="E19" s="619"/>
      <c r="F19" s="619"/>
      <c r="G19" s="619"/>
      <c r="H19" s="619"/>
      <c r="I19" s="620"/>
      <c r="J19" s="70"/>
    </row>
    <row r="20" spans="1:15" s="6" customFormat="1" ht="5.0999999999999996" customHeight="1">
      <c r="J20" s="70"/>
    </row>
    <row r="21" spans="1:15" s="6" customFormat="1" ht="15.75" customHeight="1">
      <c r="A21" s="3" t="s">
        <v>269</v>
      </c>
      <c r="B21" s="3"/>
      <c r="C21" s="8"/>
      <c r="D21" s="8"/>
      <c r="E21" s="8"/>
      <c r="F21" s="8"/>
      <c r="G21" s="8"/>
      <c r="H21" s="8"/>
      <c r="I21" s="8"/>
    </row>
    <row r="22" spans="1:15" s="6" customFormat="1" ht="5.0999999999999996" customHeight="1"/>
    <row r="23" spans="1:15" s="6" customFormat="1" ht="17.100000000000001" customHeight="1">
      <c r="A23" s="22" t="s">
        <v>17</v>
      </c>
      <c r="B23" s="609">
        <f>'Roll Stock Checklist'!F27</f>
        <v>0</v>
      </c>
      <c r="C23" s="609"/>
      <c r="D23" s="609"/>
      <c r="E23" s="609"/>
      <c r="F23" s="610"/>
      <c r="G23"/>
      <c r="H23" s="655" t="s">
        <v>211</v>
      </c>
      <c r="I23" s="656"/>
    </row>
    <row r="24" spans="1:15" s="6" customFormat="1" ht="5.0999999999999996" customHeight="1">
      <c r="H24" s="87"/>
      <c r="I24" s="88"/>
    </row>
    <row r="25" spans="1:15" s="6" customFormat="1" ht="15.75" customHeight="1">
      <c r="A25" s="22" t="s">
        <v>50</v>
      </c>
      <c r="B25" s="609">
        <f>'Roll Stock Checklist'!F25</f>
        <v>0</v>
      </c>
      <c r="C25" s="609"/>
      <c r="D25" s="609"/>
      <c r="E25" s="609"/>
      <c r="F25" s="610"/>
      <c r="G25" s="82"/>
      <c r="H25" s="657" t="b">
        <f>'Roll Stock Checklist'!F17</f>
        <v>0</v>
      </c>
      <c r="I25" s="658"/>
      <c r="O25" s="70"/>
    </row>
    <row r="26" spans="1:15" s="6" customFormat="1" ht="5.0999999999999996" customHeight="1">
      <c r="A26" s="24"/>
      <c r="B26" s="24"/>
      <c r="C26" s="15"/>
      <c r="D26" s="15"/>
      <c r="E26" s="15"/>
      <c r="F26" s="15"/>
      <c r="L26" s="91"/>
    </row>
    <row r="27" spans="1:15" s="6" customFormat="1" ht="17.100000000000001" customHeight="1">
      <c r="A27" s="21" t="s">
        <v>61</v>
      </c>
      <c r="B27" s="609">
        <f>'Roll Stock Checklist'!B31</f>
        <v>0</v>
      </c>
      <c r="C27" s="610"/>
      <c r="E27" s="22" t="s">
        <v>182</v>
      </c>
      <c r="F27" s="133">
        <f>'Roll Stock Checklist'!F31</f>
        <v>0</v>
      </c>
      <c r="H27" s="22" t="s">
        <v>186</v>
      </c>
      <c r="I27" s="107"/>
    </row>
    <row r="28" spans="1:15" s="6" customFormat="1" ht="5.0999999999999996" customHeight="1">
      <c r="A28" s="24"/>
      <c r="B28" s="24"/>
      <c r="C28" s="15"/>
      <c r="D28" s="15"/>
      <c r="E28" s="15"/>
      <c r="F28" s="15"/>
      <c r="G28" s="15"/>
      <c r="H28" s="15"/>
      <c r="I28" s="15"/>
    </row>
    <row r="29" spans="1:15" s="6" customFormat="1" ht="17.100000000000001" customHeight="1">
      <c r="A29" s="22" t="s">
        <v>138</v>
      </c>
      <c r="B29" s="615">
        <f>'Roll Stock Checklist'!F33</f>
        <v>0</v>
      </c>
      <c r="C29" s="616"/>
      <c r="E29" s="22" t="s">
        <v>139</v>
      </c>
      <c r="F29" s="132">
        <f>'Roll Stock Checklist'!B33</f>
        <v>0</v>
      </c>
      <c r="H29" s="22" t="s">
        <v>37</v>
      </c>
      <c r="I29" s="131" t="e">
        <f>(((9.8806/I27)*100)-100)-(((9.8806/I27)*100)-100)-(((9.8806/I27*100)-100))</f>
        <v>#DIV/0!</v>
      </c>
    </row>
    <row r="30" spans="1:15" s="6" customFormat="1" ht="5.0999999999999996" customHeight="1">
      <c r="A30" s="24"/>
      <c r="B30" s="24"/>
      <c r="C30" s="15"/>
      <c r="D30" s="15"/>
      <c r="E30" s="15"/>
      <c r="F30" s="15"/>
      <c r="G30"/>
      <c r="H30"/>
      <c r="I30"/>
    </row>
    <row r="31" spans="1:15" s="6" customFormat="1" ht="15.75" customHeight="1">
      <c r="A31" s="22" t="s">
        <v>12</v>
      </c>
      <c r="B31" s="613">
        <v>407</v>
      </c>
      <c r="C31" s="614"/>
      <c r="D31" s="15"/>
      <c r="E31" s="22" t="s">
        <v>250</v>
      </c>
      <c r="F31" s="107">
        <v>178.33</v>
      </c>
      <c r="G31"/>
      <c r="H31" s="22" t="s">
        <v>268</v>
      </c>
      <c r="I31" s="132" t="b">
        <f>IF('Roll Stock Checklist'!B39="Continuous","Yes",IF('Roll Stock Checklist'!B39="Registered","No"))</f>
        <v>0</v>
      </c>
    </row>
    <row r="32" spans="1:15" s="6" customFormat="1" ht="5.0999999999999996" customHeight="1">
      <c r="A32" s="24"/>
      <c r="B32" s="24"/>
      <c r="C32" s="15"/>
      <c r="D32" s="15"/>
      <c r="E32" s="24"/>
      <c r="F32" s="15"/>
      <c r="G32"/>
      <c r="H32"/>
      <c r="I32"/>
    </row>
    <row r="33" spans="1:13" s="6" customFormat="1" ht="15.75" customHeight="1">
      <c r="A33" s="22" t="s">
        <v>2</v>
      </c>
      <c r="B33" s="613">
        <v>407</v>
      </c>
      <c r="C33" s="614"/>
      <c r="D33" s="15"/>
      <c r="E33" s="22" t="s">
        <v>177</v>
      </c>
      <c r="F33" s="107">
        <f>178-4</f>
        <v>174</v>
      </c>
      <c r="H33" s="117" t="b">
        <f>IF(I31="Yes","# Images AC Web:",IF(I31="No","None"))</f>
        <v>0</v>
      </c>
      <c r="I33" s="107" t="b">
        <f>IF(I31="Yes"," ",IF(I31="No","None"))</f>
        <v>0</v>
      </c>
    </row>
    <row r="34" spans="1:13" s="6" customFormat="1" ht="5.0999999999999996" customHeight="1">
      <c r="A34" s="24"/>
      <c r="B34" s="24"/>
      <c r="C34" s="15"/>
      <c r="D34" s="15"/>
      <c r="E34" s="24"/>
      <c r="F34" s="15"/>
    </row>
    <row r="35" spans="1:13" s="6" customFormat="1" ht="15.75" customHeight="1">
      <c r="A35" s="22" t="s">
        <v>26</v>
      </c>
      <c r="B35" s="613" t="s">
        <v>149</v>
      </c>
      <c r="C35" s="614"/>
      <c r="D35" s="15"/>
      <c r="E35" s="22" t="s">
        <v>10</v>
      </c>
      <c r="F35" s="107" t="s">
        <v>149</v>
      </c>
      <c r="H35" s="117" t="b">
        <f>IF(I31="Yes","# Images AR Cyl.:",IF(I31="No","None"))</f>
        <v>0</v>
      </c>
      <c r="I35" s="107" t="b">
        <f>IF(I31="Yes"," ",IF(I31="No","None"))</f>
        <v>0</v>
      </c>
    </row>
    <row r="36" spans="1:13" s="6" customFormat="1" ht="5.0999999999999996" customHeight="1"/>
    <row r="37" spans="1:13" s="6" customFormat="1" ht="17.100000000000001" customHeight="1">
      <c r="A37" s="113" t="s">
        <v>93</v>
      </c>
      <c r="B37" s="617"/>
      <c r="C37" s="618"/>
      <c r="D37" s="16"/>
      <c r="E37" s="611" t="s">
        <v>11</v>
      </c>
      <c r="F37" s="612"/>
      <c r="G37" s="660" t="b">
        <f>IF(B37="Yes","N/A",IF(B37="See Comments","See Below",IF(B37="Random","N/A",IF(B37="See Drawing","See Below",IF(B37="No","Indicate position here")))))</f>
        <v>0</v>
      </c>
      <c r="H37" s="660"/>
      <c r="I37" s="661"/>
      <c r="L37" s="84"/>
      <c r="M37" s="84"/>
    </row>
    <row r="38" spans="1:13" s="6" customFormat="1" ht="5.0999999999999996" customHeight="1">
      <c r="A38" s="663"/>
      <c r="B38" s="663"/>
      <c r="C38" s="663"/>
      <c r="D38" s="663"/>
      <c r="E38" s="663"/>
      <c r="F38" s="663"/>
      <c r="G38" s="663"/>
      <c r="H38" s="663"/>
      <c r="I38" s="663"/>
    </row>
    <row r="39" spans="1:13" s="6" customFormat="1" ht="17.100000000000001" customHeight="1">
      <c r="A39" s="642" t="s">
        <v>63</v>
      </c>
      <c r="B39" s="642"/>
      <c r="C39" s="642"/>
      <c r="D39" s="8"/>
      <c r="E39" s="665" t="b">
        <f>IF(D19="Stepped PDF","REQUIRED!",IF(D19="Rev Stepped PDF","REQUIRED!",IF(D19="1 up &amp; Stepped PDF","REQUIRED!",IF(D19="ReV 1 up &amp; Stepped PDF","REQUIRED!",IF(D19="100% Stepped Proof","REQUIRED!",IF(D19="Rev 100% Stepped Proof","REQUIRED!"))))))</f>
        <v>0</v>
      </c>
      <c r="F39" s="665"/>
      <c r="G39" s="8"/>
      <c r="H39" s="8"/>
      <c r="I39" s="8"/>
      <c r="J39" s="70"/>
    </row>
    <row r="40" spans="1:13" s="6" customFormat="1" ht="5.0999999999999996" customHeight="1">
      <c r="A40" s="663"/>
      <c r="B40" s="663"/>
      <c r="C40" s="663"/>
      <c r="D40" s="663"/>
      <c r="E40" s="663"/>
      <c r="F40" s="663"/>
      <c r="G40" s="663"/>
      <c r="H40" s="663"/>
      <c r="I40" s="663"/>
      <c r="J40" s="70"/>
    </row>
    <row r="41" spans="1:13" s="6" customFormat="1" ht="15" customHeight="1">
      <c r="A41" s="25" t="s">
        <v>195</v>
      </c>
      <c r="B41" s="649"/>
      <c r="C41" s="650"/>
      <c r="D41"/>
      <c r="E41" s="22" t="s">
        <v>81</v>
      </c>
      <c r="F41" s="159"/>
      <c r="G41"/>
      <c r="H41" s="52" t="s">
        <v>90</v>
      </c>
      <c r="I41" s="157" t="s">
        <v>25</v>
      </c>
      <c r="J41" s="70"/>
    </row>
    <row r="42" spans="1:13" ht="17.100000000000001" hidden="1" customHeight="1">
      <c r="F42" s="92" t="s">
        <v>201</v>
      </c>
      <c r="J42"/>
    </row>
    <row r="43" spans="1:13" s="6" customFormat="1" ht="5.0999999999999996" customHeight="1">
      <c r="A43"/>
      <c r="B43"/>
      <c r="C43"/>
      <c r="D43"/>
      <c r="E43"/>
      <c r="F43"/>
      <c r="G43"/>
      <c r="H43"/>
      <c r="I43"/>
      <c r="J43" s="70"/>
    </row>
    <row r="44" spans="1:13" s="6" customFormat="1" ht="15" customHeight="1">
      <c r="A44" s="25" t="s">
        <v>168</v>
      </c>
      <c r="B44" s="645"/>
      <c r="C44" s="646"/>
      <c r="D44"/>
      <c r="E44" s="21" t="s">
        <v>197</v>
      </c>
      <c r="F44" s="158" t="b">
        <f>IF(B44="No","N/A")</f>
        <v>0</v>
      </c>
      <c r="G44"/>
      <c r="H44" s="21" t="s">
        <v>150</v>
      </c>
      <c r="I44" s="157" t="b">
        <f>IF(B44="No","N/A")</f>
        <v>0</v>
      </c>
      <c r="J44" s="70"/>
    </row>
    <row r="45" spans="1:13" s="6" customFormat="1" ht="12" hidden="1" customHeight="1">
      <c r="A45" s="24"/>
      <c r="B45" s="24"/>
      <c r="C45" s="15"/>
      <c r="D45"/>
      <c r="E45" s="15"/>
      <c r="F45" s="5"/>
      <c r="G45"/>
      <c r="H45" s="15"/>
      <c r="I45" s="5" t="s">
        <v>156</v>
      </c>
      <c r="J45" s="70"/>
    </row>
    <row r="46" spans="1:13" s="6" customFormat="1" ht="12" hidden="1" customHeight="1">
      <c r="A46" s="24"/>
      <c r="B46" s="24"/>
      <c r="C46" s="15"/>
      <c r="D46"/>
      <c r="E46" s="15"/>
      <c r="F46" s="5"/>
      <c r="G46"/>
      <c r="H46" s="15"/>
      <c r="I46" s="5" t="s">
        <v>32</v>
      </c>
      <c r="J46" s="70"/>
    </row>
    <row r="47" spans="1:13" s="6" customFormat="1" ht="12" hidden="1" customHeight="1">
      <c r="A47" s="24"/>
      <c r="B47" s="24"/>
      <c r="C47" s="15"/>
      <c r="D47"/>
      <c r="E47" s="15"/>
      <c r="F47" s="5"/>
      <c r="G47"/>
      <c r="H47" s="15"/>
      <c r="I47" s="5" t="s">
        <v>125</v>
      </c>
      <c r="J47" s="70"/>
    </row>
    <row r="48" spans="1:13" s="6" customFormat="1" ht="12" hidden="1" customHeight="1">
      <c r="A48" s="24"/>
      <c r="B48" s="24"/>
      <c r="C48" s="15"/>
      <c r="D48"/>
      <c r="E48" s="15"/>
      <c r="F48" s="5"/>
      <c r="G48"/>
      <c r="H48" s="15"/>
      <c r="I48" s="5" t="s">
        <v>149</v>
      </c>
      <c r="J48" s="70"/>
    </row>
    <row r="49" spans="1:11" s="6" customFormat="1" ht="12" hidden="1" customHeight="1">
      <c r="A49" s="24"/>
      <c r="B49" s="24"/>
      <c r="C49" s="15"/>
      <c r="D49"/>
      <c r="E49" s="15"/>
      <c r="F49" s="5"/>
      <c r="G49"/>
      <c r="H49" s="15"/>
      <c r="I49" s="5"/>
      <c r="J49" s="70"/>
    </row>
    <row r="50" spans="1:11" s="6" customFormat="1" ht="5.0999999999999996" customHeight="1">
      <c r="A50"/>
      <c r="B50"/>
      <c r="C50"/>
      <c r="D50"/>
      <c r="E50"/>
      <c r="F50"/>
      <c r="G50"/>
      <c r="H50"/>
      <c r="I50"/>
      <c r="J50" s="70"/>
    </row>
    <row r="51" spans="1:11" s="6" customFormat="1" ht="15" customHeight="1">
      <c r="A51" s="25" t="s">
        <v>56</v>
      </c>
      <c r="B51" s="652" t="b">
        <f>IF(B44="No","N/A")</f>
        <v>0</v>
      </c>
      <c r="C51" s="653"/>
      <c r="D51"/>
      <c r="E51" s="22" t="s">
        <v>78</v>
      </c>
      <c r="F51" s="158" t="b">
        <f>IF(B44="No","N/A")</f>
        <v>0</v>
      </c>
      <c r="G51"/>
      <c r="H51"/>
      <c r="I51"/>
      <c r="J51" s="70"/>
    </row>
    <row r="52" spans="1:11" s="6" customFormat="1" ht="5.0999999999999996" customHeight="1">
      <c r="A52"/>
      <c r="B52"/>
      <c r="C52"/>
      <c r="D52"/>
      <c r="E52"/>
      <c r="F52"/>
      <c r="G52"/>
      <c r="H52"/>
      <c r="I52"/>
      <c r="J52" s="70"/>
    </row>
    <row r="53" spans="1:11" s="6" customFormat="1" ht="15" customHeight="1">
      <c r="A53" s="25" t="s">
        <v>68</v>
      </c>
      <c r="B53" s="652" t="b">
        <f>IF(B44="No","N/A")</f>
        <v>0</v>
      </c>
      <c r="C53" s="653"/>
      <c r="D53"/>
      <c r="E53" s="21" t="s">
        <v>122</v>
      </c>
      <c r="F53" s="157" t="b">
        <f>IF(B53="N/A","N/A",IF(B53="Std (3mm)","N/A",IF(B53="2mm","N/A",IF(B53="1mm","N/A",IF(B53="See Layout","N/A",IF(B53="Centered","N/A",IF(B53="Other","Indicate Dis.",IF(B53="Per 1 up PDF","N/A"))))))))</f>
        <v>0</v>
      </c>
      <c r="G53"/>
      <c r="H53" s="113" t="s">
        <v>94</v>
      </c>
      <c r="I53" s="158"/>
      <c r="J53" s="70"/>
    </row>
    <row r="54" spans="1:11" s="6" customFormat="1" ht="5.0999999999999996" customHeight="1">
      <c r="A54"/>
      <c r="B54"/>
      <c r="C54"/>
      <c r="D54"/>
      <c r="E54"/>
      <c r="F54"/>
      <c r="G54"/>
      <c r="H54"/>
      <c r="I54"/>
      <c r="J54" s="70"/>
    </row>
    <row r="55" spans="1:11" s="6" customFormat="1" ht="15" customHeight="1">
      <c r="A55" s="25" t="s">
        <v>8</v>
      </c>
      <c r="B55" s="645"/>
      <c r="C55" s="645"/>
      <c r="D55" s="645"/>
      <c r="E55" s="645"/>
      <c r="F55" s="646"/>
      <c r="G55"/>
      <c r="H55" s="22" t="s">
        <v>113</v>
      </c>
      <c r="I55" s="160"/>
      <c r="J55" s="70"/>
    </row>
    <row r="56" spans="1:11" s="6" customFormat="1" ht="5.0999999999999996" customHeight="1">
      <c r="A56"/>
      <c r="B56"/>
      <c r="C56"/>
      <c r="D56"/>
      <c r="E56"/>
      <c r="F56"/>
      <c r="G56"/>
      <c r="H56"/>
      <c r="I56"/>
      <c r="J56" s="70"/>
    </row>
    <row r="57" spans="1:11" s="6" customFormat="1" ht="15.75" customHeight="1">
      <c r="A57" s="3" t="s">
        <v>244</v>
      </c>
      <c r="B57" s="3"/>
      <c r="C57" s="8"/>
      <c r="D57" s="8"/>
      <c r="E57" s="8"/>
      <c r="F57" s="8"/>
      <c r="G57" s="15"/>
      <c r="H57" s="603" t="s">
        <v>184</v>
      </c>
      <c r="I57" s="603"/>
      <c r="J57" s="70"/>
      <c r="K57" s="91"/>
    </row>
    <row r="58" spans="1:11" s="6" customFormat="1" ht="5.0999999999999996" customHeight="1">
      <c r="A58" s="24"/>
      <c r="B58" s="24"/>
      <c r="C58" s="15"/>
      <c r="D58" s="15"/>
      <c r="E58" s="15"/>
      <c r="F58" s="15"/>
      <c r="G58" s="15"/>
      <c r="H58" s="46"/>
      <c r="I58" s="15"/>
      <c r="J58" s="70"/>
    </row>
    <row r="59" spans="1:11" s="6" customFormat="1" ht="15.75" customHeight="1">
      <c r="A59" s="22" t="s">
        <v>240</v>
      </c>
      <c r="B59" s="647">
        <f>'Roll Stock Checklist'!F43</f>
        <v>0</v>
      </c>
      <c r="C59" s="648"/>
      <c r="D59" s="15"/>
      <c r="E59" s="664" t="s">
        <v>146</v>
      </c>
      <c r="F59" s="664"/>
      <c r="G59" s="7"/>
      <c r="H59" s="21" t="s">
        <v>31</v>
      </c>
      <c r="I59" s="161">
        <f>'Roll Stock Checklist'!I39</f>
        <v>0</v>
      </c>
      <c r="J59" s="70"/>
    </row>
    <row r="60" spans="1:11" s="6" customFormat="1" ht="5.0999999999999996" customHeight="1">
      <c r="A60" s="17"/>
      <c r="B60" s="17"/>
      <c r="C60" s="17"/>
      <c r="H60" s="46"/>
      <c r="J60" s="70"/>
    </row>
    <row r="61" spans="1:11" s="6" customFormat="1" ht="15.75" customHeight="1">
      <c r="A61" s="636">
        <f>'Roll Stock Checklist'!A45</f>
        <v>0</v>
      </c>
      <c r="B61" s="641"/>
      <c r="C61" s="637"/>
      <c r="D61" s="36"/>
      <c r="E61" s="636">
        <f>'Roll Stock Checklist'!A47</f>
        <v>0</v>
      </c>
      <c r="F61" s="637"/>
      <c r="G61" s="43"/>
      <c r="H61" s="662">
        <f>B31</f>
        <v>407</v>
      </c>
      <c r="I61" s="662"/>
      <c r="J61" s="70"/>
    </row>
    <row r="62" spans="1:11" s="19" customFormat="1" ht="5.0999999999999996" customHeight="1">
      <c r="A62" s="41"/>
      <c r="B62" s="41"/>
      <c r="C62" s="41"/>
      <c r="D62" s="38"/>
      <c r="E62" s="41"/>
      <c r="F62" s="41"/>
      <c r="G62" s="44"/>
      <c r="H62" s="71"/>
      <c r="I62" s="45"/>
      <c r="J62" s="75"/>
    </row>
    <row r="63" spans="1:11" s="6" customFormat="1" ht="15.75" customHeight="1">
      <c r="A63" s="636">
        <f>'Roll Stock Checklist'!B45</f>
        <v>0</v>
      </c>
      <c r="B63" s="641"/>
      <c r="C63" s="637"/>
      <c r="D63" s="36"/>
      <c r="E63" s="636">
        <f>'Roll Stock Checklist'!B47</f>
        <v>0</v>
      </c>
      <c r="F63" s="637"/>
      <c r="G63" s="43"/>
      <c r="H63" s="659">
        <f>F31</f>
        <v>178.33</v>
      </c>
      <c r="I63" s="654"/>
      <c r="J63" s="70"/>
    </row>
    <row r="64" spans="1:11" s="6" customFormat="1" ht="5.0999999999999996" customHeight="1">
      <c r="A64" s="42"/>
      <c r="B64" s="42"/>
      <c r="C64" s="42"/>
      <c r="D64" s="38"/>
      <c r="E64" s="42"/>
      <c r="F64" s="42"/>
      <c r="G64" s="44"/>
      <c r="H64" s="659"/>
      <c r="I64" s="654"/>
      <c r="J64" s="70"/>
    </row>
    <row r="65" spans="1:10" s="6" customFormat="1" ht="15.75" customHeight="1">
      <c r="A65" s="636">
        <f>'Roll Stock Checklist'!D45</f>
        <v>0</v>
      </c>
      <c r="B65" s="641"/>
      <c r="C65" s="637"/>
      <c r="D65" s="38"/>
      <c r="E65" s="636">
        <f>'Roll Stock Checklist'!D47</f>
        <v>0</v>
      </c>
      <c r="F65" s="637"/>
      <c r="G65" s="44"/>
      <c r="H65" s="659"/>
      <c r="J65" s="70"/>
    </row>
    <row r="66" spans="1:10" s="6" customFormat="1" ht="5.0999999999999996" customHeight="1">
      <c r="A66" s="42"/>
      <c r="B66" s="42"/>
      <c r="C66" s="42"/>
      <c r="D66" s="38"/>
      <c r="E66" s="39"/>
      <c r="F66" s="39"/>
      <c r="G66" s="38"/>
      <c r="H66" s="659"/>
      <c r="I66" s="66"/>
      <c r="J66" s="70"/>
    </row>
    <row r="67" spans="1:10" s="6" customFormat="1" ht="15.75" customHeight="1">
      <c r="A67" s="636">
        <f>'Roll Stock Checklist'!F45</f>
        <v>0</v>
      </c>
      <c r="B67" s="641"/>
      <c r="C67" s="637"/>
      <c r="D67" s="38"/>
      <c r="E67" s="638">
        <f>'Roll Stock Checklist'!F47</f>
        <v>0</v>
      </c>
      <c r="F67" s="639"/>
      <c r="G67" s="38"/>
      <c r="H67" s="659"/>
      <c r="I67" s="654"/>
      <c r="J67" s="70"/>
    </row>
    <row r="68" spans="1:10" s="6" customFormat="1" ht="5.0999999999999996" customHeight="1">
      <c r="A68" s="9"/>
      <c r="B68" s="9"/>
      <c r="C68" s="9"/>
      <c r="H68" s="659"/>
      <c r="I68" s="654"/>
      <c r="J68" s="70"/>
    </row>
    <row r="69" spans="1:10" s="6" customFormat="1" ht="15.75" customHeight="1">
      <c r="A69" s="638">
        <f>'Roll Stock Checklist'!H45</f>
        <v>0</v>
      </c>
      <c r="B69" s="640"/>
      <c r="C69" s="639"/>
      <c r="E69" s="638">
        <f>'Roll Stock Checklist'!H47</f>
        <v>0</v>
      </c>
      <c r="F69" s="639"/>
      <c r="H69" s="659"/>
      <c r="I69" s="66"/>
      <c r="J69" s="70"/>
    </row>
    <row r="70" spans="1:10" s="6" customFormat="1" ht="5.0999999999999996" customHeight="1">
      <c r="A70" s="47"/>
      <c r="B70" s="47"/>
      <c r="C70" s="47"/>
      <c r="D70" s="19"/>
      <c r="E70" s="47"/>
      <c r="F70" s="47"/>
      <c r="H70" s="71"/>
      <c r="I70" s="49"/>
      <c r="J70" s="70"/>
    </row>
    <row r="71" spans="1:10" s="6" customFormat="1" ht="15" customHeight="1">
      <c r="A71" s="638">
        <f>'Roll Stock Checklist'!I45</f>
        <v>0</v>
      </c>
      <c r="B71" s="640"/>
      <c r="C71" s="639"/>
      <c r="E71" s="638">
        <f>'Roll Stock Checklist'!I47</f>
        <v>0</v>
      </c>
      <c r="F71" s="639"/>
      <c r="H71" s="71"/>
      <c r="I71" s="49"/>
      <c r="J71" s="70"/>
    </row>
    <row r="72" spans="1:10" s="6" customFormat="1" ht="5.0999999999999996" customHeight="1">
      <c r="A72" s="47"/>
      <c r="B72" s="47"/>
      <c r="C72" s="47"/>
      <c r="D72" s="19"/>
      <c r="E72" s="47"/>
      <c r="F72" s="47"/>
      <c r="H72" s="71"/>
      <c r="I72" s="49"/>
      <c r="J72" s="70"/>
    </row>
    <row r="73" spans="1:10" s="6" customFormat="1" ht="17.100000000000001" customHeight="1">
      <c r="A73" s="139" t="s">
        <v>227</v>
      </c>
      <c r="B73" s="613" t="s">
        <v>82</v>
      </c>
      <c r="C73" s="614"/>
      <c r="D73" s="14"/>
      <c r="E73" s="651" t="b">
        <f>IF(B73="Other:"," ")</f>
        <v>0</v>
      </c>
      <c r="F73" s="614"/>
      <c r="H73" s="40" t="s">
        <v>3</v>
      </c>
      <c r="I73" s="61" t="s">
        <v>219</v>
      </c>
      <c r="J73" s="70"/>
    </row>
    <row r="74" spans="1:10" s="6" customFormat="1" ht="6" customHeight="1">
      <c r="A74" s="32"/>
      <c r="B74" s="32"/>
      <c r="C74" s="47"/>
      <c r="D74" s="14"/>
      <c r="E74" s="39"/>
      <c r="F74" s="39"/>
      <c r="G74" s="19"/>
      <c r="H74" s="48"/>
      <c r="I74" s="62"/>
      <c r="J74" s="70"/>
    </row>
    <row r="75" spans="1:10" s="6" customFormat="1" ht="21" customHeight="1">
      <c r="A75" s="3" t="s">
        <v>106</v>
      </c>
      <c r="B75" s="3"/>
      <c r="C75" s="8"/>
      <c r="D75" s="8"/>
      <c r="E75" s="8"/>
      <c r="F75" s="8"/>
      <c r="G75" s="8"/>
      <c r="H75" s="8"/>
      <c r="I75" s="8"/>
      <c r="J75" s="70"/>
    </row>
    <row r="76" spans="1:10" s="6" customFormat="1" ht="6" customHeight="1">
      <c r="J76" s="70"/>
    </row>
    <row r="77" spans="1:10" s="6" customFormat="1" ht="18.75" customHeight="1">
      <c r="A77" s="22" t="s">
        <v>54</v>
      </c>
      <c r="B77" s="627">
        <f>'Roll Stock Checklist'!B7</f>
        <v>0</v>
      </c>
      <c r="C77" s="627"/>
      <c r="D77" s="627"/>
      <c r="E77" s="627"/>
      <c r="F77" s="628"/>
      <c r="G77" s="12"/>
      <c r="H77" s="37" t="s">
        <v>33</v>
      </c>
      <c r="I77" s="146">
        <f>I3</f>
        <v>0</v>
      </c>
      <c r="J77" s="70"/>
    </row>
    <row r="78" spans="1:10" s="6" customFormat="1" ht="6" customHeight="1">
      <c r="J78" s="70"/>
    </row>
    <row r="79" spans="1:10" s="6" customFormat="1" ht="18" customHeight="1">
      <c r="A79" s="22" t="s">
        <v>131</v>
      </c>
      <c r="B79" s="134">
        <f>B11</f>
        <v>0</v>
      </c>
      <c r="C79" s="632">
        <f>'Roll Stock Checklist'!C11</f>
        <v>0</v>
      </c>
      <c r="D79" s="632"/>
      <c r="E79" s="632"/>
      <c r="F79" s="633"/>
      <c r="G79" s="12"/>
      <c r="H79" s="23" t="s">
        <v>36</v>
      </c>
      <c r="I79" s="107">
        <f>I15</f>
        <v>0</v>
      </c>
      <c r="J79" s="70"/>
    </row>
    <row r="80" spans="1:10" s="6" customFormat="1" ht="6" customHeight="1">
      <c r="A80"/>
      <c r="B80"/>
      <c r="C80"/>
      <c r="D80"/>
      <c r="E80"/>
      <c r="F80"/>
      <c r="G80"/>
      <c r="H80"/>
      <c r="I80"/>
      <c r="J80" s="70"/>
    </row>
    <row r="81" spans="1:10" s="6" customFormat="1" ht="18" customHeight="1">
      <c r="A81"/>
      <c r="B81"/>
      <c r="C81"/>
      <c r="D81"/>
      <c r="E81"/>
      <c r="F81"/>
      <c r="G81"/>
      <c r="H81" s="23" t="s">
        <v>274</v>
      </c>
      <c r="I81" s="132">
        <f>'Roll Stock Checklist'!B5</f>
        <v>0</v>
      </c>
      <c r="J81" s="70"/>
    </row>
    <row r="82" spans="1:10" s="6" customFormat="1" ht="6" customHeight="1">
      <c r="A82"/>
      <c r="B82"/>
      <c r="C82"/>
      <c r="D82"/>
      <c r="E82"/>
      <c r="F82"/>
      <c r="G82"/>
      <c r="H82"/>
      <c r="I82"/>
      <c r="J82" s="70"/>
    </row>
    <row r="83" spans="1:10" s="6" customFormat="1" ht="18.75" customHeight="1">
      <c r="A83" s="25" t="s">
        <v>46</v>
      </c>
      <c r="B83" s="634">
        <f>D19</f>
        <v>0</v>
      </c>
      <c r="C83" s="634"/>
      <c r="D83" s="634"/>
      <c r="E83" s="634"/>
      <c r="F83" s="635"/>
      <c r="G83"/>
      <c r="H83" s="23" t="s">
        <v>55</v>
      </c>
      <c r="I83" s="108">
        <f>I17</f>
        <v>0</v>
      </c>
      <c r="J83" s="70"/>
    </row>
    <row r="84" spans="1:10" s="6" customFormat="1" ht="6" customHeight="1">
      <c r="A84"/>
      <c r="B84"/>
      <c r="C84"/>
      <c r="D84"/>
      <c r="E84"/>
      <c r="F84"/>
      <c r="G84"/>
      <c r="H84"/>
      <c r="I84"/>
      <c r="J84" s="70"/>
    </row>
    <row r="85" spans="1:10" s="6" customFormat="1" ht="18.75" customHeight="1">
      <c r="A85" s="23" t="s">
        <v>108</v>
      </c>
      <c r="B85" s="643">
        <f>B7</f>
        <v>0</v>
      </c>
      <c r="C85" s="644"/>
      <c r="D85" s="60"/>
      <c r="E85" s="120" t="s">
        <v>24</v>
      </c>
      <c r="F85" s="116">
        <f>F7</f>
        <v>0</v>
      </c>
      <c r="G85" s="12"/>
      <c r="H85" s="119" t="s">
        <v>134</v>
      </c>
      <c r="I85" s="114">
        <f>I7</f>
        <v>0</v>
      </c>
      <c r="J85" s="70"/>
    </row>
    <row r="86" spans="1:10" s="6" customFormat="1" ht="6" customHeight="1">
      <c r="A86" s="78"/>
      <c r="B86" s="78"/>
      <c r="C86" s="78"/>
      <c r="D86" s="78"/>
      <c r="E86" s="78"/>
      <c r="F86" s="78"/>
      <c r="G86" s="78"/>
      <c r="H86" s="78"/>
      <c r="I86" s="78"/>
      <c r="J86" s="70"/>
    </row>
    <row r="87" spans="1:10" s="85" customFormat="1">
      <c r="A87" s="86"/>
      <c r="B87" s="86"/>
      <c r="C87" s="86"/>
      <c r="D87" s="86"/>
      <c r="E87" s="86"/>
      <c r="F87" s="86"/>
      <c r="G87" s="86"/>
      <c r="H87" s="86"/>
      <c r="I87" s="86"/>
      <c r="J87" s="126"/>
    </row>
    <row r="88" spans="1:10" s="6" customFormat="1">
      <c r="A88" s="79"/>
      <c r="B88" s="79"/>
      <c r="C88" s="79"/>
      <c r="D88" s="79"/>
      <c r="E88" s="79"/>
      <c r="F88" s="79"/>
      <c r="G88" s="79"/>
      <c r="H88" s="79"/>
      <c r="I88" s="79"/>
      <c r="J88" s="70"/>
    </row>
    <row r="89" spans="1:10" s="6" customFormat="1">
      <c r="A89" s="79"/>
      <c r="B89" s="79"/>
      <c r="C89" s="79"/>
      <c r="D89" s="79"/>
      <c r="E89" s="79"/>
      <c r="F89" s="79"/>
      <c r="G89" s="79"/>
      <c r="H89" s="79"/>
      <c r="I89" s="79"/>
      <c r="J89" s="70"/>
    </row>
    <row r="90" spans="1:10" s="6" customFormat="1">
      <c r="A90" s="79"/>
      <c r="B90" s="79"/>
      <c r="C90" s="79"/>
      <c r="D90" s="79"/>
      <c r="E90" s="79"/>
      <c r="F90" s="79"/>
      <c r="G90" s="79"/>
      <c r="H90" s="79"/>
      <c r="I90" s="79"/>
      <c r="J90" s="70"/>
    </row>
    <row r="91" spans="1:10" s="6" customFormat="1">
      <c r="A91" s="79"/>
      <c r="B91" s="79"/>
      <c r="C91" s="79"/>
      <c r="D91" s="79"/>
      <c r="E91" s="79"/>
      <c r="F91" s="79"/>
      <c r="G91" s="79"/>
      <c r="H91" s="79"/>
      <c r="I91" s="79"/>
      <c r="J91" s="70"/>
    </row>
    <row r="92" spans="1:10" s="6" customFormat="1">
      <c r="A92" s="79"/>
      <c r="B92" s="79"/>
      <c r="C92" s="79"/>
      <c r="D92" s="79"/>
      <c r="E92" s="79"/>
      <c r="F92" s="79"/>
      <c r="G92" s="79"/>
      <c r="H92" s="79"/>
      <c r="I92" s="79"/>
      <c r="J92" s="70"/>
    </row>
    <row r="93" spans="1:10" s="6" customFormat="1">
      <c r="A93" s="79"/>
      <c r="B93" s="79"/>
      <c r="C93" s="79"/>
      <c r="D93" s="79"/>
      <c r="E93" s="79"/>
      <c r="F93" s="79"/>
      <c r="G93" s="79"/>
      <c r="H93" s="79"/>
      <c r="I93" s="79"/>
      <c r="J93" s="70"/>
    </row>
    <row r="94" spans="1:10" s="6" customFormat="1">
      <c r="A94" s="79"/>
      <c r="B94" s="79"/>
      <c r="C94" s="79"/>
      <c r="D94" s="79"/>
      <c r="E94" s="79"/>
      <c r="F94" s="79"/>
      <c r="G94" s="79"/>
      <c r="H94" s="79"/>
      <c r="I94" s="79"/>
      <c r="J94" s="70"/>
    </row>
    <row r="95" spans="1:10" s="6" customFormat="1">
      <c r="A95" s="79"/>
      <c r="B95" s="79"/>
      <c r="C95" s="79"/>
      <c r="D95" s="79"/>
      <c r="E95" s="79"/>
      <c r="F95" s="79"/>
      <c r="G95" s="79"/>
      <c r="H95" s="79"/>
      <c r="I95" s="79"/>
      <c r="J95" s="70"/>
    </row>
    <row r="96" spans="1:10" s="6" customFormat="1">
      <c r="A96" s="79"/>
      <c r="B96" s="79"/>
      <c r="C96" s="79"/>
      <c r="D96" s="79"/>
      <c r="E96" s="79"/>
      <c r="F96" s="79"/>
      <c r="G96" s="79"/>
      <c r="H96" s="79"/>
      <c r="I96" s="79"/>
      <c r="J96" s="70"/>
    </row>
    <row r="97" spans="1:11" s="6" customFormat="1">
      <c r="A97" s="79"/>
      <c r="B97" s="79"/>
      <c r="C97" s="79"/>
      <c r="D97" s="79"/>
      <c r="E97" s="79"/>
      <c r="F97" s="79"/>
      <c r="G97" s="79"/>
      <c r="H97" s="79"/>
      <c r="I97" s="79"/>
      <c r="J97" s="70"/>
    </row>
    <row r="98" spans="1:11" s="6" customFormat="1">
      <c r="A98" s="79"/>
      <c r="B98" s="79"/>
      <c r="C98" s="79"/>
      <c r="D98" s="79"/>
      <c r="E98" s="79"/>
      <c r="F98" s="79"/>
      <c r="G98" s="79"/>
      <c r="H98" s="79"/>
      <c r="I98" s="79"/>
      <c r="J98" s="70"/>
    </row>
    <row r="99" spans="1:11" s="6" customFormat="1">
      <c r="A99" s="79"/>
      <c r="B99" s="79"/>
      <c r="C99" s="79"/>
      <c r="D99" s="79"/>
      <c r="E99" s="79"/>
      <c r="F99" s="79"/>
      <c r="G99" s="79"/>
      <c r="H99" s="79"/>
      <c r="I99" s="79"/>
      <c r="J99" s="70"/>
    </row>
    <row r="100" spans="1:11" s="6" customFormat="1">
      <c r="A100" s="79"/>
      <c r="B100" s="79"/>
      <c r="C100" s="79"/>
      <c r="D100" s="79"/>
      <c r="E100" s="79"/>
      <c r="F100" s="79"/>
      <c r="G100" s="79"/>
      <c r="H100" s="79"/>
      <c r="I100" s="79"/>
      <c r="J100" s="70"/>
    </row>
    <row r="101" spans="1:11" s="6" customFormat="1">
      <c r="A101" s="79"/>
      <c r="B101" s="79"/>
      <c r="C101" s="79"/>
      <c r="D101" s="79"/>
      <c r="E101" s="79"/>
      <c r="F101" s="79"/>
      <c r="G101" s="79"/>
      <c r="H101" s="79"/>
      <c r="I101" s="79"/>
      <c r="J101" s="70"/>
    </row>
    <row r="102" spans="1:11" s="6" customFormat="1">
      <c r="A102" s="79"/>
      <c r="B102" s="79"/>
      <c r="C102" s="79"/>
      <c r="D102" s="79"/>
      <c r="E102" s="79"/>
      <c r="F102" s="79"/>
      <c r="G102" s="79"/>
      <c r="H102" s="79"/>
      <c r="I102" s="79"/>
      <c r="J102" s="70"/>
    </row>
    <row r="103" spans="1:11" s="6" customFormat="1">
      <c r="A103" s="79"/>
      <c r="B103" s="79"/>
      <c r="C103" s="79"/>
      <c r="D103" s="79"/>
      <c r="E103" s="79"/>
      <c r="F103" s="79"/>
      <c r="G103" s="79"/>
      <c r="H103" s="79"/>
      <c r="I103" s="79"/>
      <c r="J103" s="70"/>
      <c r="K103" s="6" t="str">
        <f>IF(' S+R'!F17=1,ICM!B29,IF(' S+R'!F17=2,ICM!B29,IF(' S+R'!F17=3,ICM!B27,IF(' S+R'!F17=4,ICM!B27,IF(' S+R'!F17=5,ICM!B27,IF(' S+R'!F17=6,ICM!B27,IF(' S+R'!F17=7,ICM!B27,IF(' S+R'!F17=8,ICM!B27,""))))))))</f>
        <v/>
      </c>
    </row>
    <row r="104" spans="1:11" s="6" customFormat="1">
      <c r="A104" s="79"/>
      <c r="B104" s="79"/>
      <c r="C104" s="79"/>
      <c r="D104" s="79"/>
      <c r="E104" s="79"/>
      <c r="F104" s="79"/>
      <c r="G104" s="79"/>
      <c r="H104" s="79"/>
      <c r="I104" s="79"/>
      <c r="J104" s="70"/>
    </row>
    <row r="105" spans="1:11" s="6" customFormat="1">
      <c r="A105" s="79"/>
      <c r="B105" s="79"/>
      <c r="C105" s="79"/>
      <c r="D105" s="79"/>
      <c r="E105" s="79"/>
      <c r="F105" s="79"/>
      <c r="G105" s="79"/>
      <c r="H105" s="79"/>
      <c r="I105" s="79"/>
      <c r="J105" s="70"/>
    </row>
    <row r="106" spans="1:11" s="6" customFormat="1">
      <c r="A106" s="79"/>
      <c r="B106" s="79"/>
      <c r="C106" s="79"/>
      <c r="D106" s="79"/>
      <c r="E106" s="79"/>
      <c r="F106" s="79"/>
      <c r="G106" s="79"/>
      <c r="H106" s="79"/>
      <c r="I106" s="79"/>
      <c r="J106" s="70"/>
    </row>
    <row r="107" spans="1:11" s="6" customFormat="1">
      <c r="A107" s="79"/>
      <c r="B107" s="79"/>
      <c r="C107" s="79"/>
      <c r="D107" s="79"/>
      <c r="E107" s="79"/>
      <c r="F107" s="79"/>
      <c r="G107" s="79"/>
      <c r="H107" s="79"/>
      <c r="I107" s="79"/>
      <c r="J107" s="70"/>
    </row>
    <row r="108" spans="1:11" s="6" customFormat="1">
      <c r="A108" s="79"/>
      <c r="B108" s="79"/>
      <c r="C108" s="79"/>
      <c r="D108" s="79"/>
      <c r="E108" s="79"/>
      <c r="F108" s="79"/>
      <c r="G108" s="79"/>
      <c r="H108" s="79"/>
      <c r="I108" s="79"/>
      <c r="J108" s="70"/>
    </row>
    <row r="109" spans="1:11" s="6" customFormat="1">
      <c r="A109" s="79"/>
      <c r="B109" s="79"/>
      <c r="C109" s="79"/>
      <c r="D109" s="79"/>
      <c r="E109" s="79"/>
      <c r="F109" s="79"/>
      <c r="G109" s="79"/>
      <c r="H109" s="79"/>
      <c r="I109" s="79"/>
      <c r="J109" s="70"/>
    </row>
    <row r="110" spans="1:11" s="6" customFormat="1">
      <c r="A110" s="79"/>
      <c r="B110" s="79"/>
      <c r="C110" s="79"/>
      <c r="D110" s="79"/>
      <c r="E110" s="79"/>
      <c r="F110" s="79"/>
      <c r="G110" s="79"/>
      <c r="H110" s="79"/>
      <c r="I110" s="79"/>
      <c r="J110" s="70"/>
    </row>
    <row r="111" spans="1:11" s="6" customFormat="1">
      <c r="A111" s="79"/>
      <c r="B111" s="79"/>
      <c r="C111" s="79"/>
      <c r="D111" s="79"/>
      <c r="E111" s="79"/>
      <c r="F111" s="79"/>
      <c r="G111" s="79"/>
      <c r="H111" s="79"/>
      <c r="I111" s="79"/>
      <c r="J111" s="70"/>
    </row>
    <row r="112" spans="1:11" s="6" customFormat="1">
      <c r="A112" s="79"/>
      <c r="B112" s="79"/>
      <c r="C112" s="79"/>
      <c r="D112" s="79"/>
      <c r="E112" s="79"/>
      <c r="F112" s="79"/>
      <c r="G112" s="79"/>
      <c r="H112" s="79"/>
      <c r="I112" s="79"/>
      <c r="J112" s="70"/>
    </row>
    <row r="113" spans="1:10" s="6" customFormat="1">
      <c r="A113" s="79"/>
      <c r="B113" s="79"/>
      <c r="C113" s="79"/>
      <c r="D113" s="79"/>
      <c r="E113" s="79"/>
      <c r="F113" s="79"/>
      <c r="G113" s="79"/>
      <c r="H113" s="79"/>
      <c r="I113" s="79"/>
      <c r="J113" s="70"/>
    </row>
    <row r="114" spans="1:10" s="6" customFormat="1">
      <c r="A114" s="79"/>
      <c r="B114" s="79"/>
      <c r="C114" s="79"/>
      <c r="D114" s="79"/>
      <c r="E114" s="79"/>
      <c r="F114" s="79"/>
      <c r="G114" s="79"/>
      <c r="H114" s="79"/>
      <c r="I114" s="79"/>
      <c r="J114" s="70"/>
    </row>
    <row r="115" spans="1:10" s="6" customFormat="1">
      <c r="A115" s="79"/>
      <c r="B115" s="79"/>
      <c r="C115" s="79"/>
      <c r="D115" s="79"/>
      <c r="E115" s="79"/>
      <c r="F115" s="79"/>
      <c r="G115" s="79"/>
      <c r="H115" s="79"/>
      <c r="I115" s="79"/>
      <c r="J115" s="70"/>
    </row>
    <row r="116" spans="1:10" s="6" customFormat="1">
      <c r="A116" s="79"/>
      <c r="B116" s="79"/>
      <c r="C116" s="79"/>
      <c r="D116" s="79"/>
      <c r="E116" s="79"/>
      <c r="F116" s="79"/>
      <c r="G116" s="79"/>
      <c r="H116" s="79"/>
      <c r="I116" s="79"/>
      <c r="J116" s="70"/>
    </row>
    <row r="117" spans="1:10" s="6" customFormat="1">
      <c r="A117" s="79"/>
      <c r="B117" s="79"/>
      <c r="C117" s="79"/>
      <c r="D117" s="79"/>
      <c r="E117" s="79"/>
      <c r="F117" s="79"/>
      <c r="G117" s="79"/>
      <c r="H117" s="79"/>
      <c r="I117" s="79"/>
      <c r="J117" s="70"/>
    </row>
    <row r="118" spans="1:10" s="6" customFormat="1">
      <c r="A118" s="79"/>
      <c r="B118" s="79"/>
      <c r="C118" s="79"/>
      <c r="D118" s="79"/>
      <c r="E118" s="79"/>
      <c r="F118" s="79"/>
      <c r="G118" s="79"/>
      <c r="H118" s="79"/>
      <c r="I118" s="79"/>
      <c r="J118" s="70"/>
    </row>
    <row r="119" spans="1:10" s="6" customFormat="1">
      <c r="A119" s="79"/>
      <c r="B119" s="79"/>
      <c r="C119" s="79"/>
      <c r="D119" s="79"/>
      <c r="E119" s="79"/>
      <c r="F119" s="79"/>
      <c r="G119" s="79"/>
      <c r="H119" s="79"/>
      <c r="I119" s="79"/>
      <c r="J119" s="70"/>
    </row>
    <row r="120" spans="1:10" s="6" customFormat="1">
      <c r="A120" s="79"/>
      <c r="B120" s="79"/>
      <c r="C120" s="79"/>
      <c r="D120" s="79"/>
      <c r="E120" s="79"/>
      <c r="F120" s="79"/>
      <c r="G120" s="79"/>
      <c r="H120" s="79"/>
      <c r="I120" s="79"/>
      <c r="J120" s="70"/>
    </row>
    <row r="121" spans="1:10" s="6" customFormat="1">
      <c r="A121" s="79"/>
      <c r="B121" s="79"/>
      <c r="C121" s="79"/>
      <c r="D121" s="79"/>
      <c r="E121" s="79"/>
      <c r="F121" s="79"/>
      <c r="G121" s="79"/>
      <c r="H121" s="79"/>
      <c r="I121" s="79"/>
      <c r="J121" s="70"/>
    </row>
    <row r="122" spans="1:10" s="6" customFormat="1">
      <c r="A122" s="79"/>
      <c r="B122" s="79"/>
      <c r="C122" s="79"/>
      <c r="D122" s="79"/>
      <c r="E122" s="79"/>
      <c r="F122" s="79"/>
      <c r="G122" s="79"/>
      <c r="H122" s="79"/>
      <c r="I122" s="79"/>
      <c r="J122" s="70"/>
    </row>
    <row r="123" spans="1:10" s="6" customFormat="1">
      <c r="A123" s="79"/>
      <c r="B123" s="79"/>
      <c r="C123" s="79"/>
      <c r="D123" s="79"/>
      <c r="E123" s="79"/>
      <c r="F123" s="79"/>
      <c r="G123" s="79"/>
      <c r="H123" s="79"/>
      <c r="I123" s="79"/>
      <c r="J123" s="70"/>
    </row>
    <row r="124" spans="1:10" s="6" customFormat="1">
      <c r="A124" s="79"/>
      <c r="B124" s="79"/>
      <c r="C124" s="79"/>
      <c r="D124" s="79"/>
      <c r="E124" s="79"/>
      <c r="F124" s="79"/>
      <c r="G124" s="79"/>
      <c r="H124" s="79"/>
      <c r="I124" s="79"/>
      <c r="J124" s="70"/>
    </row>
    <row r="125" spans="1:10" s="6" customFormat="1">
      <c r="A125" s="79"/>
      <c r="B125" s="79"/>
      <c r="C125" s="79"/>
      <c r="D125" s="79"/>
      <c r="E125" s="79"/>
      <c r="F125" s="79"/>
      <c r="G125" s="79"/>
      <c r="H125" s="79"/>
      <c r="I125" s="79"/>
      <c r="J125" s="70"/>
    </row>
    <row r="126" spans="1:10" s="6" customFormat="1">
      <c r="A126" s="79"/>
      <c r="B126" s="79"/>
      <c r="C126" s="79"/>
      <c r="D126" s="79"/>
      <c r="E126" s="79"/>
      <c r="F126" s="79"/>
      <c r="G126" s="79"/>
      <c r="H126" s="79"/>
      <c r="I126" s="79"/>
      <c r="J126" s="70"/>
    </row>
    <row r="127" spans="1:10" s="6" customFormat="1">
      <c r="A127" s="79"/>
      <c r="B127" s="79"/>
      <c r="C127" s="79"/>
      <c r="D127" s="79"/>
      <c r="E127" s="79"/>
      <c r="F127" s="79"/>
      <c r="G127" s="79"/>
      <c r="H127" s="79"/>
      <c r="I127" s="79"/>
      <c r="J127" s="70"/>
    </row>
    <row r="128" spans="1:10" s="6" customFormat="1">
      <c r="A128" s="79"/>
      <c r="B128" s="79"/>
      <c r="C128" s="79"/>
      <c r="D128" s="79"/>
      <c r="E128" s="79"/>
      <c r="F128" s="79"/>
      <c r="G128" s="79"/>
      <c r="H128" s="79"/>
      <c r="I128" s="79"/>
      <c r="J128" s="70"/>
    </row>
    <row r="129" spans="1:10" s="6" customFormat="1">
      <c r="A129" s="79"/>
      <c r="B129" s="79"/>
      <c r="C129" s="79"/>
      <c r="D129" s="79"/>
      <c r="E129" s="79"/>
      <c r="F129" s="79"/>
      <c r="G129" s="79"/>
      <c r="H129" s="79"/>
      <c r="I129" s="79"/>
      <c r="J129" s="70"/>
    </row>
    <row r="130" spans="1:10" s="6" customFormat="1">
      <c r="A130" s="79"/>
      <c r="B130" s="79"/>
      <c r="C130" s="79"/>
      <c r="D130" s="79"/>
      <c r="E130" s="79"/>
      <c r="F130" s="79"/>
      <c r="G130" s="79"/>
      <c r="H130" s="79"/>
      <c r="I130" s="79"/>
      <c r="J130" s="70"/>
    </row>
    <row r="131" spans="1:10" s="6" customFormat="1">
      <c r="A131" s="79"/>
      <c r="B131" s="79"/>
      <c r="C131" s="79"/>
      <c r="D131" s="79"/>
      <c r="E131" s="79"/>
      <c r="F131" s="79"/>
      <c r="G131" s="79"/>
      <c r="H131" s="79"/>
      <c r="I131" s="79"/>
      <c r="J131" s="70"/>
    </row>
    <row r="132" spans="1:10" s="6" customFormat="1" ht="21" customHeight="1">
      <c r="A132" s="80"/>
      <c r="B132" s="80"/>
      <c r="C132" s="80"/>
      <c r="D132" s="80"/>
      <c r="E132" s="80"/>
      <c r="F132" s="80"/>
      <c r="G132" s="81"/>
      <c r="H132" s="64" t="s">
        <v>3</v>
      </c>
      <c r="I132" s="65" t="s">
        <v>219</v>
      </c>
      <c r="J132" s="70"/>
    </row>
    <row r="133" spans="1:10" s="6" customFormat="1" ht="6" customHeight="1">
      <c r="A133" s="63"/>
      <c r="B133" s="63"/>
      <c r="C133" s="63"/>
      <c r="D133" s="63"/>
      <c r="E133" s="63"/>
      <c r="F133" s="63"/>
      <c r="G133" s="63"/>
      <c r="J133" s="70"/>
    </row>
  </sheetData>
  <sheetProtection insertHyperlinks="0"/>
  <mergeCells count="56">
    <mergeCell ref="I63:I64"/>
    <mergeCell ref="I67:I68"/>
    <mergeCell ref="H23:I23"/>
    <mergeCell ref="H25:I25"/>
    <mergeCell ref="H63:H69"/>
    <mergeCell ref="G37:I37"/>
    <mergeCell ref="H57:I57"/>
    <mergeCell ref="H61:I61"/>
    <mergeCell ref="A38:I38"/>
    <mergeCell ref="A40:I40"/>
    <mergeCell ref="E59:F59"/>
    <mergeCell ref="B51:C51"/>
    <mergeCell ref="E65:F65"/>
    <mergeCell ref="B23:F23"/>
    <mergeCell ref="B25:F25"/>
    <mergeCell ref="E39:F39"/>
    <mergeCell ref="A39:C39"/>
    <mergeCell ref="B85:C85"/>
    <mergeCell ref="B44:C44"/>
    <mergeCell ref="B59:C59"/>
    <mergeCell ref="B41:C41"/>
    <mergeCell ref="B55:F55"/>
    <mergeCell ref="B73:C73"/>
    <mergeCell ref="B77:F77"/>
    <mergeCell ref="A63:C63"/>
    <mergeCell ref="E63:F63"/>
    <mergeCell ref="E73:F73"/>
    <mergeCell ref="A65:C65"/>
    <mergeCell ref="A69:C69"/>
    <mergeCell ref="E69:F69"/>
    <mergeCell ref="A67:C67"/>
    <mergeCell ref="B53:C53"/>
    <mergeCell ref="B83:F83"/>
    <mergeCell ref="E61:F61"/>
    <mergeCell ref="E67:F67"/>
    <mergeCell ref="A71:C71"/>
    <mergeCell ref="E71:F71"/>
    <mergeCell ref="C79:F79"/>
    <mergeCell ref="A61:C61"/>
    <mergeCell ref="D19:I19"/>
    <mergeCell ref="B3:C3"/>
    <mergeCell ref="B5:C5"/>
    <mergeCell ref="B7:C7"/>
    <mergeCell ref="B9:F9"/>
    <mergeCell ref="C11:F11"/>
    <mergeCell ref="D17:E17"/>
    <mergeCell ref="B13:F13"/>
    <mergeCell ref="B15:F15"/>
    <mergeCell ref="B17:C17"/>
    <mergeCell ref="B27:C27"/>
    <mergeCell ref="E37:F37"/>
    <mergeCell ref="B33:C33"/>
    <mergeCell ref="B35:C35"/>
    <mergeCell ref="B29:C29"/>
    <mergeCell ref="B31:C31"/>
    <mergeCell ref="B37:C37"/>
  </mergeCells>
  <phoneticPr fontId="17"/>
  <conditionalFormatting sqref="F5 B51:C51 F44 I44 F51 B53:C53">
    <cfRule type="cellIs" dxfId="42" priority="33" stopIfTrue="1" operator="equal">
      <formula>FALSE</formula>
    </cfRule>
  </conditionalFormatting>
  <conditionalFormatting sqref="L37:M37 E39:F39">
    <cfRule type="cellIs" dxfId="41" priority="34" stopIfTrue="1" operator="equal">
      <formula>FALSE</formula>
    </cfRule>
  </conditionalFormatting>
  <conditionalFormatting sqref="E73:F73">
    <cfRule type="cellIs" dxfId="40" priority="26" stopIfTrue="1" operator="equal">
      <formula>FALSE</formula>
    </cfRule>
    <cfRule type="cellIs" dxfId="39" priority="35" stopIfTrue="1" operator="equal">
      <formula>" "</formula>
    </cfRule>
  </conditionalFormatting>
  <conditionalFormatting sqref="G57">
    <cfRule type="cellIs" dxfId="38" priority="36" stopIfTrue="1" operator="equal">
      <formula>FALSE</formula>
    </cfRule>
    <cfRule type="cellIs" dxfId="37" priority="37" stopIfTrue="1" operator="equal">
      <formula>"REQUIRED!"</formula>
    </cfRule>
  </conditionalFormatting>
  <conditionalFormatting sqref="B5:C5">
    <cfRule type="cellIs" dxfId="36" priority="40" stopIfTrue="1" operator="equal">
      <formula>FALSE</formula>
    </cfRule>
    <cfRule type="cellIs" dxfId="35" priority="41" stopIfTrue="1" operator="equal">
      <formula>"Match prev PO"</formula>
    </cfRule>
  </conditionalFormatting>
  <conditionalFormatting sqref="B25:F25">
    <cfRule type="cellIs" dxfId="34" priority="52" stopIfTrue="1" operator="equal">
      <formula>0</formula>
    </cfRule>
  </conditionalFormatting>
  <conditionalFormatting sqref="G37:I37">
    <cfRule type="cellIs" dxfId="33" priority="53" stopIfTrue="1" operator="equal">
      <formula>FALSE</formula>
    </cfRule>
    <cfRule type="cellIs" dxfId="32" priority="54" stopIfTrue="1" operator="equal">
      <formula>"Indicate position here"</formula>
    </cfRule>
  </conditionalFormatting>
  <conditionalFormatting sqref="F53">
    <cfRule type="cellIs" dxfId="31" priority="55" stopIfTrue="1" operator="equal">
      <formula>FALSE</formula>
    </cfRule>
    <cfRule type="cellIs" dxfId="30" priority="56" stopIfTrue="1" operator="equal">
      <formula>"Indicate distance"</formula>
    </cfRule>
  </conditionalFormatting>
  <conditionalFormatting sqref="B9:F9">
    <cfRule type="cellIs" dxfId="29" priority="29" operator="equal">
      <formula>0</formula>
    </cfRule>
  </conditionalFormatting>
  <conditionalFormatting sqref="D17:E17">
    <cfRule type="containsErrors" dxfId="28" priority="61">
      <formula>ISERROR(D17)</formula>
    </cfRule>
  </conditionalFormatting>
  <conditionalFormatting sqref="I59 B59:C59 E61:F61 E63:F63 E65:F65 E67:F67 E69:F69 A61:C61 A63:C63 A65:C65 A67:C67 A69:C69">
    <cfRule type="cellIs" dxfId="27" priority="21" operator="equal">
      <formula>0</formula>
    </cfRule>
  </conditionalFormatting>
  <conditionalFormatting sqref="I9 I11 I13">
    <cfRule type="cellIs" dxfId="26" priority="20" operator="equal">
      <formula>0</formula>
    </cfRule>
  </conditionalFormatting>
  <conditionalFormatting sqref="C11:F11 B13:F13 B15:F15">
    <cfRule type="cellIs" dxfId="25" priority="18" operator="equal">
      <formula>0</formula>
    </cfRule>
  </conditionalFormatting>
  <conditionalFormatting sqref="F3">
    <cfRule type="cellIs" dxfId="24" priority="17" operator="equal">
      <formula>0</formula>
    </cfRule>
  </conditionalFormatting>
  <conditionalFormatting sqref="B27 B29 F29 B23:F23">
    <cfRule type="cellIs" dxfId="23" priority="16" operator="equal">
      <formula>0</formula>
    </cfRule>
  </conditionalFormatting>
  <conditionalFormatting sqref="H25:I25 I31">
    <cfRule type="cellIs" dxfId="22" priority="15" operator="equal">
      <formula>FALSE</formula>
    </cfRule>
  </conditionalFormatting>
  <conditionalFormatting sqref="I33 I35">
    <cfRule type="cellIs" dxfId="21" priority="8" operator="equal">
      <formula>"None"</formula>
    </cfRule>
    <cfRule type="cellIs" dxfId="20" priority="9" operator="equal">
      <formula>FALSE</formula>
    </cfRule>
    <cfRule type="cellIs" dxfId="19" priority="14" operator="equal">
      <formula>" "</formula>
    </cfRule>
  </conditionalFormatting>
  <conditionalFormatting sqref="H33">
    <cfRule type="cellIs" dxfId="18" priority="5" operator="equal">
      <formula>"None"</formula>
    </cfRule>
    <cfRule type="cellIs" dxfId="17" priority="6" operator="equal">
      <formula>FALSE</formula>
    </cfRule>
    <cfRule type="cellIs" dxfId="16" priority="7" operator="equal">
      <formula>"# Images AC Web:"</formula>
    </cfRule>
  </conditionalFormatting>
  <conditionalFormatting sqref="H35">
    <cfRule type="cellIs" dxfId="15" priority="2" operator="equal">
      <formula>"None"</formula>
    </cfRule>
    <cfRule type="cellIs" dxfId="14" priority="3" operator="equal">
      <formula>FALSE</formula>
    </cfRule>
    <cfRule type="cellIs" dxfId="13" priority="4" operator="equal">
      <formula>"# Images AR Cyl.:"</formula>
    </cfRule>
  </conditionalFormatting>
  <conditionalFormatting sqref="E71:F71 A71:C71">
    <cfRule type="cellIs" dxfId="12" priority="1" operator="equal">
      <formula>0</formula>
    </cfRule>
  </conditionalFormatting>
  <dataValidations xWindow="418" yWindow="632" count="41">
    <dataValidation type="list" showInputMessage="1" showErrorMessage="1" sqref="I17">
      <formula1>"BH, Isa, Larry, Victoria"</formula1>
    </dataValidation>
    <dataValidation type="list" showInputMessage="1" showErrorMessage="1" sqref="C74">
      <formula1>"Clear, White, Metalized, N/A, Other:"</formula1>
    </dataValidation>
    <dataValidation type="textLength" showInputMessage="1" showErrorMessage="1" sqref="I3">
      <formula1>1</formula1>
      <formula2>10</formula2>
    </dataValidation>
    <dataValidation type="decimal" showInputMessage="1" showErrorMessage="1" sqref="I27">
      <formula1>300</formula1>
      <formula2>800</formula2>
    </dataValidation>
    <dataValidation type="decimal" showInputMessage="1" showErrorMessage="1" sqref="F59">
      <formula1>1</formula1>
      <formula2>2000</formula2>
    </dataValidation>
    <dataValidation showInputMessage="1" showErrorMessage="1" sqref="I7 I85 F27"/>
    <dataValidation type="textLength" allowBlank="1" showInputMessage="1" showErrorMessage="1" prompt="If applicable, enter back image length (around cylinder)." sqref="F35">
      <formula1>1</formula1>
      <formula2>15</formula2>
    </dataValidation>
    <dataValidation type="textLength" allowBlank="1" showInputMessage="1" showErrorMessage="1" sqref="I5">
      <formula1>1</formula1>
      <formula2>20</formula2>
    </dataValidation>
    <dataValidation type="textLength" allowBlank="1" showInputMessage="1" showErrorMessage="1" sqref="E74:F74">
      <formula1>1</formula1>
      <formula2>50</formula2>
    </dataValidation>
    <dataValidation type="list" showInputMessage="1" showErrorMessage="1" prompt="Match Prev PO or All New?" sqref="B5:C5">
      <formula1>"Match prev PO, All new plates"</formula1>
    </dataValidation>
    <dataValidation type="list" showInputMessage="1" showErrorMessage="1" prompt="Select option from list." sqref="F5">
      <formula1>"Please confirm, All, N/A, 1,2,3,4,5,6,7,8,9,10,11,12"</formula1>
    </dataValidation>
    <dataValidation type="list" showInputMessage="1" showErrorMessage="1" prompt="&quot;No&quot; is the default. Please verify." sqref="I41">
      <formula1>"No, Yes"</formula1>
    </dataValidation>
    <dataValidation type="decimal" showInputMessage="1" showErrorMessage="1" prompt="Enter point to point for stepping. This figure must include trim if applicable." sqref="B41:C41">
      <formula1>0.1</formula1>
      <formula2>1000</formula2>
    </dataValidation>
    <dataValidation type="textLength" showInputMessage="1" showErrorMessage="1" prompt="Right click to &quot;pick from list&quot; OR manually enter eyespot size." sqref="I44">
      <formula1>1</formula1>
      <formula2>15</formula2>
    </dataValidation>
    <dataValidation type="list" showInputMessage="1" showErrorMessage="1" prompt="Are die cavity numbers required?" sqref="I55">
      <formula1>"No, Yes (see layout)"</formula1>
    </dataValidation>
    <dataValidation type="textLength" allowBlank="1" showInputMessage="1" showErrorMessage="1" prompt="Enter &quot;Other&quot; distance, if applicable." sqref="F53">
      <formula1>1</formula1>
      <formula2>15</formula2>
    </dataValidation>
    <dataValidation type="textLength" showInputMessage="1" showErrorMessage="1" prompt="Insert package length (around cylinder)." sqref="F31">
      <formula1>1</formula1>
      <formula2>15</formula2>
    </dataValidation>
    <dataValidation type="textLength" showInputMessage="1" showErrorMessage="1" prompt="Enter image length (around cylinder)." sqref="F33">
      <formula1>1</formula1>
      <formula2>15</formula2>
    </dataValidation>
    <dataValidation type="list" showInputMessage="1" showErrorMessage="1" sqref="I83">
      <formula1>"BH,Isa,Larry,Victoria"</formula1>
    </dataValidation>
    <dataValidation type="textLength" allowBlank="1" showInputMessage="1" showErrorMessage="1" prompt="Indicate mm from a specific edge." sqref="G37:I37">
      <formula1>1</formula1>
      <formula2>100</formula2>
    </dataValidation>
    <dataValidation type="textLength" showInputMessage="1" showErrorMessage="1" prompt="Insert package width (across web)." sqref="B31:C31">
      <formula1>0</formula1>
      <formula2>15</formula2>
    </dataValidation>
    <dataValidation type="textLength" showInputMessage="1" showErrorMessage="1" prompt="Enter package width (across web)." sqref="B33:C33">
      <formula1>1</formula1>
      <formula2>15</formula2>
    </dataValidation>
    <dataValidation type="textLength" allowBlank="1" showInputMessage="1" showErrorMessage="1" prompt="If applicable, enter back image width (across web)." sqref="B35:C35">
      <formula1>1</formula1>
      <formula2>15</formula2>
    </dataValidation>
    <dataValidation type="list" showInputMessage="1" showErrorMessage="1" prompt="Select required option." sqref="B37:C37">
      <formula1>"Yes,No,Random,See Comments,See Drawing"</formula1>
    </dataValidation>
    <dataValidation type="list" showInputMessage="1" showErrorMessage="1" sqref="B44:C44">
      <formula1>"Yes, No"</formula1>
    </dataValidation>
    <dataValidation type="list" allowBlank="1" showInputMessage="1" showErrorMessage="1" sqref="B55:F55">
      <formula1>"N/A,Fill in web, Other (see comments / layout sketch)"</formula1>
    </dataValidation>
    <dataValidation type="list" showInputMessage="1" showErrorMessage="1" sqref="B3:C3">
      <formula1>"New Item, RWC"</formula1>
    </dataValidation>
    <dataValidation type="list" showInputMessage="1" showErrorMessage="1" prompt="&quot;Clear&quot; is the default. Please verify." sqref="B73:C73">
      <formula1>"Clear, White, Metalized, N/A, Other:"</formula1>
    </dataValidation>
    <dataValidation type="list" showInputMessage="1" showErrorMessage="1" sqref="F51">
      <formula1>"Every Repeat,Every 2 Repeats,Every 3 Repeats,Every 4 Repeats,See Layout,See Comments"</formula1>
    </dataValidation>
    <dataValidation type="list" showInputMessage="1" showErrorMessage="1" sqref="B51:C51">
      <formula1>"1,2,3,4,See Layout"</formula1>
    </dataValidation>
    <dataValidation type="list" showInputMessage="1" showErrorMessage="1" sqref="B53:C53">
      <formula1>"Std (3mm),2mm,1.5mm,1mm,Centered,Other,See Layout,Per 1 up PDF,N/A"</formula1>
    </dataValidation>
    <dataValidation type="textLength" showInputMessage="1" showErrorMessage="1" prompt="Enter image repeat. If there is trim, enter &quot;See Layout&quot;." sqref="F41">
      <formula1>1</formula1>
      <formula2>15</formula2>
    </dataValidation>
    <dataValidation allowBlank="1" showInputMessage="1" showErrorMessage="1" prompt="If this request doesn't apply to all items, indicate applicable # of items (out of total). Example: 2 of 5." sqref="I79 I81"/>
    <dataValidation type="list" allowBlank="1" showInputMessage="1" showErrorMessage="1" prompt="&quot;Yes&quot; is the default. PLEASE VERIFY." sqref="I53">
      <formula1>"Yes,No (see drawing)"</formula1>
    </dataValidation>
    <dataValidation type="list" allowBlank="1" showInputMessage="1" showErrorMessage="1" prompt="When field is YELLOW, select pertinent number" sqref="D17:E17">
      <formula1>"611,621"</formula1>
    </dataValidation>
    <dataValidation allowBlank="1" showInputMessage="1" showErrorMessage="1" prompt="ONLY for continuous print, enter # of images printing across web if known" sqref="H33:I33"/>
    <dataValidation allowBlank="1" showInputMessage="1" showErrorMessage="1" prompt="ONLY for continuous print, enter # of images printing around cylinder if known" sqref="H35:I35"/>
    <dataValidation type="list" showInputMessage="1" showErrorMessage="1" prompt="Select colour from list. Select &quot;see comments&quot; for special colours or instructions." sqref="F44">
      <formula1>"N/A, Black,Black / OL,Spot Black,Spot Black / OL ,Blue,Brown,Burgundy,Green,White, Clear,See Comments "</formula1>
    </dataValidation>
    <dataValidation type="list" allowBlank="1" showInputMessage="1" showErrorMessage="1" sqref="D19:I19 B83:F83">
      <formula1>"N/A, 1 up PDF, Stepped PDF, 1 up &amp; Stepped PDF, Contract Proof, Rev 1 up PDF, Rev Stepped PDF, Rev 1 up &amp; Stepped PDF, Rev Contract Proof, 100% Content Proof, 100% Stepped Proof, Rev 100% Content Proof, Rev 100% Stepped Proof, Other (see comments)"</formula1>
    </dataValidation>
    <dataValidation type="textLength" showInputMessage="1" showErrorMessage="1" prompt="ONLY if laminated to &quot;Other&quot;, enter description here." sqref="E73:F73">
      <formula1>0</formula1>
      <formula2>30</formula2>
    </dataValidation>
    <dataValidation allowBlank="1" showInputMessage="1" showErrorMessage="1" prompt="Enter item # (and revision # if applicable). Example: 3-R2" sqref="B11"/>
  </dataValidations>
  <printOptions horizontalCentered="1"/>
  <pageMargins left="0.5" right="0.5" top="0.25" bottom="0.5" header="0.5" footer="0.13"/>
  <pageSetup orientation="portrait" horizontalDpi="4294967292" verticalDpi="4294967292" r:id="rId1"/>
  <headerFooter alignWithMargins="0">
    <oddFooter>&amp;L&amp;9&amp;K000000Issue Date: 1 Feb 2016&amp;C&amp;9Revision No.: 0&amp;R&amp;9&amp;K000000Revision Date: N/A</oddFooter>
  </headerFooter>
  <rowBreaks count="1" manualBreakCount="1">
    <brk id="73"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3313" r:id="rId4" name="Check Box 1">
              <controlPr defaultSize="0" autoFill="0" autoLine="0" autoPict="0">
                <anchor moveWithCells="1">
                  <from>
                    <xdr:col>5</xdr:col>
                    <xdr:colOff>285750</xdr:colOff>
                    <xdr:row>56</xdr:row>
                    <xdr:rowOff>152400</xdr:rowOff>
                  </from>
                  <to>
                    <xdr:col>5</xdr:col>
                    <xdr:colOff>628650</xdr:colOff>
                    <xdr:row>58</xdr:row>
                    <xdr:rowOff>104775</xdr:rowOff>
                  </to>
                </anchor>
              </controlPr>
            </control>
          </mc:Choice>
        </mc:AlternateContent>
        <mc:AlternateContent xmlns:mc="http://schemas.openxmlformats.org/markup-compatibility/2006">
          <mc:Choice Requires="x14">
            <control shapeId="13314" r:id="rId5" name="Check Box 2">
              <controlPr defaultSize="0" autoFill="0" autoLine="0" autoPict="0">
                <anchor moveWithCells="1">
                  <from>
                    <xdr:col>5</xdr:col>
                    <xdr:colOff>285750</xdr:colOff>
                    <xdr:row>56</xdr:row>
                    <xdr:rowOff>152400</xdr:rowOff>
                  </from>
                  <to>
                    <xdr:col>5</xdr:col>
                    <xdr:colOff>628650</xdr:colOff>
                    <xdr:row>58</xdr:row>
                    <xdr:rowOff>104775</xdr:rowOff>
                  </to>
                </anchor>
              </controlPr>
            </control>
          </mc:Choice>
        </mc:AlternateContent>
        <mc:AlternateContent xmlns:mc="http://schemas.openxmlformats.org/markup-compatibility/2006">
          <mc:Choice Requires="x14">
            <control shapeId="13315" r:id="rId6" name="Check Box 3">
              <controlPr defaultSize="0" autoFill="0" autoLine="0" autoPict="0">
                <anchor moveWithCells="1">
                  <from>
                    <xdr:col>5</xdr:col>
                    <xdr:colOff>285750</xdr:colOff>
                    <xdr:row>56</xdr:row>
                    <xdr:rowOff>152400</xdr:rowOff>
                  </from>
                  <to>
                    <xdr:col>5</xdr:col>
                    <xdr:colOff>628650</xdr:colOff>
                    <xdr:row>58</xdr:row>
                    <xdr:rowOff>104775</xdr:rowOff>
                  </to>
                </anchor>
              </controlPr>
            </control>
          </mc:Choice>
        </mc:AlternateContent>
        <mc:AlternateContent xmlns:mc="http://schemas.openxmlformats.org/markup-compatibility/2006">
          <mc:Choice Requires="x14">
            <control shapeId="13316" r:id="rId7" name="Check Box -1021">
              <controlPr defaultSize="0" autoFill="0" autoLine="0" autoPict="0">
                <anchor moveWithCells="1">
                  <from>
                    <xdr:col>5</xdr:col>
                    <xdr:colOff>285750</xdr:colOff>
                    <xdr:row>56</xdr:row>
                    <xdr:rowOff>152400</xdr:rowOff>
                  </from>
                  <to>
                    <xdr:col>5</xdr:col>
                    <xdr:colOff>628650</xdr:colOff>
                    <xdr:row>58</xdr:row>
                    <xdr:rowOff>104775</xdr:rowOff>
                  </to>
                </anchor>
              </controlPr>
            </control>
          </mc:Choice>
        </mc:AlternateContent>
        <mc:AlternateContent xmlns:mc="http://schemas.openxmlformats.org/markup-compatibility/2006">
          <mc:Choice Requires="x14">
            <control shapeId="13317" r:id="rId8" name="Check Box 5">
              <controlPr defaultSize="0" autoFill="0" autoLine="0" autoPict="0">
                <anchor moveWithCells="1">
                  <from>
                    <xdr:col>5</xdr:col>
                    <xdr:colOff>285750</xdr:colOff>
                    <xdr:row>56</xdr:row>
                    <xdr:rowOff>152400</xdr:rowOff>
                  </from>
                  <to>
                    <xdr:col>5</xdr:col>
                    <xdr:colOff>628650</xdr:colOff>
                    <xdr:row>58</xdr:row>
                    <xdr:rowOff>104775</xdr:rowOff>
                  </to>
                </anchor>
              </controlPr>
            </control>
          </mc:Choice>
        </mc:AlternateContent>
        <mc:AlternateContent xmlns:mc="http://schemas.openxmlformats.org/markup-compatibility/2006">
          <mc:Choice Requires="x14">
            <control shapeId="13318" r:id="rId9" name="Check Box 6">
              <controlPr defaultSize="0" autoFill="0" autoLine="0" autoPict="0">
                <anchor moveWithCells="1">
                  <from>
                    <xdr:col>5</xdr:col>
                    <xdr:colOff>285750</xdr:colOff>
                    <xdr:row>56</xdr:row>
                    <xdr:rowOff>152400</xdr:rowOff>
                  </from>
                  <to>
                    <xdr:col>5</xdr:col>
                    <xdr:colOff>628650</xdr:colOff>
                    <xdr:row>58</xdr:row>
                    <xdr:rowOff>104775</xdr:rowOff>
                  </to>
                </anchor>
              </controlPr>
            </control>
          </mc:Choice>
        </mc:AlternateContent>
        <mc:AlternateContent xmlns:mc="http://schemas.openxmlformats.org/markup-compatibility/2006">
          <mc:Choice Requires="x14">
            <control shapeId="13319" r:id="rId10" name="Check Box 7">
              <controlPr defaultSize="0" autoFill="0" autoLine="0" autoPict="0">
                <anchor moveWithCells="1">
                  <from>
                    <xdr:col>5</xdr:col>
                    <xdr:colOff>285750</xdr:colOff>
                    <xdr:row>56</xdr:row>
                    <xdr:rowOff>152400</xdr:rowOff>
                  </from>
                  <to>
                    <xdr:col>5</xdr:col>
                    <xdr:colOff>628650</xdr:colOff>
                    <xdr:row>58</xdr:row>
                    <xdr:rowOff>104775</xdr:rowOff>
                  </to>
                </anchor>
              </controlPr>
            </control>
          </mc:Choice>
        </mc:AlternateContent>
        <mc:AlternateContent xmlns:mc="http://schemas.openxmlformats.org/markup-compatibility/2006">
          <mc:Choice Requires="x14">
            <control shapeId="13320" r:id="rId11" name="Check Box 8">
              <controlPr defaultSize="0" autoFill="0" autoLine="0" autoPict="0">
                <anchor moveWithCells="1">
                  <from>
                    <xdr:col>5</xdr:col>
                    <xdr:colOff>285750</xdr:colOff>
                    <xdr:row>56</xdr:row>
                    <xdr:rowOff>152400</xdr:rowOff>
                  </from>
                  <to>
                    <xdr:col>5</xdr:col>
                    <xdr:colOff>628650</xdr:colOff>
                    <xdr:row>58</xdr:row>
                    <xdr:rowOff>104775</xdr:rowOff>
                  </to>
                </anchor>
              </controlPr>
            </control>
          </mc:Choice>
        </mc:AlternateContent>
        <mc:AlternateContent xmlns:mc="http://schemas.openxmlformats.org/markup-compatibility/2006">
          <mc:Choice Requires="x14">
            <control shapeId="13321" r:id="rId12" name="Check Box 9">
              <controlPr defaultSize="0" autoFill="0" autoLine="0" autoPict="0">
                <anchor moveWithCells="1">
                  <from>
                    <xdr:col>5</xdr:col>
                    <xdr:colOff>285750</xdr:colOff>
                    <xdr:row>56</xdr:row>
                    <xdr:rowOff>152400</xdr:rowOff>
                  </from>
                  <to>
                    <xdr:col>5</xdr:col>
                    <xdr:colOff>628650</xdr:colOff>
                    <xdr:row>58</xdr:row>
                    <xdr:rowOff>104775</xdr:rowOff>
                  </to>
                </anchor>
              </controlPr>
            </control>
          </mc:Choice>
        </mc:AlternateContent>
        <mc:AlternateContent xmlns:mc="http://schemas.openxmlformats.org/markup-compatibility/2006">
          <mc:Choice Requires="x14">
            <control shapeId="2" r:id="rId13" name="Check Box 10">
              <controlPr defaultSize="0" autoFill="0" autoLine="0" autoPict="0">
                <anchor moveWithCells="1">
                  <from>
                    <xdr:col>5</xdr:col>
                    <xdr:colOff>285750</xdr:colOff>
                    <xdr:row>56</xdr:row>
                    <xdr:rowOff>152400</xdr:rowOff>
                  </from>
                  <to>
                    <xdr:col>5</xdr:col>
                    <xdr:colOff>628650</xdr:colOff>
                    <xdr:row>58</xdr:row>
                    <xdr:rowOff>104775</xdr:rowOff>
                  </to>
                </anchor>
              </controlPr>
            </control>
          </mc:Choice>
        </mc:AlternateContent>
        <mc:AlternateContent xmlns:mc="http://schemas.openxmlformats.org/markup-compatibility/2006">
          <mc:Choice Requires="x14">
            <control shapeId="13323" r:id="rId14" name="Check Box 11">
              <controlPr defaultSize="0" autoFill="0" autoLine="0" autoPict="0">
                <anchor moveWithCells="1">
                  <from>
                    <xdr:col>5</xdr:col>
                    <xdr:colOff>285750</xdr:colOff>
                    <xdr:row>56</xdr:row>
                    <xdr:rowOff>152400</xdr:rowOff>
                  </from>
                  <to>
                    <xdr:col>5</xdr:col>
                    <xdr:colOff>628650</xdr:colOff>
                    <xdr:row>58</xdr:row>
                    <xdr:rowOff>104775</xdr:rowOff>
                  </to>
                </anchor>
              </controlPr>
            </control>
          </mc:Choice>
        </mc:AlternateContent>
        <mc:AlternateContent xmlns:mc="http://schemas.openxmlformats.org/markup-compatibility/2006">
          <mc:Choice Requires="x14">
            <control shapeId="13324" r:id="rId15" name="Check Box 12">
              <controlPr defaultSize="0" autoFill="0" autoLine="0" autoPict="0">
                <anchor moveWithCells="1">
                  <from>
                    <xdr:col>5</xdr:col>
                    <xdr:colOff>285750</xdr:colOff>
                    <xdr:row>56</xdr:row>
                    <xdr:rowOff>152400</xdr:rowOff>
                  </from>
                  <to>
                    <xdr:col>5</xdr:col>
                    <xdr:colOff>628650</xdr:colOff>
                    <xdr:row>58</xdr:row>
                    <xdr:rowOff>104775</xdr:rowOff>
                  </to>
                </anchor>
              </controlPr>
            </control>
          </mc:Choice>
        </mc:AlternateContent>
        <mc:AlternateContent xmlns:mc="http://schemas.openxmlformats.org/markup-compatibility/2006">
          <mc:Choice Requires="x14">
            <control shapeId="3" r:id="rId16" name="Check Box -1021">
              <controlPr defaultSize="0" autoFill="0" autoLine="0" autoPict="0">
                <anchor moveWithCells="1">
                  <from>
                    <xdr:col>5</xdr:col>
                    <xdr:colOff>285750</xdr:colOff>
                    <xdr:row>56</xdr:row>
                    <xdr:rowOff>152400</xdr:rowOff>
                  </from>
                  <to>
                    <xdr:col>5</xdr:col>
                    <xdr:colOff>628650</xdr:colOff>
                    <xdr:row>58</xdr:row>
                    <xdr:rowOff>104775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11">
    <tabColor theme="6" tint="-0.249977111117893"/>
  </sheetPr>
  <dimension ref="A1:I68"/>
  <sheetViews>
    <sheetView showGridLines="0" zoomScale="120" workbookViewId="0">
      <selection activeCell="F17" sqref="F17"/>
    </sheetView>
  </sheetViews>
  <sheetFormatPr defaultColWidth="8.85546875" defaultRowHeight="12.75"/>
  <cols>
    <col min="1" max="1" width="12.7109375" style="6" customWidth="1"/>
    <col min="2" max="2" width="5.7109375" style="6" customWidth="1"/>
    <col min="3" max="3" width="9.140625" style="6" customWidth="1"/>
    <col min="4" max="4" width="1" style="6" customWidth="1"/>
    <col min="5" max="6" width="13.85546875" style="6" customWidth="1"/>
    <col min="7" max="7" width="1" style="6" customWidth="1"/>
    <col min="8" max="8" width="13.7109375" style="6" customWidth="1"/>
    <col min="9" max="9" width="13.85546875" style="6" customWidth="1"/>
    <col min="10" max="16384" width="8.85546875" style="6"/>
  </cols>
  <sheetData>
    <row r="1" spans="1:9" ht="20.100000000000001" customHeight="1">
      <c r="A1" s="3" t="s">
        <v>251</v>
      </c>
      <c r="B1" s="3"/>
      <c r="C1" s="4"/>
      <c r="D1" s="4"/>
      <c r="E1" s="4"/>
      <c r="F1" s="4"/>
      <c r="G1" s="4"/>
      <c r="H1" s="4"/>
      <c r="I1" s="4"/>
    </row>
    <row r="2" spans="1:9" ht="5.0999999999999996" customHeight="1">
      <c r="A2" s="11"/>
      <c r="B2" s="11"/>
      <c r="C2" s="11"/>
      <c r="D2" s="11"/>
      <c r="E2" s="11"/>
      <c r="F2" s="11"/>
      <c r="G2" s="11"/>
      <c r="H2" s="11"/>
      <c r="I2" s="11"/>
    </row>
    <row r="3" spans="1:9" ht="14.1" customHeight="1">
      <c r="A3" s="25" t="s">
        <v>248</v>
      </c>
      <c r="B3" s="613"/>
      <c r="C3" s="614"/>
      <c r="D3" s="33"/>
      <c r="E3" s="22" t="s">
        <v>199</v>
      </c>
      <c r="F3" s="140">
        <f>ICM!B5</f>
        <v>0</v>
      </c>
      <c r="G3" s="12"/>
      <c r="H3" s="37" t="s">
        <v>33</v>
      </c>
      <c r="I3" s="146">
        <f>ICM!I3</f>
        <v>0</v>
      </c>
    </row>
    <row r="4" spans="1:9" ht="3" customHeight="1">
      <c r="A4" s="27"/>
      <c r="B4" s="27"/>
      <c r="C4" s="12"/>
      <c r="D4" s="12"/>
      <c r="E4" s="12"/>
      <c r="F4" s="12"/>
      <c r="G4" s="12"/>
      <c r="H4" s="27"/>
      <c r="I4" s="12"/>
    </row>
    <row r="5" spans="1:9" ht="14.1" customHeight="1">
      <c r="A5" s="90" t="s">
        <v>108</v>
      </c>
      <c r="B5" s="625"/>
      <c r="C5" s="626"/>
      <c r="D5" s="60"/>
      <c r="E5" s="120" t="s">
        <v>24</v>
      </c>
      <c r="F5" s="118"/>
      <c r="G5" s="12"/>
      <c r="H5" s="119" t="s">
        <v>134</v>
      </c>
      <c r="I5" s="114"/>
    </row>
    <row r="6" spans="1:9" ht="3" customHeight="1">
      <c r="A6" s="11"/>
      <c r="B6" s="11"/>
      <c r="C6" s="11"/>
      <c r="D6" s="11"/>
      <c r="E6" s="11"/>
      <c r="F6" s="11"/>
      <c r="G6" s="11"/>
      <c r="H6" s="11"/>
      <c r="I6" s="11"/>
    </row>
    <row r="7" spans="1:9" ht="14.1" customHeight="1">
      <c r="A7" s="25" t="s">
        <v>54</v>
      </c>
      <c r="B7" s="627">
        <f>'Roll Stock Checklist'!B7</f>
        <v>0</v>
      </c>
      <c r="C7" s="669"/>
      <c r="D7" s="669"/>
      <c r="E7" s="669"/>
      <c r="F7" s="670"/>
      <c r="G7"/>
      <c r="H7" s="23" t="s">
        <v>274</v>
      </c>
      <c r="I7" s="142">
        <f>'Roll Stock Checklist'!B5</f>
        <v>0</v>
      </c>
    </row>
    <row r="8" spans="1:9" ht="3" customHeight="1">
      <c r="A8" s="27"/>
      <c r="B8" s="27"/>
      <c r="C8" s="12"/>
      <c r="D8" s="12"/>
      <c r="E8" s="12"/>
      <c r="F8" s="12"/>
      <c r="G8" s="12"/>
      <c r="H8" s="27"/>
      <c r="I8" s="12"/>
    </row>
    <row r="9" spans="1:9" ht="14.1" customHeight="1">
      <c r="A9" s="22" t="s">
        <v>131</v>
      </c>
      <c r="B9" s="141">
        <f>ICM!B11</f>
        <v>0</v>
      </c>
      <c r="C9" s="629">
        <f>'Roll Stock Checklist'!C11</f>
        <v>0</v>
      </c>
      <c r="D9" s="629"/>
      <c r="E9" s="629"/>
      <c r="F9" s="630"/>
      <c r="G9" s="12"/>
      <c r="H9" s="23" t="s">
        <v>36</v>
      </c>
      <c r="I9" s="107">
        <f>'Roll Stock Checklist'!I9</f>
        <v>0</v>
      </c>
    </row>
    <row r="10" spans="1:9" ht="3" customHeight="1">
      <c r="A10" s="27"/>
      <c r="B10" s="27"/>
      <c r="C10" s="12"/>
      <c r="D10" s="12"/>
      <c r="E10" s="12"/>
      <c r="F10" s="12"/>
      <c r="G10" s="12"/>
      <c r="H10" s="27"/>
      <c r="I10" s="12"/>
    </row>
    <row r="11" spans="1:9" ht="17.100000000000001" customHeight="1">
      <c r="H11" s="58" t="s">
        <v>119</v>
      </c>
      <c r="I11" s="106"/>
    </row>
    <row r="12" spans="1:9" ht="3" customHeight="1"/>
    <row r="13" spans="1:9" ht="14.1" customHeight="1">
      <c r="A13" s="25" t="s">
        <v>246</v>
      </c>
      <c r="B13" s="613"/>
      <c r="C13" s="614"/>
      <c r="D13" s="24"/>
      <c r="E13" s="22" t="s">
        <v>58</v>
      </c>
      <c r="F13" s="107"/>
      <c r="H13" s="23" t="s">
        <v>55</v>
      </c>
      <c r="I13" s="108"/>
    </row>
    <row r="14" spans="1:9" ht="3" customHeight="1"/>
    <row r="15" spans="1:9" ht="17.100000000000001" customHeight="1">
      <c r="A15" s="3" t="s">
        <v>135</v>
      </c>
      <c r="B15" s="3"/>
      <c r="C15" s="8"/>
      <c r="D15" s="8"/>
      <c r="E15" s="668" t="b">
        <f>IF(ICM!I31="Yes","**CONTINUOUS STEP**")</f>
        <v>0</v>
      </c>
      <c r="F15" s="668"/>
      <c r="G15" s="8"/>
      <c r="H15" s="8"/>
      <c r="I15" s="8"/>
    </row>
    <row r="16" spans="1:9" ht="5.0999999999999996" customHeight="1"/>
    <row r="17" spans="1:9" ht="17.100000000000001" customHeight="1">
      <c r="A17" s="22" t="s">
        <v>61</v>
      </c>
      <c r="B17" s="433">
        <f>ICM!B27</f>
        <v>0</v>
      </c>
      <c r="C17" s="434"/>
      <c r="D17" s="15"/>
      <c r="E17" s="22" t="s">
        <v>152</v>
      </c>
      <c r="F17" s="107"/>
      <c r="G17" s="15"/>
      <c r="H17" s="22" t="s">
        <v>186</v>
      </c>
      <c r="I17" s="104">
        <f>ICM!I27</f>
        <v>0</v>
      </c>
    </row>
    <row r="18" spans="1:9" ht="5.0999999999999996" customHeight="1">
      <c r="A18" s="26"/>
      <c r="B18" s="26"/>
      <c r="C18" s="47"/>
      <c r="D18" s="14"/>
      <c r="E18" s="26"/>
      <c r="F18" s="47"/>
      <c r="G18" s="14"/>
      <c r="H18" s="54"/>
      <c r="I18" s="57"/>
    </row>
    <row r="19" spans="1:9" ht="17.100000000000001" customHeight="1">
      <c r="A19" s="22" t="s">
        <v>22</v>
      </c>
      <c r="B19" s="609" t="b">
        <f>IF(ICM!I31="Yes",ICM!I33,IF(ICM!I31="No",ICM!B29))</f>
        <v>0</v>
      </c>
      <c r="C19" s="610"/>
      <c r="D19" s="14"/>
      <c r="E19" s="22" t="s">
        <v>65</v>
      </c>
      <c r="F19" s="107"/>
      <c r="G19"/>
      <c r="H19" s="22" t="s">
        <v>37</v>
      </c>
      <c r="I19" s="143" t="e">
        <f>ICM!I29</f>
        <v>#DIV/0!</v>
      </c>
    </row>
    <row r="20" spans="1:9" ht="5.0999999999999996" customHeight="1">
      <c r="A20" s="53"/>
      <c r="B20" s="53"/>
      <c r="C20" s="56"/>
      <c r="D20" s="14"/>
      <c r="E20" s="26"/>
      <c r="F20" s="47"/>
      <c r="G20" s="14"/>
      <c r="H20" s="26"/>
      <c r="I20" s="20"/>
    </row>
    <row r="21" spans="1:9" ht="17.100000000000001" customHeight="1">
      <c r="A21" s="50" t="s">
        <v>195</v>
      </c>
      <c r="B21" s="613"/>
      <c r="C21" s="614"/>
      <c r="D21" s="14"/>
      <c r="E21" s="22" t="s">
        <v>81</v>
      </c>
      <c r="F21" s="110" t="e">
        <f>I17/F19</f>
        <v>#DIV/0!</v>
      </c>
      <c r="G21" s="14"/>
      <c r="H21" s="52" t="s">
        <v>90</v>
      </c>
      <c r="I21" s="107"/>
    </row>
    <row r="22" spans="1:9" ht="5.0999999999999996" customHeight="1">
      <c r="A22" s="24"/>
      <c r="B22" s="24"/>
      <c r="C22" s="15"/>
      <c r="D22" s="15"/>
      <c r="E22" s="24"/>
      <c r="F22" s="15"/>
      <c r="G22" s="15"/>
      <c r="H22" s="26"/>
      <c r="I22" s="14"/>
    </row>
    <row r="23" spans="1:9" ht="17.100000000000001" customHeight="1">
      <c r="A23" s="21" t="s">
        <v>168</v>
      </c>
      <c r="B23" s="613"/>
      <c r="C23" s="614"/>
      <c r="D23" s="15"/>
      <c r="E23" s="22" t="s">
        <v>167</v>
      </c>
      <c r="F23" s="106"/>
      <c r="G23" s="15"/>
      <c r="H23" s="22" t="s">
        <v>187</v>
      </c>
      <c r="I23" s="107"/>
    </row>
    <row r="24" spans="1:9" ht="24" hidden="1" customHeight="1">
      <c r="A24" s="32"/>
      <c r="B24" s="32"/>
      <c r="C24" s="51"/>
      <c r="D24" s="14"/>
      <c r="E24" s="26"/>
      <c r="F24" s="51"/>
      <c r="G24" s="14"/>
      <c r="H24" s="26"/>
      <c r="I24" s="51" t="s">
        <v>156</v>
      </c>
    </row>
    <row r="25" spans="1:9" ht="24" hidden="1" customHeight="1">
      <c r="A25" s="32"/>
      <c r="B25" s="32"/>
      <c r="C25" s="51"/>
      <c r="D25" s="14"/>
      <c r="E25" s="26"/>
      <c r="F25" s="51"/>
      <c r="G25" s="14"/>
      <c r="H25" s="26"/>
      <c r="I25" s="51" t="s">
        <v>32</v>
      </c>
    </row>
    <row r="26" spans="1:9" ht="24" hidden="1" customHeight="1">
      <c r="A26" s="32"/>
      <c r="B26" s="32"/>
      <c r="C26" s="51"/>
      <c r="D26" s="14"/>
      <c r="E26" s="26"/>
      <c r="F26" s="51"/>
      <c r="G26" s="14"/>
      <c r="H26" s="26"/>
      <c r="I26" s="51" t="s">
        <v>125</v>
      </c>
    </row>
    <row r="27" spans="1:9" ht="24" hidden="1" customHeight="1">
      <c r="A27" s="32"/>
      <c r="B27" s="32"/>
      <c r="C27" s="51"/>
      <c r="D27" s="14"/>
      <c r="E27" s="26"/>
      <c r="F27" s="51"/>
      <c r="G27" s="14"/>
      <c r="H27" s="26"/>
      <c r="I27" s="5" t="s">
        <v>149</v>
      </c>
    </row>
    <row r="28" spans="1:9" ht="5.0999999999999996" customHeight="1">
      <c r="A28" s="24"/>
      <c r="B28" s="24"/>
      <c r="C28" s="15"/>
      <c r="D28" s="15"/>
      <c r="E28" s="24"/>
      <c r="F28" s="15"/>
      <c r="G28" s="15"/>
      <c r="H28" s="14"/>
      <c r="I28" s="14"/>
    </row>
    <row r="29" spans="1:9" ht="17.100000000000001" customHeight="1">
      <c r="A29" s="22" t="s">
        <v>56</v>
      </c>
      <c r="B29" s="617"/>
      <c r="C29" s="618"/>
      <c r="D29" s="15"/>
      <c r="E29" s="22" t="s">
        <v>78</v>
      </c>
      <c r="F29" s="106"/>
      <c r="G29" s="15"/>
      <c r="H29" s="14"/>
      <c r="I29" s="14"/>
    </row>
    <row r="30" spans="1:9" ht="5.0999999999999996" customHeight="1">
      <c r="A30" s="24"/>
      <c r="B30" s="24"/>
      <c r="C30" s="15"/>
      <c r="D30" s="15"/>
      <c r="E30" s="24"/>
      <c r="F30" s="15"/>
      <c r="G30" s="15"/>
      <c r="H30" s="14"/>
      <c r="I30" s="14"/>
    </row>
    <row r="31" spans="1:9" ht="17.100000000000001" customHeight="1">
      <c r="A31" s="22" t="s">
        <v>68</v>
      </c>
      <c r="B31" s="623"/>
      <c r="C31" s="624"/>
      <c r="E31" s="69" t="s">
        <v>122</v>
      </c>
      <c r="F31" s="109" t="b">
        <f>IF(B23="No","N/A",IF(B23="Yes",ICM!F53))</f>
        <v>0</v>
      </c>
      <c r="G31" s="47"/>
    </row>
    <row r="32" spans="1:9" ht="5.0999999999999996" customHeight="1">
      <c r="A32"/>
      <c r="B32"/>
      <c r="C32"/>
      <c r="D32" s="15"/>
      <c r="E32" s="15"/>
      <c r="F32" s="15"/>
      <c r="G32" s="15"/>
      <c r="H32" s="15"/>
      <c r="I32" s="15"/>
    </row>
    <row r="33" spans="1:9" ht="17.100000000000001" customHeight="1">
      <c r="A33" s="22" t="s">
        <v>16</v>
      </c>
      <c r="B33" s="623"/>
      <c r="C33" s="623"/>
      <c r="D33" s="15"/>
      <c r="E33" s="50" t="s">
        <v>225</v>
      </c>
      <c r="F33" s="107"/>
      <c r="G33"/>
      <c r="H33" s="93" t="s">
        <v>85</v>
      </c>
      <c r="I33" s="106"/>
    </row>
    <row r="34" spans="1:9" ht="5.0999999999999996" customHeight="1">
      <c r="A34"/>
      <c r="B34"/>
      <c r="C34"/>
      <c r="D34" s="15"/>
      <c r="E34" s="30"/>
      <c r="F34" s="20"/>
      <c r="G34" s="15"/>
      <c r="H34" s="14"/>
      <c r="I34"/>
    </row>
    <row r="35" spans="1:9" ht="17.100000000000001" customHeight="1">
      <c r="A35" s="21" t="s">
        <v>0</v>
      </c>
      <c r="B35" s="623"/>
      <c r="C35" s="623"/>
      <c r="D35" s="623"/>
      <c r="E35" s="623"/>
      <c r="F35" s="624"/>
      <c r="G35"/>
      <c r="H35" s="22" t="s">
        <v>153</v>
      </c>
      <c r="I35" s="106"/>
    </row>
    <row r="36" spans="1:9" ht="5.0999999999999996" customHeight="1">
      <c r="A36" s="24"/>
      <c r="B36" s="24"/>
      <c r="C36" s="15"/>
      <c r="D36" s="15"/>
      <c r="E36" s="15"/>
      <c r="F36" s="15"/>
      <c r="G36" s="15"/>
      <c r="H36" s="15"/>
      <c r="I36" s="15"/>
    </row>
    <row r="37" spans="1:9" ht="17.100000000000001" customHeight="1">
      <c r="A37" s="22" t="s">
        <v>50</v>
      </c>
      <c r="B37" s="609">
        <f>'Roll Stock Checklist'!F25</f>
        <v>0</v>
      </c>
      <c r="C37" s="609"/>
      <c r="D37" s="609"/>
      <c r="E37" s="609"/>
      <c r="F37" s="610"/>
      <c r="G37" s="15"/>
      <c r="H37" s="52" t="s">
        <v>151</v>
      </c>
      <c r="I37" s="144">
        <f>'Roll Stock Checklist'!F39</f>
        <v>0</v>
      </c>
    </row>
    <row r="38" spans="1:9" ht="5.0999999999999996" customHeight="1">
      <c r="A38" s="24"/>
      <c r="B38" s="24"/>
      <c r="C38" s="15"/>
      <c r="D38" s="15"/>
      <c r="E38" s="15"/>
      <c r="F38" s="15"/>
      <c r="G38" s="15"/>
      <c r="H38" s="15"/>
      <c r="I38" s="15"/>
    </row>
    <row r="39" spans="1:9" ht="20.100000000000001" customHeight="1">
      <c r="A39" s="3" t="s">
        <v>30</v>
      </c>
      <c r="B39" s="3"/>
      <c r="C39" s="8"/>
      <c r="D39" s="8"/>
      <c r="E39" s="8"/>
      <c r="F39" s="8"/>
      <c r="G39" s="8"/>
      <c r="H39" s="8"/>
      <c r="I39" s="8"/>
    </row>
    <row r="40" spans="1:9" ht="5.0999999999999996" customHeight="1">
      <c r="A40" s="85"/>
      <c r="B40" s="127"/>
      <c r="C40" s="127"/>
      <c r="D40" s="127"/>
      <c r="E40" s="127"/>
      <c r="F40" s="127"/>
      <c r="G40" s="127"/>
      <c r="H40" s="127"/>
      <c r="I40" s="127"/>
    </row>
    <row r="41" spans="1:9" ht="15" customHeight="1">
      <c r="A41" s="22" t="s">
        <v>198</v>
      </c>
      <c r="B41" s="666">
        <f>ICM!I5</f>
        <v>0</v>
      </c>
      <c r="C41" s="667"/>
      <c r="D41" s="129"/>
      <c r="E41" s="127"/>
      <c r="F41" s="127"/>
      <c r="G41" s="127"/>
      <c r="H41" s="127"/>
      <c r="I41" s="127"/>
    </row>
    <row r="42" spans="1:9" ht="5.0999999999999996" customHeight="1">
      <c r="A42" s="128"/>
      <c r="B42" s="128"/>
      <c r="C42" s="128"/>
      <c r="D42" s="127"/>
      <c r="E42" s="127"/>
      <c r="F42" s="127"/>
      <c r="G42" s="127"/>
      <c r="H42" s="127"/>
      <c r="I42" s="127"/>
    </row>
    <row r="43" spans="1:9" ht="12" customHeight="1">
      <c r="A43" s="86"/>
      <c r="B43" s="86"/>
      <c r="C43" s="86"/>
      <c r="D43" s="86"/>
      <c r="E43" s="86"/>
      <c r="F43" s="86"/>
      <c r="G43" s="86"/>
      <c r="H43" s="86"/>
      <c r="I43" s="86"/>
    </row>
    <row r="44" spans="1:9" ht="12" customHeight="1">
      <c r="A44" s="79"/>
      <c r="B44" s="79"/>
      <c r="C44" s="79"/>
      <c r="D44" s="79"/>
      <c r="E44" s="79"/>
      <c r="F44" s="79"/>
      <c r="G44" s="79"/>
      <c r="H44" s="79"/>
      <c r="I44" s="79"/>
    </row>
    <row r="45" spans="1:9" ht="12" customHeight="1">
      <c r="A45" s="79"/>
      <c r="B45" s="79"/>
      <c r="C45" s="79"/>
      <c r="D45" s="79"/>
      <c r="E45" s="79"/>
      <c r="F45" s="79"/>
      <c r="G45" s="79"/>
      <c r="H45" s="79"/>
      <c r="I45" s="79"/>
    </row>
    <row r="46" spans="1:9" ht="12" customHeight="1">
      <c r="A46" s="79"/>
      <c r="B46" s="79"/>
      <c r="C46" s="79"/>
      <c r="D46" s="79"/>
      <c r="E46" s="79"/>
      <c r="F46" s="79"/>
      <c r="G46" s="79"/>
      <c r="H46" s="79"/>
      <c r="I46" s="79"/>
    </row>
    <row r="47" spans="1:9" ht="12" customHeight="1">
      <c r="A47" s="79"/>
      <c r="B47" s="79"/>
      <c r="C47" s="79"/>
      <c r="D47" s="79"/>
      <c r="E47" s="79"/>
      <c r="F47" s="79"/>
      <c r="G47" s="79"/>
      <c r="H47" s="79"/>
      <c r="I47" s="79"/>
    </row>
    <row r="48" spans="1:9" ht="12" customHeight="1">
      <c r="A48" s="86"/>
      <c r="B48" s="86"/>
      <c r="C48" s="86"/>
      <c r="D48" s="86"/>
      <c r="E48" s="86"/>
      <c r="F48" s="86"/>
      <c r="G48" s="86"/>
      <c r="H48" s="86"/>
      <c r="I48" s="86"/>
    </row>
    <row r="49" spans="1:9" ht="12" customHeight="1">
      <c r="A49" s="79"/>
      <c r="B49" s="79"/>
      <c r="C49" s="79"/>
      <c r="D49" s="79"/>
      <c r="E49" s="79"/>
      <c r="F49" s="79"/>
      <c r="G49" s="79"/>
      <c r="H49" s="79"/>
      <c r="I49" s="79"/>
    </row>
    <row r="50" spans="1:9" ht="12" customHeight="1">
      <c r="A50" s="85"/>
      <c r="B50" s="85"/>
      <c r="C50" s="85"/>
      <c r="D50" s="85"/>
      <c r="E50" s="85"/>
      <c r="F50" s="85"/>
      <c r="G50" s="85"/>
      <c r="H50" s="85"/>
      <c r="I50" s="85"/>
    </row>
    <row r="51" spans="1:9" ht="20.100000000000001" customHeight="1">
      <c r="A51" s="3" t="s">
        <v>74</v>
      </c>
      <c r="B51" s="3"/>
      <c r="C51" s="8"/>
      <c r="D51" s="8"/>
      <c r="E51" s="8"/>
      <c r="F51" s="8"/>
      <c r="G51" s="8"/>
      <c r="H51" s="8"/>
      <c r="I51" s="8"/>
    </row>
    <row r="68" spans="8:9" ht="18.75" customHeight="1">
      <c r="H68" s="48"/>
      <c r="I68" s="62"/>
    </row>
  </sheetData>
  <mergeCells count="15">
    <mergeCell ref="B3:C3"/>
    <mergeCell ref="B5:C5"/>
    <mergeCell ref="B41:C41"/>
    <mergeCell ref="E15:F15"/>
    <mergeCell ref="C9:F9"/>
    <mergeCell ref="B7:F7"/>
    <mergeCell ref="B37:F37"/>
    <mergeCell ref="B35:F35"/>
    <mergeCell ref="B13:C13"/>
    <mergeCell ref="B19:C19"/>
    <mergeCell ref="B23:C23"/>
    <mergeCell ref="B33:C33"/>
    <mergeCell ref="B31:C31"/>
    <mergeCell ref="B29:C29"/>
    <mergeCell ref="B21:C21"/>
  </mergeCells>
  <phoneticPr fontId="6" type="noConversion"/>
  <conditionalFormatting sqref="I37 I3 B17 I17 B9:C9 B7">
    <cfRule type="cellIs" dxfId="11" priority="6" stopIfTrue="1" operator="equal">
      <formula>0</formula>
    </cfRule>
  </conditionalFormatting>
  <conditionalFormatting sqref="I35 B21:C21 B23:C23 I9">
    <cfRule type="cellIs" dxfId="10" priority="7" stopIfTrue="1" operator="equal">
      <formula>0</formula>
    </cfRule>
  </conditionalFormatting>
  <conditionalFormatting sqref="F23 F29 I23 F31 B29 B31:C31 B33">
    <cfRule type="cellIs" dxfId="9" priority="8" stopIfTrue="1" operator="equal">
      <formula>FALSE</formula>
    </cfRule>
  </conditionalFormatting>
  <conditionalFormatting sqref="B19:C19">
    <cfRule type="cellIs" dxfId="8" priority="9" stopIfTrue="1" operator="equal">
      <formula>FALSE</formula>
    </cfRule>
  </conditionalFormatting>
  <conditionalFormatting sqref="B3:C3">
    <cfRule type="cellIs" dxfId="7" priority="10" stopIfTrue="1" operator="equal">
      <formula>"Leave Open"</formula>
    </cfRule>
  </conditionalFormatting>
  <conditionalFormatting sqref="E15:F15">
    <cfRule type="cellIs" dxfId="6" priority="11" stopIfTrue="1" operator="equal">
      <formula>FALSE</formula>
    </cfRule>
  </conditionalFormatting>
  <conditionalFormatting sqref="B37:F37">
    <cfRule type="cellIs" dxfId="5" priority="14" stopIfTrue="1" operator="equal">
      <formula>0</formula>
    </cfRule>
  </conditionalFormatting>
  <conditionalFormatting sqref="F3">
    <cfRule type="cellIs" dxfId="4" priority="15" stopIfTrue="1" operator="equal">
      <formula>FALSE</formula>
    </cfRule>
    <cfRule type="cellIs" dxfId="3" priority="16" stopIfTrue="1" operator="equal">
      <formula>"Match prev PO"</formula>
    </cfRule>
  </conditionalFormatting>
  <conditionalFormatting sqref="F19">
    <cfRule type="containsText" dxfId="2" priority="4" operator="containsText" text="FALSE">
      <formula>NOT(ISERROR(SEARCH("FALSE",F19)))</formula>
    </cfRule>
  </conditionalFormatting>
  <conditionalFormatting sqref="I33">
    <cfRule type="containsText" dxfId="1" priority="3" operator="containsText" text="0">
      <formula>NOT(ISERROR(SEARCH("0",I33)))</formula>
    </cfRule>
  </conditionalFormatting>
  <conditionalFormatting sqref="B41:C41">
    <cfRule type="cellIs" dxfId="0" priority="1" stopIfTrue="1" operator="equal">
      <formula>0</formula>
    </cfRule>
  </conditionalFormatting>
  <dataValidations xWindow="202" yWindow="403" count="23">
    <dataValidation showInputMessage="1" showErrorMessage="1" sqref="F21 I37 I3 I5"/>
    <dataValidation type="decimal" showInputMessage="1" showErrorMessage="1" sqref="C20 F20 C18 I20 I18 F18">
      <formula1>1</formula1>
      <formula2>2000</formula2>
    </dataValidation>
    <dataValidation type="list" showInputMessage="1" showErrorMessage="1" sqref="C24:C27">
      <formula1>"No, Yes"</formula1>
    </dataValidation>
    <dataValidation type="list" showInputMessage="1" showErrorMessage="1" sqref="B3:C3">
      <formula1>"Close, Leave Open"</formula1>
    </dataValidation>
    <dataValidation type="list" showInputMessage="1" showErrorMessage="1" sqref="I11">
      <formula1>"Yes (see layout), No, N/A"</formula1>
    </dataValidation>
    <dataValidation type="list" showInputMessage="1" showErrorMessage="1" sqref="B23:C23 F33">
      <formula1>"Yes, No"</formula1>
    </dataValidation>
    <dataValidation type="textLength" allowBlank="1" showInputMessage="1" showErrorMessage="1" prompt="Enter &quot;Other&quot; distance, if applicable." sqref="F31">
      <formula1>1</formula1>
      <formula2>10</formula2>
    </dataValidation>
    <dataValidation type="list" showInputMessage="1" showErrorMessage="1" sqref="B35:F35">
      <formula1>"N/A,5mm top + bottom,2mm left + right,5mm top + bottom and 2mm left + right,5mm top + bottom and fill in web,5mm top + bottom and fill in web and 2mm left + right,Fill in web and 2mm left + right,Fill in web,Cont/Random,Other (see comments/layout sketch)"</formula1>
    </dataValidation>
    <dataValidation type="list" showInputMessage="1" showErrorMessage="1" prompt="Select # of repeats between eyespots." sqref="F29">
      <formula1>"Every Repeat, Every 2 Repeats, Every 3 Repeats, Every 4 Repeats, See Layout"</formula1>
    </dataValidation>
    <dataValidation type="list" showInputMessage="1" showErrorMessage="1" sqref="I13">
      <formula1>"BH, Isa, Larry, Victoria"</formula1>
    </dataValidation>
    <dataValidation type="whole" showInputMessage="1" showErrorMessage="1" sqref="F17">
      <formula1>1</formula1>
      <formula2>20</formula2>
    </dataValidation>
    <dataValidation type="list" showInputMessage="1" showErrorMessage="1" sqref="I35">
      <formula1>"No, Yes (see layout)"</formula1>
    </dataValidation>
    <dataValidation type="list" showInputMessage="1" showErrorMessage="1" prompt="Select distance from eyespot to web edge. Select &quot;other&quot; for other distance and tab to next field. For unique positions, select &quot;see layout&quot;." sqref="B31:C31">
      <formula1>"Std (3mm),2mm,1mm,Centered,Other,See Layout,Per 1 up PDF,N/A"</formula1>
    </dataValidation>
    <dataValidation type="list" showInputMessage="1" showErrorMessage="1" prompt="Select # of eyespots across each web." sqref="B29">
      <formula1>"1,2,3,4,See Layout"</formula1>
    </dataValidation>
    <dataValidation showInputMessage="1" showErrorMessage="1" prompt="Right click to &quot;pick from list&quot; OR manually enter eyespot size." sqref="I23"/>
    <dataValidation type="list" showInputMessage="1" showErrorMessage="1" prompt="Select # billable plates this item only." sqref="F13">
      <formula1>"0,1,2,3,4,5,6,7,8,9,10,11,12,13,14,15,16,17,18,19,20"</formula1>
    </dataValidation>
    <dataValidation type="decimal" showInputMessage="1" showErrorMessage="1" prompt="Enter point to point for stepping. This figure will include trim if applicable." sqref="B21:C21">
      <formula1>0</formula1>
      <formula2>2000</formula2>
    </dataValidation>
    <dataValidation type="list" showInputMessage="1" showErrorMessage="1" prompt="Select # of billable keys for this item only." sqref="B13:C13">
      <formula1>"0,1,2,3,4,5,6,7,8,9,10,11,12,13,14,15,16,17,18,19,20"</formula1>
    </dataValidation>
    <dataValidation type="list" showInputMessage="1" showErrorMessage="1" prompt="&quot;No&quot; is the default. Please verify." sqref="I21">
      <formula1>"No, Yes"</formula1>
    </dataValidation>
    <dataValidation type="list" showInputMessage="1" showErrorMessage="1" prompt="Select yes or no." sqref="I33">
      <formula1>"Yes,No (see drawing)"</formula1>
    </dataValidation>
    <dataValidation allowBlank="1" showInputMessage="1" showErrorMessage="1" prompt="If this request doesn't apply to all items, indicate applicable # of items (out of total). Example: 2 of 5." sqref="I9"/>
    <dataValidation type="list" showInputMessage="1" showErrorMessage="1" prompt="Select colour from list. Select &quot;see comments&quot; for special colours or instructions." sqref="F23">
      <formula1>"N/A, Black,Black / OL,Spot Black,Spot Black / OL ,Blue,Brown,Burgundy,Green,White, Clear,See Comments "</formula1>
    </dataValidation>
    <dataValidation type="list" allowBlank="1" showInputMessage="1" showErrorMessage="1" sqref="B33">
      <formula1>"N/A,Black,Spot Black,Blue,Brown,Burgundy,Green,Red,White,See Comments"</formula1>
    </dataValidation>
  </dataValidations>
  <printOptions horizontalCentered="1"/>
  <pageMargins left="0.5" right="0.5" top="0.25" bottom="0.5" header="0.5" footer="0.13"/>
  <pageSetup orientation="portrait" horizontalDpi="4294967292" verticalDpi="4294967292" r:id="rId1"/>
  <headerFooter alignWithMargins="0">
    <oddFooter>&amp;L&amp;9&amp;K000000Issue Date: 1 Feb 2016&amp;C&amp;9Revision No.: 0&amp;R&amp;9&amp;K000000Revisions Date: N/A</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BBD18F"/>
  </sheetPr>
  <dimension ref="A1"/>
  <sheetViews>
    <sheetView zoomScale="220" zoomScaleNormal="220" workbookViewId="0">
      <selection activeCell="BO20" sqref="BO20"/>
    </sheetView>
  </sheetViews>
  <sheetFormatPr defaultColWidth="1" defaultRowHeight="5.25" customHeight="1"/>
  <sheetData/>
  <pageMargins left="0.75" right="0.75" top="1" bottom="1" header="0.5" footer="0.5"/>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1">
    <tabColor theme="7" tint="0.39997558519241921"/>
  </sheetPr>
  <dimension ref="A1:B4"/>
  <sheetViews>
    <sheetView showGridLines="0" zoomScale="125" zoomScaleNormal="100" workbookViewId="0"/>
  </sheetViews>
  <sheetFormatPr defaultColWidth="8.85546875" defaultRowHeight="12.75"/>
  <sheetData>
    <row r="1" spans="1:2" s="2" customFormat="1" ht="15"/>
    <row r="2" spans="1:2" s="2" customFormat="1" ht="15.75">
      <c r="A2" s="1" t="s">
        <v>222</v>
      </c>
    </row>
    <row r="3" spans="1:2" s="2" customFormat="1" ht="15"/>
    <row r="4" spans="1:2" s="2" customFormat="1" ht="15">
      <c r="B4" s="10"/>
    </row>
  </sheetData>
  <phoneticPr fontId="6" type="noConversion"/>
  <printOptions gridLines="1"/>
  <pageMargins left="0.25" right="0.25" top="0.5" bottom="0.5" header="0.5" footer="0.5"/>
  <pageSetup orientation="landscape"/>
  <headerFooter alignWithMargins="0"/>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9" tint="0.39997558519241921"/>
  </sheetPr>
  <dimension ref="A1:H270"/>
  <sheetViews>
    <sheetView zoomScale="125" workbookViewId="0">
      <selection activeCell="B1" sqref="B1"/>
    </sheetView>
  </sheetViews>
  <sheetFormatPr defaultColWidth="8.85546875" defaultRowHeight="12.75"/>
  <cols>
    <col min="1" max="1" width="8.140625" style="73" customWidth="1"/>
    <col min="2" max="2" width="29.140625" style="98" customWidth="1"/>
    <col min="3" max="3" width="7" style="73" customWidth="1"/>
    <col min="4" max="4" width="6.42578125" customWidth="1"/>
    <col min="5" max="5" width="13.85546875" customWidth="1"/>
    <col min="6" max="6" width="6.140625" customWidth="1"/>
    <col min="7" max="7" width="6.85546875" customWidth="1"/>
    <col min="8" max="8" width="14" customWidth="1"/>
    <col min="9" max="9" width="5.42578125" customWidth="1"/>
    <col min="10" max="10" width="7.28515625" customWidth="1"/>
    <col min="11" max="11" width="12.140625" customWidth="1"/>
    <col min="12" max="12" width="6" customWidth="1"/>
  </cols>
  <sheetData>
    <row r="1" spans="1:8" ht="18" customHeight="1">
      <c r="A1" s="164" t="s">
        <v>270</v>
      </c>
      <c r="B1" s="165" t="s">
        <v>271</v>
      </c>
      <c r="C1" s="166">
        <v>621</v>
      </c>
      <c r="D1" s="101"/>
      <c r="E1" s="167" t="s">
        <v>215</v>
      </c>
      <c r="F1" s="671" t="s">
        <v>371</v>
      </c>
      <c r="G1" s="671"/>
      <c r="H1" s="671"/>
    </row>
    <row r="2" spans="1:8" s="163" customFormat="1" ht="18" customHeight="1">
      <c r="A2" s="99" t="s">
        <v>132</v>
      </c>
      <c r="B2" s="100" t="s">
        <v>278</v>
      </c>
      <c r="C2" s="112">
        <v>621</v>
      </c>
      <c r="D2" s="162"/>
      <c r="E2" s="162"/>
      <c r="F2" s="162"/>
      <c r="G2" s="162"/>
      <c r="H2" s="162"/>
    </row>
    <row r="3" spans="1:8" ht="18" customHeight="1">
      <c r="A3" s="164" t="s">
        <v>254</v>
      </c>
      <c r="B3" s="165" t="s">
        <v>202</v>
      </c>
      <c r="C3" s="166">
        <v>621</v>
      </c>
      <c r="D3" s="101"/>
      <c r="E3" s="101"/>
      <c r="F3" s="101"/>
      <c r="G3" s="101"/>
      <c r="H3" s="101"/>
    </row>
    <row r="4" spans="1:8" s="163" customFormat="1" ht="18" customHeight="1">
      <c r="A4" s="99" t="s">
        <v>203</v>
      </c>
      <c r="B4" s="100" t="s">
        <v>43</v>
      </c>
      <c r="C4" s="112">
        <v>621</v>
      </c>
      <c r="D4" s="162"/>
      <c r="E4" s="162"/>
      <c r="F4" s="162"/>
      <c r="G4" s="162"/>
      <c r="H4" s="162"/>
    </row>
    <row r="5" spans="1:8" ht="18" customHeight="1">
      <c r="A5" s="164" t="s">
        <v>229</v>
      </c>
      <c r="B5" s="165" t="s">
        <v>39</v>
      </c>
      <c r="C5" s="166">
        <v>611</v>
      </c>
      <c r="D5" s="101"/>
      <c r="E5" s="101"/>
      <c r="F5" s="101"/>
      <c r="G5" s="101"/>
      <c r="H5" s="101"/>
    </row>
    <row r="6" spans="1:8" s="163" customFormat="1" ht="18" customHeight="1">
      <c r="A6" s="99" t="s">
        <v>40</v>
      </c>
      <c r="B6" s="100" t="s">
        <v>279</v>
      </c>
      <c r="C6" s="112">
        <v>621</v>
      </c>
      <c r="D6" s="162"/>
      <c r="E6" s="162"/>
      <c r="F6" s="162"/>
      <c r="G6" s="162"/>
      <c r="H6" s="162"/>
    </row>
    <row r="7" spans="1:8" ht="18" customHeight="1">
      <c r="A7" s="164" t="s">
        <v>220</v>
      </c>
      <c r="B7" s="165" t="s">
        <v>280</v>
      </c>
      <c r="C7" s="166">
        <v>611</v>
      </c>
      <c r="D7" s="101"/>
      <c r="E7" s="101"/>
      <c r="F7" s="101"/>
      <c r="G7" s="101"/>
      <c r="H7" s="101"/>
    </row>
    <row r="8" spans="1:8" s="163" customFormat="1" ht="18" customHeight="1">
      <c r="A8" s="99" t="s">
        <v>124</v>
      </c>
      <c r="B8" s="100" t="s">
        <v>372</v>
      </c>
      <c r="C8" s="112">
        <v>621</v>
      </c>
      <c r="D8" s="162"/>
      <c r="E8" s="162"/>
      <c r="F8" s="162"/>
      <c r="G8" s="162"/>
      <c r="H8" s="162"/>
    </row>
    <row r="9" spans="1:8" s="163" customFormat="1" ht="18" customHeight="1">
      <c r="A9" s="164" t="s">
        <v>79</v>
      </c>
      <c r="B9" s="165" t="s">
        <v>239</v>
      </c>
      <c r="C9" s="166">
        <v>621</v>
      </c>
      <c r="D9" s="162"/>
      <c r="E9" s="162"/>
      <c r="F9" s="162"/>
      <c r="G9" s="162"/>
      <c r="H9" s="162"/>
    </row>
    <row r="10" spans="1:8" s="163" customFormat="1" ht="18" customHeight="1">
      <c r="A10" s="99" t="s">
        <v>87</v>
      </c>
      <c r="B10" s="100" t="s">
        <v>49</v>
      </c>
      <c r="C10" s="112">
        <v>621</v>
      </c>
      <c r="D10" s="162"/>
      <c r="E10" s="162"/>
      <c r="F10" s="162"/>
      <c r="G10" s="162"/>
      <c r="H10" s="162"/>
    </row>
    <row r="11" spans="1:8" s="163" customFormat="1" ht="18" customHeight="1">
      <c r="A11" s="164" t="s">
        <v>241</v>
      </c>
      <c r="B11" s="165" t="s">
        <v>281</v>
      </c>
      <c r="C11" s="166">
        <v>621</v>
      </c>
      <c r="D11" s="162"/>
      <c r="E11" s="162"/>
      <c r="F11" s="162"/>
      <c r="G11" s="162"/>
      <c r="H11" s="162"/>
    </row>
    <row r="12" spans="1:8" s="163" customFormat="1" ht="18" customHeight="1">
      <c r="A12" s="99" t="s">
        <v>34</v>
      </c>
      <c r="B12" s="100" t="s">
        <v>373</v>
      </c>
      <c r="C12" s="112">
        <v>621</v>
      </c>
      <c r="D12" s="162"/>
      <c r="E12" s="162"/>
      <c r="F12" s="162"/>
      <c r="G12" s="162"/>
      <c r="H12" s="162"/>
    </row>
    <row r="13" spans="1:8" s="163" customFormat="1" ht="18" customHeight="1">
      <c r="A13" s="164" t="s">
        <v>71</v>
      </c>
      <c r="B13" s="165" t="s">
        <v>133</v>
      </c>
      <c r="C13" s="166">
        <v>621</v>
      </c>
      <c r="D13" s="162"/>
      <c r="E13" s="162"/>
      <c r="F13" s="162"/>
      <c r="G13" s="162"/>
      <c r="H13" s="162"/>
    </row>
    <row r="14" spans="1:8" s="163" customFormat="1" ht="18" customHeight="1">
      <c r="A14" s="99" t="s">
        <v>188</v>
      </c>
      <c r="B14" s="100" t="s">
        <v>282</v>
      </c>
      <c r="C14" s="112">
        <v>611</v>
      </c>
      <c r="D14" s="162"/>
      <c r="E14" s="162"/>
      <c r="F14" s="162"/>
      <c r="G14" s="162"/>
      <c r="H14" s="162"/>
    </row>
    <row r="15" spans="1:8" s="163" customFormat="1" ht="18" customHeight="1">
      <c r="A15" s="164"/>
      <c r="B15" s="165"/>
      <c r="C15" s="166"/>
      <c r="D15" s="162"/>
      <c r="E15" s="162"/>
      <c r="F15" s="162"/>
      <c r="G15" s="162"/>
      <c r="H15" s="162"/>
    </row>
    <row r="16" spans="1:8" s="163" customFormat="1" ht="18" customHeight="1">
      <c r="A16" s="99" t="s">
        <v>259</v>
      </c>
      <c r="B16" s="100" t="s">
        <v>260</v>
      </c>
      <c r="C16" s="112">
        <v>621</v>
      </c>
      <c r="D16" s="162"/>
      <c r="E16" s="162"/>
      <c r="F16" s="162"/>
      <c r="G16" s="162"/>
      <c r="H16" s="162"/>
    </row>
    <row r="17" spans="1:8" s="163" customFormat="1" ht="18" customHeight="1">
      <c r="A17" s="164" t="s">
        <v>165</v>
      </c>
      <c r="B17" s="165" t="s">
        <v>374</v>
      </c>
      <c r="C17" s="166">
        <v>621</v>
      </c>
      <c r="D17" s="162"/>
      <c r="E17" s="162"/>
      <c r="F17" s="162"/>
      <c r="G17" s="162"/>
      <c r="H17" s="162"/>
    </row>
    <row r="18" spans="1:8" s="163" customFormat="1" ht="18" customHeight="1">
      <c r="A18" s="99" t="s">
        <v>9</v>
      </c>
      <c r="B18" s="100" t="s">
        <v>283</v>
      </c>
      <c r="C18" s="112">
        <v>621</v>
      </c>
      <c r="D18" s="162"/>
      <c r="E18" s="162"/>
      <c r="F18" s="162"/>
      <c r="G18" s="162"/>
      <c r="H18" s="162"/>
    </row>
    <row r="19" spans="1:8" s="163" customFormat="1" ht="18" customHeight="1">
      <c r="A19" s="164" t="s">
        <v>14</v>
      </c>
      <c r="B19" s="165" t="s">
        <v>284</v>
      </c>
      <c r="C19" s="166">
        <v>621</v>
      </c>
      <c r="D19" s="162"/>
      <c r="E19" s="162"/>
      <c r="F19" s="162"/>
      <c r="G19" s="162"/>
      <c r="H19" s="162"/>
    </row>
    <row r="20" spans="1:8" s="163" customFormat="1" ht="18" customHeight="1">
      <c r="A20" s="99" t="s">
        <v>285</v>
      </c>
      <c r="B20" s="100" t="s">
        <v>286</v>
      </c>
      <c r="C20" s="112">
        <v>621</v>
      </c>
      <c r="D20" s="162"/>
      <c r="E20" s="162"/>
      <c r="F20" s="162"/>
      <c r="G20" s="162"/>
      <c r="H20" s="162"/>
    </row>
    <row r="21" spans="1:8" s="163" customFormat="1" ht="18" customHeight="1">
      <c r="A21" s="164" t="s">
        <v>261</v>
      </c>
      <c r="B21" s="165" t="s">
        <v>287</v>
      </c>
      <c r="C21" s="166">
        <v>621</v>
      </c>
      <c r="D21" s="162"/>
      <c r="E21" s="162"/>
      <c r="F21" s="162"/>
      <c r="G21" s="162"/>
      <c r="H21" s="162"/>
    </row>
    <row r="22" spans="1:8" s="163" customFormat="1" ht="18" customHeight="1">
      <c r="A22" s="99" t="s">
        <v>275</v>
      </c>
      <c r="B22" s="100" t="s">
        <v>276</v>
      </c>
      <c r="C22" s="112">
        <v>621</v>
      </c>
      <c r="D22" s="162"/>
      <c r="E22" s="162"/>
      <c r="F22" s="162"/>
      <c r="G22" s="162"/>
      <c r="H22" s="162"/>
    </row>
    <row r="23" spans="1:8" s="163" customFormat="1" ht="18" customHeight="1">
      <c r="A23" s="164" t="s">
        <v>288</v>
      </c>
      <c r="B23" s="165" t="s">
        <v>375</v>
      </c>
      <c r="C23" s="166">
        <v>621</v>
      </c>
      <c r="D23" s="162"/>
      <c r="E23" s="162"/>
      <c r="F23" s="162"/>
      <c r="G23" s="162"/>
      <c r="H23" s="162"/>
    </row>
    <row r="24" spans="1:8" s="163" customFormat="1" ht="18" customHeight="1">
      <c r="A24" s="164" t="s">
        <v>376</v>
      </c>
      <c r="B24" s="165" t="s">
        <v>377</v>
      </c>
      <c r="C24" s="166">
        <v>611</v>
      </c>
      <c r="D24" s="162"/>
      <c r="E24" s="162"/>
      <c r="F24" s="162"/>
      <c r="G24" s="162"/>
      <c r="H24" s="162"/>
    </row>
    <row r="25" spans="1:8" s="163" customFormat="1" ht="18" customHeight="1">
      <c r="A25" s="99" t="s">
        <v>175</v>
      </c>
      <c r="B25" s="100" t="s">
        <v>127</v>
      </c>
      <c r="C25" s="112">
        <v>621</v>
      </c>
      <c r="D25" s="162"/>
      <c r="E25" s="162"/>
      <c r="F25" s="162"/>
      <c r="G25" s="162"/>
      <c r="H25" s="162"/>
    </row>
    <row r="26" spans="1:8" s="163" customFormat="1" ht="18" customHeight="1">
      <c r="A26" s="164" t="s">
        <v>42</v>
      </c>
      <c r="B26" s="165" t="s">
        <v>289</v>
      </c>
      <c r="C26" s="166">
        <v>621</v>
      </c>
      <c r="D26" s="162"/>
      <c r="E26" s="162"/>
      <c r="F26" s="162"/>
      <c r="G26" s="162"/>
      <c r="H26" s="162"/>
    </row>
    <row r="27" spans="1:8" s="163" customFormat="1" ht="18" customHeight="1">
      <c r="A27" s="99" t="s">
        <v>290</v>
      </c>
      <c r="B27" s="100" t="s">
        <v>291</v>
      </c>
      <c r="C27" s="112">
        <v>621</v>
      </c>
      <c r="D27" s="162"/>
      <c r="E27" s="162"/>
      <c r="F27" s="162"/>
      <c r="G27" s="162"/>
      <c r="H27" s="162"/>
    </row>
    <row r="28" spans="1:8" s="163" customFormat="1" ht="18" customHeight="1">
      <c r="A28" s="164" t="s">
        <v>41</v>
      </c>
      <c r="B28" s="165" t="s">
        <v>162</v>
      </c>
      <c r="C28" s="166">
        <v>621</v>
      </c>
      <c r="D28" s="162"/>
      <c r="E28" s="162"/>
      <c r="F28" s="162"/>
      <c r="G28" s="162"/>
      <c r="H28" s="162"/>
    </row>
    <row r="29" spans="1:8" s="163" customFormat="1" ht="18" customHeight="1">
      <c r="A29" s="99" t="s">
        <v>115</v>
      </c>
      <c r="B29" s="100" t="s">
        <v>111</v>
      </c>
      <c r="C29" s="112">
        <v>621</v>
      </c>
      <c r="D29" s="162"/>
      <c r="E29" s="162"/>
      <c r="F29" s="162"/>
      <c r="G29" s="162"/>
      <c r="H29" s="162"/>
    </row>
    <row r="30" spans="1:8" s="163" customFormat="1" ht="18" customHeight="1">
      <c r="A30" s="164" t="s">
        <v>84</v>
      </c>
      <c r="B30" s="165" t="s">
        <v>123</v>
      </c>
      <c r="C30" s="166">
        <v>621</v>
      </c>
      <c r="D30" s="162"/>
      <c r="E30" s="162"/>
      <c r="F30" s="162"/>
      <c r="G30" s="162"/>
      <c r="H30" s="162"/>
    </row>
    <row r="31" spans="1:8" s="163" customFormat="1" ht="18" customHeight="1">
      <c r="A31" s="99" t="s">
        <v>86</v>
      </c>
      <c r="B31" s="100" t="s">
        <v>292</v>
      </c>
      <c r="C31" s="112">
        <v>621</v>
      </c>
      <c r="D31" s="162"/>
      <c r="E31" s="162"/>
      <c r="F31" s="162"/>
      <c r="G31" s="162"/>
      <c r="H31" s="162"/>
    </row>
    <row r="32" spans="1:8" s="163" customFormat="1" ht="18" customHeight="1">
      <c r="A32" s="164" t="s">
        <v>100</v>
      </c>
      <c r="B32" s="165" t="s">
        <v>293</v>
      </c>
      <c r="C32" s="166">
        <v>621</v>
      </c>
      <c r="D32" s="162"/>
      <c r="E32" s="162"/>
      <c r="F32" s="162"/>
      <c r="G32" s="162"/>
      <c r="H32" s="162"/>
    </row>
    <row r="33" spans="1:8" s="163" customFormat="1" ht="18" customHeight="1">
      <c r="A33" s="99" t="s">
        <v>207</v>
      </c>
      <c r="B33" s="100" t="s">
        <v>294</v>
      </c>
      <c r="C33" s="112">
        <v>621</v>
      </c>
      <c r="D33" s="162"/>
      <c r="E33" s="162"/>
      <c r="F33" s="162"/>
      <c r="G33" s="162"/>
      <c r="H33" s="162"/>
    </row>
    <row r="34" spans="1:8" s="163" customFormat="1" ht="18" customHeight="1">
      <c r="A34" s="164" t="s">
        <v>228</v>
      </c>
      <c r="B34" s="165" t="s">
        <v>295</v>
      </c>
      <c r="C34" s="166">
        <v>621</v>
      </c>
      <c r="D34" s="162"/>
      <c r="E34" s="162"/>
      <c r="F34" s="162"/>
      <c r="G34" s="162"/>
      <c r="H34" s="162"/>
    </row>
    <row r="35" spans="1:8" s="163" customFormat="1" ht="18" customHeight="1">
      <c r="A35" s="99" t="s">
        <v>120</v>
      </c>
      <c r="B35" s="100" t="s">
        <v>18</v>
      </c>
      <c r="C35" s="112">
        <v>621</v>
      </c>
      <c r="D35" s="162"/>
      <c r="E35" s="162"/>
      <c r="F35" s="162"/>
      <c r="G35" s="162"/>
      <c r="H35" s="162"/>
    </row>
    <row r="36" spans="1:8" s="163" customFormat="1" ht="18" customHeight="1">
      <c r="A36" s="164" t="s">
        <v>21</v>
      </c>
      <c r="B36" s="165" t="s">
        <v>164</v>
      </c>
      <c r="C36" s="166">
        <v>621</v>
      </c>
      <c r="D36" s="162"/>
      <c r="E36" s="162"/>
      <c r="F36" s="162"/>
      <c r="G36" s="162"/>
      <c r="H36" s="162"/>
    </row>
    <row r="37" spans="1:8" s="163" customFormat="1" ht="18" customHeight="1">
      <c r="A37" s="99" t="s">
        <v>72</v>
      </c>
      <c r="B37" s="100" t="s">
        <v>296</v>
      </c>
      <c r="C37" s="112">
        <v>621</v>
      </c>
      <c r="D37" s="162"/>
      <c r="E37" s="162"/>
      <c r="F37" s="162"/>
      <c r="G37" s="162"/>
      <c r="H37" s="162"/>
    </row>
    <row r="38" spans="1:8" s="163" customFormat="1" ht="18" customHeight="1">
      <c r="A38" s="164" t="s">
        <v>59</v>
      </c>
      <c r="B38" s="165" t="s">
        <v>297</v>
      </c>
      <c r="C38" s="166">
        <v>611</v>
      </c>
      <c r="D38" s="162"/>
      <c r="E38" s="162"/>
      <c r="F38" s="162"/>
      <c r="G38" s="162"/>
      <c r="H38" s="162"/>
    </row>
    <row r="39" spans="1:8" s="163" customFormat="1" ht="18" customHeight="1">
      <c r="A39" s="99" t="s">
        <v>20</v>
      </c>
      <c r="B39" s="100" t="s">
        <v>47</v>
      </c>
      <c r="C39" s="112">
        <v>621</v>
      </c>
      <c r="D39" s="162"/>
      <c r="E39" s="162"/>
      <c r="F39" s="162"/>
      <c r="G39" s="162"/>
      <c r="H39" s="162"/>
    </row>
    <row r="40" spans="1:8" s="163" customFormat="1" ht="18" customHeight="1">
      <c r="A40" s="164" t="s">
        <v>69</v>
      </c>
      <c r="B40" s="165" t="s">
        <v>298</v>
      </c>
      <c r="C40" s="166">
        <v>611</v>
      </c>
      <c r="D40" s="162"/>
      <c r="E40" s="162"/>
      <c r="F40" s="162"/>
      <c r="G40" s="162"/>
      <c r="H40" s="162"/>
    </row>
    <row r="41" spans="1:8" s="163" customFormat="1" ht="18" customHeight="1">
      <c r="A41" s="99" t="s">
        <v>110</v>
      </c>
      <c r="B41" s="100" t="s">
        <v>299</v>
      </c>
      <c r="C41" s="112">
        <v>621</v>
      </c>
      <c r="D41" s="162"/>
      <c r="E41" s="162"/>
      <c r="F41" s="162"/>
      <c r="G41" s="162"/>
      <c r="H41" s="162"/>
    </row>
    <row r="42" spans="1:8" s="163" customFormat="1" ht="18" customHeight="1">
      <c r="A42" s="164" t="s">
        <v>73</v>
      </c>
      <c r="B42" s="165" t="s">
        <v>300</v>
      </c>
      <c r="C42" s="166">
        <v>611</v>
      </c>
      <c r="D42" s="162"/>
      <c r="E42" s="162"/>
      <c r="F42" s="162"/>
      <c r="G42" s="162"/>
      <c r="H42" s="162"/>
    </row>
    <row r="43" spans="1:8" s="163" customFormat="1" ht="18" customHeight="1">
      <c r="A43" s="99" t="s">
        <v>252</v>
      </c>
      <c r="B43" s="100" t="s">
        <v>301</v>
      </c>
      <c r="C43" s="112">
        <v>611</v>
      </c>
      <c r="D43" s="162"/>
      <c r="E43" s="162"/>
      <c r="F43" s="162"/>
      <c r="G43" s="162"/>
      <c r="H43" s="162"/>
    </row>
    <row r="44" spans="1:8" s="163" customFormat="1" ht="18" customHeight="1">
      <c r="A44" s="164" t="s">
        <v>80</v>
      </c>
      <c r="B44" s="165" t="s">
        <v>302</v>
      </c>
      <c r="C44" s="166">
        <v>611</v>
      </c>
      <c r="D44" s="162"/>
      <c r="E44" s="162"/>
      <c r="F44" s="162"/>
      <c r="G44" s="162"/>
      <c r="H44" s="162"/>
    </row>
    <row r="45" spans="1:8" s="163" customFormat="1" ht="18" customHeight="1">
      <c r="A45" s="99" t="s">
        <v>126</v>
      </c>
      <c r="B45" s="100" t="s">
        <v>303</v>
      </c>
      <c r="C45" s="112">
        <v>611</v>
      </c>
      <c r="D45" s="162"/>
      <c r="E45" s="162"/>
      <c r="F45" s="162"/>
      <c r="G45" s="162"/>
      <c r="H45" s="162"/>
    </row>
    <row r="46" spans="1:8" s="163" customFormat="1" ht="18" customHeight="1">
      <c r="A46" s="164" t="s">
        <v>101</v>
      </c>
      <c r="B46" s="165" t="s">
        <v>304</v>
      </c>
      <c r="C46" s="166">
        <v>611</v>
      </c>
      <c r="D46" s="162"/>
      <c r="E46" s="162"/>
      <c r="F46" s="162"/>
      <c r="G46" s="162"/>
      <c r="H46" s="162"/>
    </row>
    <row r="47" spans="1:8" s="163" customFormat="1" ht="18" customHeight="1">
      <c r="A47" s="99" t="s">
        <v>137</v>
      </c>
      <c r="B47" s="100" t="s">
        <v>170</v>
      </c>
      <c r="C47" s="112">
        <v>621</v>
      </c>
      <c r="D47" s="162"/>
      <c r="E47" s="162"/>
      <c r="F47" s="162"/>
      <c r="G47" s="162"/>
      <c r="H47" s="162"/>
    </row>
    <row r="48" spans="1:8" s="163" customFormat="1" ht="18" customHeight="1">
      <c r="A48" s="164" t="s">
        <v>128</v>
      </c>
      <c r="B48" s="165" t="s">
        <v>378</v>
      </c>
      <c r="C48" s="166">
        <v>621</v>
      </c>
      <c r="D48" s="162"/>
      <c r="E48" s="162"/>
      <c r="F48" s="162"/>
      <c r="G48" s="162"/>
      <c r="H48" s="162"/>
    </row>
    <row r="49" spans="1:8" s="163" customFormat="1" ht="18" customHeight="1">
      <c r="A49" s="99" t="s">
        <v>171</v>
      </c>
      <c r="B49" s="100" t="s">
        <v>305</v>
      </c>
      <c r="C49" s="112">
        <v>611</v>
      </c>
      <c r="D49" s="162"/>
      <c r="E49" s="162"/>
      <c r="F49" s="162"/>
      <c r="G49" s="162"/>
      <c r="H49" s="162"/>
    </row>
    <row r="50" spans="1:8" s="163" customFormat="1" ht="18" customHeight="1">
      <c r="A50" s="164" t="s">
        <v>190</v>
      </c>
      <c r="B50" s="165" t="s">
        <v>209</v>
      </c>
      <c r="C50" s="166">
        <v>621</v>
      </c>
      <c r="D50" s="162"/>
      <c r="E50" s="162"/>
      <c r="F50" s="162"/>
      <c r="G50" s="162"/>
      <c r="H50" s="162"/>
    </row>
    <row r="51" spans="1:8" s="163" customFormat="1" ht="18" customHeight="1">
      <c r="A51" s="99" t="s">
        <v>210</v>
      </c>
      <c r="B51" s="100" t="s">
        <v>38</v>
      </c>
      <c r="C51" s="112">
        <v>611</v>
      </c>
      <c r="D51" s="162"/>
      <c r="E51" s="162"/>
      <c r="F51" s="162"/>
      <c r="G51" s="162"/>
      <c r="H51" s="162"/>
    </row>
    <row r="52" spans="1:8" s="163" customFormat="1" ht="18" customHeight="1">
      <c r="A52" s="164" t="s">
        <v>116</v>
      </c>
      <c r="B52" s="165" t="s">
        <v>306</v>
      </c>
      <c r="C52" s="166">
        <v>611</v>
      </c>
      <c r="D52" s="162"/>
      <c r="E52" s="162"/>
      <c r="F52" s="162"/>
      <c r="G52" s="162"/>
      <c r="H52" s="162"/>
    </row>
    <row r="53" spans="1:8" s="163" customFormat="1" ht="18" customHeight="1">
      <c r="A53" s="99" t="s">
        <v>183</v>
      </c>
      <c r="B53" s="100" t="s">
        <v>245</v>
      </c>
      <c r="C53" s="112">
        <v>621</v>
      </c>
      <c r="D53" s="162"/>
      <c r="E53" s="162"/>
      <c r="F53" s="162"/>
      <c r="G53" s="162"/>
      <c r="H53" s="162"/>
    </row>
    <row r="54" spans="1:8" s="163" customFormat="1" ht="18" customHeight="1">
      <c r="A54" s="164" t="s">
        <v>57</v>
      </c>
      <c r="B54" s="165" t="s">
        <v>223</v>
      </c>
      <c r="C54" s="166">
        <v>621</v>
      </c>
      <c r="D54" s="162"/>
      <c r="E54" s="162"/>
      <c r="F54" s="162"/>
      <c r="G54" s="162"/>
      <c r="H54" s="162"/>
    </row>
    <row r="55" spans="1:8" s="163" customFormat="1" ht="18" customHeight="1">
      <c r="A55" s="99" t="s">
        <v>230</v>
      </c>
      <c r="B55" s="100" t="s">
        <v>379</v>
      </c>
      <c r="C55" s="112">
        <v>621</v>
      </c>
      <c r="D55" s="162"/>
      <c r="E55" s="162"/>
      <c r="F55" s="162"/>
      <c r="G55" s="162"/>
      <c r="H55" s="162"/>
    </row>
    <row r="56" spans="1:8" s="163" customFormat="1" ht="18" customHeight="1">
      <c r="A56" s="164" t="s">
        <v>235</v>
      </c>
      <c r="B56" s="165" t="s">
        <v>23</v>
      </c>
      <c r="C56" s="166">
        <v>611</v>
      </c>
      <c r="D56" s="162"/>
      <c r="E56" s="162"/>
      <c r="F56" s="162"/>
      <c r="G56" s="162"/>
      <c r="H56" s="162"/>
    </row>
    <row r="57" spans="1:8" s="163" customFormat="1" ht="18" customHeight="1">
      <c r="A57" s="99" t="s">
        <v>7</v>
      </c>
      <c r="B57" s="100" t="s">
        <v>102</v>
      </c>
      <c r="C57" s="112">
        <v>621</v>
      </c>
      <c r="D57" s="162"/>
      <c r="E57" s="162"/>
      <c r="F57" s="162"/>
      <c r="G57" s="162"/>
      <c r="H57" s="162"/>
    </row>
    <row r="58" spans="1:8" s="163" customFormat="1" ht="18" customHeight="1">
      <c r="A58" s="164" t="s">
        <v>35</v>
      </c>
      <c r="B58" s="165" t="s">
        <v>307</v>
      </c>
      <c r="C58" s="166">
        <v>611</v>
      </c>
      <c r="D58" s="162"/>
      <c r="E58" s="162"/>
      <c r="F58" s="162"/>
      <c r="G58" s="162"/>
      <c r="H58" s="162"/>
    </row>
    <row r="59" spans="1:8" s="163" customFormat="1" ht="18" customHeight="1">
      <c r="A59" s="99" t="s">
        <v>231</v>
      </c>
      <c r="B59" s="100" t="s">
        <v>308</v>
      </c>
      <c r="C59" s="112">
        <v>611</v>
      </c>
      <c r="D59" s="162"/>
      <c r="E59" s="162"/>
      <c r="F59" s="162"/>
      <c r="G59" s="162"/>
      <c r="H59" s="162"/>
    </row>
    <row r="60" spans="1:8" s="163" customFormat="1" ht="18" customHeight="1">
      <c r="A60" s="164" t="s">
        <v>232</v>
      </c>
      <c r="B60" s="165" t="s">
        <v>262</v>
      </c>
      <c r="C60" s="166">
        <v>621</v>
      </c>
      <c r="D60" s="162"/>
      <c r="E60" s="162"/>
      <c r="F60" s="162"/>
      <c r="G60" s="162"/>
      <c r="H60" s="162"/>
    </row>
    <row r="61" spans="1:8" s="163" customFormat="1" ht="18" customHeight="1">
      <c r="A61" s="99" t="s">
        <v>96</v>
      </c>
      <c r="B61" s="100" t="s">
        <v>97</v>
      </c>
      <c r="C61" s="112">
        <v>621</v>
      </c>
      <c r="D61" s="162"/>
      <c r="E61" s="162"/>
      <c r="F61" s="162"/>
      <c r="G61" s="162"/>
      <c r="H61" s="162"/>
    </row>
    <row r="62" spans="1:8" s="163" customFormat="1" ht="18" customHeight="1">
      <c r="A62" s="164" t="s">
        <v>185</v>
      </c>
      <c r="B62" s="165" t="s">
        <v>27</v>
      </c>
      <c r="C62" s="166">
        <v>621</v>
      </c>
      <c r="D62" s="162"/>
      <c r="E62" s="162"/>
      <c r="F62" s="162"/>
      <c r="G62" s="162"/>
      <c r="H62" s="162"/>
    </row>
    <row r="63" spans="1:8" s="163" customFormat="1" ht="18" customHeight="1">
      <c r="A63" s="99" t="s">
        <v>89</v>
      </c>
      <c r="B63" s="100" t="s">
        <v>309</v>
      </c>
      <c r="C63" s="112">
        <v>621</v>
      </c>
      <c r="D63" s="162"/>
      <c r="E63" s="162"/>
      <c r="F63" s="162"/>
      <c r="G63" s="162"/>
      <c r="H63" s="162"/>
    </row>
    <row r="64" spans="1:8" s="163" customFormat="1" ht="18" customHeight="1">
      <c r="A64" s="164" t="s">
        <v>216</v>
      </c>
      <c r="B64" s="165" t="s">
        <v>310</v>
      </c>
      <c r="C64" s="166">
        <v>611</v>
      </c>
      <c r="D64" s="162"/>
      <c r="E64" s="162"/>
      <c r="F64" s="162"/>
      <c r="G64" s="162"/>
      <c r="H64" s="162"/>
    </row>
    <row r="65" spans="1:8" s="163" customFormat="1" ht="18" customHeight="1">
      <c r="A65" s="99" t="s">
        <v>196</v>
      </c>
      <c r="B65" s="100" t="s">
        <v>311</v>
      </c>
      <c r="C65" s="112">
        <v>621</v>
      </c>
      <c r="D65" s="162"/>
      <c r="E65" s="162"/>
      <c r="F65" s="162"/>
      <c r="G65" s="162"/>
      <c r="H65" s="162"/>
    </row>
    <row r="66" spans="1:8" s="163" customFormat="1" ht="18" customHeight="1">
      <c r="A66" s="164" t="s">
        <v>200</v>
      </c>
      <c r="B66" s="165" t="s">
        <v>312</v>
      </c>
      <c r="C66" s="166">
        <v>611</v>
      </c>
      <c r="D66" s="162"/>
      <c r="E66" s="162"/>
      <c r="F66" s="162"/>
      <c r="G66" s="162"/>
      <c r="H66" s="162"/>
    </row>
    <row r="67" spans="1:8" s="163" customFormat="1" ht="18" customHeight="1">
      <c r="A67" s="99" t="s">
        <v>242</v>
      </c>
      <c r="B67" s="100" t="s">
        <v>243</v>
      </c>
      <c r="C67" s="112">
        <v>621</v>
      </c>
      <c r="D67" s="162"/>
      <c r="E67" s="162"/>
      <c r="F67" s="162"/>
      <c r="G67" s="162"/>
      <c r="H67" s="162"/>
    </row>
    <row r="68" spans="1:8" s="163" customFormat="1" ht="18" customHeight="1">
      <c r="A68" s="164" t="s">
        <v>95</v>
      </c>
      <c r="B68" s="165" t="s">
        <v>313</v>
      </c>
      <c r="C68" s="166">
        <v>621</v>
      </c>
      <c r="D68" s="162"/>
      <c r="E68" s="162"/>
      <c r="F68" s="162"/>
      <c r="G68" s="162"/>
      <c r="H68" s="162"/>
    </row>
    <row r="69" spans="1:8" s="163" customFormat="1" ht="18" customHeight="1">
      <c r="A69" s="99" t="s">
        <v>148</v>
      </c>
      <c r="B69" s="100" t="s">
        <v>380</v>
      </c>
      <c r="C69" s="112">
        <v>621</v>
      </c>
      <c r="D69" s="162"/>
      <c r="E69" s="162"/>
      <c r="F69" s="162"/>
      <c r="G69" s="162"/>
      <c r="H69" s="162"/>
    </row>
    <row r="70" spans="1:8" ht="18" customHeight="1">
      <c r="A70" s="164" t="s">
        <v>104</v>
      </c>
      <c r="B70" s="165" t="s">
        <v>381</v>
      </c>
      <c r="C70" s="166">
        <v>611</v>
      </c>
      <c r="D70" s="101"/>
      <c r="E70" s="101"/>
      <c r="F70" s="101"/>
      <c r="G70" s="101"/>
      <c r="H70" s="101"/>
    </row>
    <row r="71" spans="1:8" s="163" customFormat="1" ht="18" customHeight="1">
      <c r="A71" s="99" t="s">
        <v>70</v>
      </c>
      <c r="B71" s="100" t="s">
        <v>382</v>
      </c>
      <c r="C71" s="112">
        <v>621</v>
      </c>
      <c r="D71" s="162"/>
      <c r="E71" s="162"/>
      <c r="F71" s="162"/>
      <c r="G71" s="162"/>
      <c r="H71" s="162"/>
    </row>
    <row r="72" spans="1:8" ht="18" customHeight="1">
      <c r="A72" s="164" t="s">
        <v>19</v>
      </c>
      <c r="B72" s="165" t="s">
        <v>383</v>
      </c>
      <c r="C72" s="166">
        <v>621</v>
      </c>
      <c r="D72" s="101"/>
      <c r="E72" s="101"/>
      <c r="F72" s="101"/>
      <c r="G72" s="101"/>
      <c r="H72" s="101"/>
    </row>
    <row r="73" spans="1:8" s="163" customFormat="1" ht="18" customHeight="1">
      <c r="A73" s="99" t="s">
        <v>60</v>
      </c>
      <c r="B73" s="100" t="s">
        <v>384</v>
      </c>
      <c r="C73" s="112">
        <v>611</v>
      </c>
      <c r="D73" s="162"/>
      <c r="E73" s="162"/>
      <c r="F73" s="162"/>
      <c r="G73" s="162"/>
      <c r="H73" s="162"/>
    </row>
    <row r="74" spans="1:8" ht="18" customHeight="1">
      <c r="A74" s="164" t="s">
        <v>83</v>
      </c>
      <c r="B74" s="165" t="s">
        <v>385</v>
      </c>
      <c r="C74" s="166">
        <v>611</v>
      </c>
      <c r="D74" s="101"/>
      <c r="E74" s="101"/>
      <c r="F74" s="101"/>
      <c r="G74" s="101"/>
      <c r="H74" s="101"/>
    </row>
    <row r="75" spans="1:8" s="163" customFormat="1" ht="18" customHeight="1">
      <c r="A75" s="99" t="s">
        <v>253</v>
      </c>
      <c r="B75" s="100" t="s">
        <v>314</v>
      </c>
      <c r="C75" s="112">
        <v>611</v>
      </c>
      <c r="D75" s="162"/>
      <c r="E75" s="162"/>
      <c r="F75" s="162"/>
      <c r="G75" s="162"/>
      <c r="H75" s="162"/>
    </row>
    <row r="76" spans="1:8" ht="18" customHeight="1">
      <c r="A76" s="164" t="s">
        <v>193</v>
      </c>
      <c r="B76" s="165" t="s">
        <v>315</v>
      </c>
      <c r="C76" s="166">
        <v>621</v>
      </c>
      <c r="D76" s="101"/>
      <c r="E76" s="101"/>
      <c r="F76" s="101"/>
      <c r="G76" s="101"/>
      <c r="H76" s="101"/>
    </row>
    <row r="77" spans="1:8" s="163" customFormat="1" ht="18" customHeight="1">
      <c r="A77" s="99" t="s">
        <v>237</v>
      </c>
      <c r="B77" s="100" t="s">
        <v>141</v>
      </c>
      <c r="C77" s="112">
        <v>621</v>
      </c>
      <c r="D77" s="162"/>
      <c r="E77" s="162"/>
      <c r="F77" s="162"/>
      <c r="G77" s="162"/>
      <c r="H77" s="162"/>
    </row>
    <row r="78" spans="1:8" ht="18" customHeight="1">
      <c r="A78" s="164" t="s">
        <v>154</v>
      </c>
      <c r="B78" s="165" t="s">
        <v>316</v>
      </c>
      <c r="C78" s="166">
        <v>621</v>
      </c>
      <c r="D78" s="101"/>
      <c r="E78" s="101"/>
      <c r="F78" s="101"/>
      <c r="G78" s="101"/>
      <c r="H78" s="101"/>
    </row>
    <row r="79" spans="1:8" s="163" customFormat="1" ht="18" customHeight="1">
      <c r="A79" s="99" t="s">
        <v>145</v>
      </c>
      <c r="B79" s="100" t="s">
        <v>204</v>
      </c>
      <c r="C79" s="112">
        <v>621</v>
      </c>
      <c r="D79" s="162"/>
      <c r="E79" s="162"/>
      <c r="F79" s="162"/>
      <c r="G79" s="162"/>
      <c r="H79" s="162"/>
    </row>
    <row r="80" spans="1:8" ht="18" customHeight="1">
      <c r="A80" s="164"/>
      <c r="B80" s="165"/>
      <c r="C80" s="166"/>
      <c r="D80" s="101"/>
      <c r="E80" s="101"/>
      <c r="F80" s="101"/>
      <c r="G80" s="101"/>
      <c r="H80" s="101"/>
    </row>
    <row r="81" spans="1:8" s="163" customFormat="1" ht="18" customHeight="1">
      <c r="A81" s="99" t="s">
        <v>224</v>
      </c>
      <c r="B81" s="100" t="s">
        <v>317</v>
      </c>
      <c r="C81" s="112">
        <v>621</v>
      </c>
      <c r="D81" s="162"/>
      <c r="E81" s="162"/>
      <c r="F81" s="162"/>
      <c r="G81" s="162"/>
      <c r="H81" s="162"/>
    </row>
    <row r="82" spans="1:8" ht="18" customHeight="1">
      <c r="A82" s="164" t="s">
        <v>143</v>
      </c>
      <c r="B82" s="165" t="s">
        <v>318</v>
      </c>
      <c r="C82" s="166">
        <v>621</v>
      </c>
      <c r="D82" s="101"/>
      <c r="E82" s="101"/>
      <c r="F82" s="101"/>
      <c r="G82" s="101"/>
      <c r="H82" s="101"/>
    </row>
    <row r="83" spans="1:8" s="163" customFormat="1" ht="18" customHeight="1">
      <c r="A83" s="99" t="s">
        <v>144</v>
      </c>
      <c r="B83" s="100" t="s">
        <v>319</v>
      </c>
      <c r="C83" s="112">
        <v>611</v>
      </c>
      <c r="D83" s="162"/>
      <c r="E83" s="162"/>
      <c r="F83" s="162"/>
      <c r="G83" s="162"/>
      <c r="H83" s="162"/>
    </row>
    <row r="84" spans="1:8" ht="18" customHeight="1">
      <c r="A84" s="164" t="s">
        <v>129</v>
      </c>
      <c r="B84" s="165" t="s">
        <v>320</v>
      </c>
      <c r="C84" s="166">
        <v>611</v>
      </c>
      <c r="D84" s="101"/>
      <c r="E84" s="101"/>
      <c r="F84" s="101"/>
      <c r="G84" s="101"/>
      <c r="H84" s="101"/>
    </row>
    <row r="85" spans="1:8" s="163" customFormat="1" ht="18" customHeight="1">
      <c r="A85" s="99" t="s">
        <v>67</v>
      </c>
      <c r="B85" s="100" t="s">
        <v>321</v>
      </c>
      <c r="C85" s="112">
        <v>621</v>
      </c>
      <c r="D85" s="162"/>
      <c r="E85" s="162"/>
      <c r="F85" s="162"/>
      <c r="G85" s="162"/>
      <c r="H85" s="162"/>
    </row>
    <row r="86" spans="1:8" ht="18" customHeight="1">
      <c r="A86" s="164" t="s">
        <v>75</v>
      </c>
      <c r="B86" s="165" t="s">
        <v>263</v>
      </c>
      <c r="C86" s="166">
        <v>621</v>
      </c>
      <c r="D86" s="101"/>
      <c r="E86" s="101"/>
      <c r="F86" s="101"/>
      <c r="G86" s="101"/>
      <c r="H86" s="101"/>
    </row>
    <row r="87" spans="1:8" s="163" customFormat="1" ht="18" customHeight="1">
      <c r="A87" s="99" t="s">
        <v>76</v>
      </c>
      <c r="B87" s="100" t="s">
        <v>322</v>
      </c>
      <c r="C87" s="112">
        <v>611</v>
      </c>
      <c r="D87" s="162"/>
      <c r="E87" s="162"/>
      <c r="F87" s="162"/>
      <c r="G87" s="162"/>
      <c r="H87" s="162"/>
    </row>
    <row r="88" spans="1:8" ht="18" customHeight="1">
      <c r="A88" s="164" t="s">
        <v>257</v>
      </c>
      <c r="B88" s="168" t="s">
        <v>323</v>
      </c>
      <c r="C88" s="166">
        <v>621</v>
      </c>
      <c r="D88" s="101"/>
      <c r="E88" s="101"/>
      <c r="F88" s="101"/>
      <c r="G88" s="101"/>
      <c r="H88" s="101"/>
    </row>
    <row r="89" spans="1:8" s="163" customFormat="1" ht="18" customHeight="1">
      <c r="A89" s="99" t="s">
        <v>236</v>
      </c>
      <c r="B89" s="111" t="s">
        <v>324</v>
      </c>
      <c r="C89" s="112">
        <v>621</v>
      </c>
      <c r="D89" s="162"/>
      <c r="E89" s="162"/>
      <c r="F89" s="162"/>
      <c r="G89" s="162"/>
      <c r="H89" s="162"/>
    </row>
    <row r="90" spans="1:8" ht="18" customHeight="1">
      <c r="A90" s="164" t="s">
        <v>29</v>
      </c>
      <c r="B90" s="168" t="s">
        <v>386</v>
      </c>
      <c r="C90" s="166">
        <v>611</v>
      </c>
      <c r="D90" s="101"/>
      <c r="E90" s="101"/>
      <c r="F90" s="101"/>
      <c r="G90" s="101"/>
      <c r="H90" s="101"/>
    </row>
    <row r="91" spans="1:8" s="163" customFormat="1" ht="18" customHeight="1">
      <c r="A91" s="99" t="s">
        <v>258</v>
      </c>
      <c r="B91" s="111" t="s">
        <v>387</v>
      </c>
      <c r="C91" s="112">
        <v>621</v>
      </c>
      <c r="D91" s="162"/>
      <c r="E91" s="162"/>
      <c r="F91" s="162"/>
      <c r="G91" s="162"/>
      <c r="H91" s="162"/>
    </row>
    <row r="92" spans="1:8" ht="18" customHeight="1">
      <c r="A92" s="164"/>
      <c r="B92" s="168"/>
      <c r="C92" s="166"/>
      <c r="D92" s="101"/>
      <c r="E92" s="101"/>
      <c r="F92" s="101"/>
      <c r="G92" s="101"/>
      <c r="H92" s="101"/>
    </row>
    <row r="93" spans="1:8" s="163" customFormat="1" ht="18" customHeight="1">
      <c r="A93" s="99" t="s">
        <v>140</v>
      </c>
      <c r="B93" s="111" t="s">
        <v>325</v>
      </c>
      <c r="C93" s="112">
        <v>621</v>
      </c>
      <c r="D93" s="162"/>
      <c r="E93" s="162"/>
      <c r="F93" s="162"/>
      <c r="G93" s="162"/>
      <c r="H93" s="162"/>
    </row>
    <row r="94" spans="1:8" ht="18" customHeight="1">
      <c r="A94" s="164" t="s">
        <v>247</v>
      </c>
      <c r="B94" s="168" t="s">
        <v>326</v>
      </c>
      <c r="C94" s="166">
        <v>621</v>
      </c>
      <c r="D94" s="101"/>
      <c r="E94" s="101"/>
      <c r="F94" s="101"/>
      <c r="G94" s="101"/>
      <c r="H94" s="101"/>
    </row>
    <row r="95" spans="1:8" s="163" customFormat="1" ht="18" customHeight="1">
      <c r="A95" s="99" t="s">
        <v>191</v>
      </c>
      <c r="B95" s="111" t="s">
        <v>327</v>
      </c>
      <c r="C95" s="112">
        <v>621</v>
      </c>
      <c r="D95" s="162"/>
      <c r="E95" s="162"/>
      <c r="F95" s="162"/>
      <c r="G95" s="162"/>
      <c r="H95" s="162"/>
    </row>
    <row r="96" spans="1:8" ht="18" customHeight="1">
      <c r="A96" s="164" t="s">
        <v>328</v>
      </c>
      <c r="B96" s="168" t="s">
        <v>329</v>
      </c>
      <c r="C96" s="166">
        <v>621</v>
      </c>
      <c r="D96" s="101"/>
      <c r="E96" s="101"/>
      <c r="F96" s="101"/>
      <c r="G96" s="101"/>
      <c r="H96" s="101"/>
    </row>
    <row r="97" spans="1:8" s="163" customFormat="1" ht="18" customHeight="1">
      <c r="A97" s="99" t="s">
        <v>264</v>
      </c>
      <c r="B97" s="111" t="s">
        <v>330</v>
      </c>
      <c r="C97" s="112">
        <v>621</v>
      </c>
      <c r="D97" s="162"/>
      <c r="E97" s="162"/>
      <c r="F97" s="162"/>
      <c r="G97" s="162"/>
      <c r="H97" s="162"/>
    </row>
    <row r="98" spans="1:8" ht="18" customHeight="1">
      <c r="A98" s="164" t="s">
        <v>205</v>
      </c>
      <c r="B98" s="168" t="s">
        <v>272</v>
      </c>
      <c r="C98" s="166">
        <v>621</v>
      </c>
      <c r="D98" s="101"/>
      <c r="E98" s="101"/>
      <c r="F98" s="101"/>
      <c r="G98" s="101"/>
      <c r="H98" s="101"/>
    </row>
    <row r="99" spans="1:8" s="163" customFormat="1" ht="18" customHeight="1">
      <c r="A99" s="99" t="s">
        <v>173</v>
      </c>
      <c r="B99" s="111" t="s">
        <v>331</v>
      </c>
      <c r="C99" s="112">
        <v>621</v>
      </c>
      <c r="D99" s="162"/>
      <c r="E99" s="162"/>
      <c r="F99" s="162"/>
      <c r="G99" s="162"/>
      <c r="H99" s="162"/>
    </row>
    <row r="100" spans="1:8" ht="18" customHeight="1">
      <c r="A100" s="164" t="s">
        <v>92</v>
      </c>
      <c r="B100" s="168" t="s">
        <v>388</v>
      </c>
      <c r="C100" s="166">
        <v>621</v>
      </c>
      <c r="D100" s="101"/>
      <c r="E100" s="101"/>
      <c r="F100" s="101"/>
      <c r="G100" s="101"/>
      <c r="H100" s="101"/>
    </row>
    <row r="101" spans="1:8" s="163" customFormat="1" ht="18" customHeight="1">
      <c r="A101" s="99" t="s">
        <v>64</v>
      </c>
      <c r="B101" s="111" t="s">
        <v>332</v>
      </c>
      <c r="C101" s="112">
        <v>621</v>
      </c>
      <c r="D101" s="162"/>
      <c r="E101" s="162"/>
      <c r="F101" s="162"/>
      <c r="G101" s="162"/>
      <c r="H101" s="162"/>
    </row>
    <row r="102" spans="1:8" ht="18" customHeight="1">
      <c r="A102" s="164" t="s">
        <v>103</v>
      </c>
      <c r="B102" s="168" t="s">
        <v>333</v>
      </c>
      <c r="C102" s="166">
        <v>621</v>
      </c>
      <c r="D102" s="101"/>
      <c r="E102" s="101"/>
      <c r="F102" s="101"/>
      <c r="G102" s="101"/>
      <c r="H102" s="101"/>
    </row>
    <row r="103" spans="1:8" s="163" customFormat="1" ht="18" customHeight="1">
      <c r="A103" s="99" t="s">
        <v>15</v>
      </c>
      <c r="B103" s="111" t="s">
        <v>157</v>
      </c>
      <c r="C103" s="112">
        <v>621</v>
      </c>
      <c r="D103" s="162"/>
      <c r="E103" s="162"/>
      <c r="F103" s="162"/>
      <c r="G103" s="162"/>
      <c r="H103" s="162"/>
    </row>
    <row r="104" spans="1:8" ht="18" customHeight="1">
      <c r="A104" s="164" t="s">
        <v>28</v>
      </c>
      <c r="B104" s="168" t="s">
        <v>389</v>
      </c>
      <c r="C104" s="166">
        <v>621</v>
      </c>
      <c r="D104" s="101"/>
      <c r="E104" s="101"/>
      <c r="F104" s="101"/>
      <c r="G104" s="101"/>
      <c r="H104" s="101"/>
    </row>
    <row r="105" spans="1:8" s="163" customFormat="1" ht="18" customHeight="1">
      <c r="A105" s="99" t="s">
        <v>158</v>
      </c>
      <c r="B105" s="111" t="s">
        <v>334</v>
      </c>
      <c r="C105" s="112">
        <v>611</v>
      </c>
      <c r="D105" s="162"/>
      <c r="E105" s="162"/>
      <c r="F105" s="162"/>
      <c r="G105" s="162"/>
      <c r="H105" s="162"/>
    </row>
    <row r="106" spans="1:8" ht="18" customHeight="1">
      <c r="A106" s="164" t="s">
        <v>91</v>
      </c>
      <c r="B106" s="168" t="s">
        <v>218</v>
      </c>
      <c r="C106" s="166">
        <v>621</v>
      </c>
      <c r="D106" s="101"/>
      <c r="E106" s="101"/>
      <c r="F106" s="101"/>
      <c r="G106" s="101"/>
      <c r="H106" s="101"/>
    </row>
    <row r="107" spans="1:8" s="163" customFormat="1" ht="18" customHeight="1">
      <c r="A107" s="99" t="s">
        <v>159</v>
      </c>
      <c r="B107" s="111" t="s">
        <v>335</v>
      </c>
      <c r="C107" s="112">
        <v>621</v>
      </c>
      <c r="D107" s="162"/>
      <c r="E107" s="162"/>
      <c r="F107" s="162"/>
      <c r="G107" s="162"/>
      <c r="H107" s="162"/>
    </row>
    <row r="108" spans="1:8" s="163" customFormat="1" ht="18" customHeight="1">
      <c r="A108" s="164" t="s">
        <v>336</v>
      </c>
      <c r="B108" s="168" t="s">
        <v>390</v>
      </c>
      <c r="C108" s="166">
        <v>621</v>
      </c>
      <c r="D108" s="162"/>
      <c r="E108" s="162"/>
      <c r="F108" s="162"/>
      <c r="G108" s="162"/>
      <c r="H108" s="162"/>
    </row>
    <row r="109" spans="1:8" s="163" customFormat="1" ht="18" customHeight="1">
      <c r="A109" s="99" t="s">
        <v>266</v>
      </c>
      <c r="B109" s="111" t="s">
        <v>267</v>
      </c>
      <c r="C109" s="112">
        <v>621</v>
      </c>
      <c r="D109" s="162"/>
      <c r="E109" s="162"/>
      <c r="F109" s="162"/>
      <c r="G109" s="162"/>
      <c r="H109" s="162"/>
    </row>
    <row r="110" spans="1:8" s="163" customFormat="1" ht="18" customHeight="1">
      <c r="A110" s="164" t="s">
        <v>337</v>
      </c>
      <c r="B110" s="168" t="s">
        <v>338</v>
      </c>
      <c r="C110" s="166">
        <v>621</v>
      </c>
      <c r="D110" s="162"/>
      <c r="E110" s="162"/>
      <c r="F110" s="162"/>
      <c r="G110" s="162"/>
      <c r="H110" s="162"/>
    </row>
    <row r="111" spans="1:8" s="163" customFormat="1" ht="18" customHeight="1">
      <c r="A111" s="99" t="s">
        <v>339</v>
      </c>
      <c r="B111" s="111" t="s">
        <v>340</v>
      </c>
      <c r="C111" s="112">
        <v>611</v>
      </c>
      <c r="D111" s="162"/>
      <c r="E111" s="162"/>
      <c r="F111" s="162"/>
      <c r="G111" s="162"/>
      <c r="H111" s="162"/>
    </row>
    <row r="112" spans="1:8" s="163" customFormat="1" ht="18" customHeight="1">
      <c r="A112" s="164" t="s">
        <v>160</v>
      </c>
      <c r="B112" s="168" t="s">
        <v>341</v>
      </c>
      <c r="C112" s="166">
        <v>621</v>
      </c>
      <c r="D112" s="162"/>
      <c r="E112" s="162"/>
      <c r="F112" s="162"/>
      <c r="G112" s="162"/>
      <c r="H112" s="162"/>
    </row>
    <row r="113" spans="1:8" s="163" customFormat="1" ht="18" customHeight="1">
      <c r="A113" s="99" t="s">
        <v>212</v>
      </c>
      <c r="B113" s="111" t="s">
        <v>213</v>
      </c>
      <c r="C113" s="112">
        <v>621</v>
      </c>
      <c r="D113" s="162"/>
      <c r="E113" s="162"/>
      <c r="F113" s="162"/>
      <c r="G113" s="162"/>
      <c r="H113" s="162"/>
    </row>
    <row r="114" spans="1:8" ht="18" customHeight="1">
      <c r="A114" s="164" t="s">
        <v>342</v>
      </c>
      <c r="B114" s="168" t="s">
        <v>343</v>
      </c>
      <c r="C114" s="166">
        <v>621</v>
      </c>
      <c r="D114" s="101"/>
      <c r="E114" s="101"/>
      <c r="F114" s="101"/>
      <c r="G114" s="101"/>
      <c r="H114" s="101"/>
    </row>
    <row r="115" spans="1:8" s="163" customFormat="1" ht="18" customHeight="1">
      <c r="A115" s="99" t="s">
        <v>214</v>
      </c>
      <c r="B115" s="111" t="s">
        <v>344</v>
      </c>
      <c r="C115" s="112">
        <v>621</v>
      </c>
      <c r="D115" s="162"/>
      <c r="E115" s="162"/>
      <c r="F115" s="162"/>
      <c r="G115" s="162"/>
      <c r="H115" s="162"/>
    </row>
    <row r="116" spans="1:8" ht="18" customHeight="1">
      <c r="A116" s="164" t="s">
        <v>265</v>
      </c>
      <c r="B116" s="168" t="s">
        <v>345</v>
      </c>
      <c r="C116" s="166">
        <v>621</v>
      </c>
      <c r="D116" s="101"/>
      <c r="E116" s="101"/>
      <c r="F116" s="101"/>
      <c r="G116" s="101"/>
      <c r="H116" s="101"/>
    </row>
    <row r="117" spans="1:8" s="163" customFormat="1" ht="18" customHeight="1">
      <c r="A117" s="99" t="s">
        <v>346</v>
      </c>
      <c r="B117" s="111" t="s">
        <v>391</v>
      </c>
      <c r="C117" s="112">
        <v>621</v>
      </c>
      <c r="D117" s="162"/>
      <c r="E117" s="162"/>
      <c r="F117" s="162"/>
      <c r="G117" s="162"/>
      <c r="H117" s="162"/>
    </row>
    <row r="118" spans="1:8" ht="18" customHeight="1">
      <c r="A118" s="164" t="s">
        <v>347</v>
      </c>
      <c r="B118" s="168" t="s">
        <v>348</v>
      </c>
      <c r="C118" s="166">
        <v>621</v>
      </c>
      <c r="D118" s="101"/>
      <c r="E118" s="101"/>
      <c r="F118" s="101"/>
      <c r="G118" s="101"/>
      <c r="H118" s="101"/>
    </row>
    <row r="119" spans="1:8" s="163" customFormat="1" ht="18" customHeight="1">
      <c r="A119" s="99" t="s">
        <v>349</v>
      </c>
      <c r="B119" s="111" t="s">
        <v>350</v>
      </c>
      <c r="C119" s="112">
        <v>621</v>
      </c>
      <c r="D119" s="162"/>
      <c r="E119" s="162"/>
      <c r="F119" s="162"/>
      <c r="G119" s="162"/>
      <c r="H119" s="162"/>
    </row>
    <row r="120" spans="1:8" s="163" customFormat="1" ht="18" customHeight="1">
      <c r="A120" s="164" t="s">
        <v>351</v>
      </c>
      <c r="B120" s="168" t="s">
        <v>352</v>
      </c>
      <c r="C120" s="166">
        <v>621</v>
      </c>
      <c r="D120" s="162"/>
      <c r="E120" s="162"/>
      <c r="F120" s="162"/>
      <c r="G120" s="162"/>
      <c r="H120" s="162"/>
    </row>
    <row r="121" spans="1:8" s="163" customFormat="1" ht="18" customHeight="1">
      <c r="A121" s="164" t="s">
        <v>392</v>
      </c>
      <c r="B121" s="168" t="s">
        <v>393</v>
      </c>
      <c r="C121" s="166">
        <v>621</v>
      </c>
      <c r="D121" s="162"/>
      <c r="E121" s="162"/>
      <c r="F121" s="162"/>
      <c r="G121" s="162"/>
      <c r="H121" s="162"/>
    </row>
    <row r="122" spans="1:8" s="163" customFormat="1" ht="18" customHeight="1">
      <c r="A122" s="99" t="s">
        <v>114</v>
      </c>
      <c r="B122" s="100" t="s">
        <v>353</v>
      </c>
      <c r="C122" s="112">
        <v>611</v>
      </c>
      <c r="D122" s="162"/>
      <c r="E122" s="162"/>
      <c r="F122" s="162"/>
      <c r="G122" s="162"/>
      <c r="H122" s="162"/>
    </row>
    <row r="123" spans="1:8" s="163" customFormat="1" ht="18" customHeight="1">
      <c r="A123" s="164" t="s">
        <v>166</v>
      </c>
      <c r="B123" s="165" t="s">
        <v>354</v>
      </c>
      <c r="C123" s="166">
        <v>611</v>
      </c>
      <c r="D123" s="162"/>
      <c r="E123" s="162"/>
      <c r="F123" s="162"/>
      <c r="G123" s="162"/>
      <c r="H123" s="162"/>
    </row>
    <row r="124" spans="1:8" s="163" customFormat="1" ht="18" customHeight="1">
      <c r="A124" s="99" t="s">
        <v>136</v>
      </c>
      <c r="B124" s="100" t="s">
        <v>355</v>
      </c>
      <c r="C124" s="112">
        <v>611</v>
      </c>
      <c r="D124" s="162"/>
      <c r="E124" s="162"/>
      <c r="F124" s="162"/>
      <c r="G124" s="162"/>
      <c r="H124" s="162"/>
    </row>
    <row r="125" spans="1:8" s="163" customFormat="1" ht="18" customHeight="1">
      <c r="A125" s="164" t="s">
        <v>206</v>
      </c>
      <c r="B125" s="165" t="s">
        <v>356</v>
      </c>
      <c r="C125" s="166">
        <v>611</v>
      </c>
      <c r="D125" s="162"/>
      <c r="E125" s="162"/>
      <c r="F125" s="162"/>
      <c r="G125" s="162"/>
      <c r="H125" s="162"/>
    </row>
    <row r="126" spans="1:8" s="163" customFormat="1" ht="18" customHeight="1">
      <c r="A126" s="99" t="s">
        <v>172</v>
      </c>
      <c r="B126" s="100" t="s">
        <v>357</v>
      </c>
      <c r="C126" s="112">
        <v>611</v>
      </c>
      <c r="D126" s="162"/>
      <c r="E126" s="162"/>
      <c r="F126" s="162"/>
      <c r="G126" s="162"/>
      <c r="H126" s="162"/>
    </row>
    <row r="127" spans="1:8" s="163" customFormat="1" ht="18" customHeight="1">
      <c r="A127" s="164" t="s">
        <v>99</v>
      </c>
      <c r="B127" s="165" t="s">
        <v>358</v>
      </c>
      <c r="C127" s="166">
        <v>611</v>
      </c>
      <c r="D127" s="162"/>
      <c r="E127" s="162"/>
      <c r="F127" s="162"/>
      <c r="G127" s="162"/>
      <c r="H127" s="162"/>
    </row>
    <row r="128" spans="1:8" s="163" customFormat="1" ht="18" customHeight="1">
      <c r="A128" s="99" t="s">
        <v>221</v>
      </c>
      <c r="B128" s="100" t="s">
        <v>359</v>
      </c>
      <c r="C128" s="112">
        <v>621</v>
      </c>
      <c r="D128" s="162"/>
      <c r="E128" s="162"/>
      <c r="F128" s="162"/>
      <c r="G128" s="162"/>
      <c r="H128" s="162"/>
    </row>
    <row r="129" spans="1:8" s="163" customFormat="1" ht="18" customHeight="1">
      <c r="A129" s="164" t="s">
        <v>163</v>
      </c>
      <c r="B129" s="165" t="s">
        <v>360</v>
      </c>
      <c r="C129" s="166">
        <v>611</v>
      </c>
      <c r="D129" s="162"/>
      <c r="E129" s="162"/>
      <c r="F129" s="162"/>
      <c r="G129" s="162"/>
      <c r="H129" s="162"/>
    </row>
    <row r="130" spans="1:8" s="163" customFormat="1" ht="18" customHeight="1">
      <c r="A130" s="99" t="s">
        <v>161</v>
      </c>
      <c r="B130" s="100" t="s">
        <v>361</v>
      </c>
      <c r="C130" s="112">
        <v>611</v>
      </c>
      <c r="D130" s="162"/>
      <c r="E130" s="162"/>
      <c r="F130" s="162"/>
      <c r="G130" s="162"/>
      <c r="H130" s="162"/>
    </row>
    <row r="131" spans="1:8" s="163" customFormat="1" ht="18" customHeight="1">
      <c r="A131" s="164" t="s">
        <v>176</v>
      </c>
      <c r="B131" s="165" t="s">
        <v>362</v>
      </c>
      <c r="C131" s="166">
        <v>611</v>
      </c>
      <c r="D131" s="162"/>
      <c r="E131" s="162"/>
      <c r="F131" s="162"/>
      <c r="G131" s="162"/>
      <c r="H131" s="162"/>
    </row>
    <row r="132" spans="1:8" s="163" customFormat="1" ht="18" customHeight="1">
      <c r="A132" s="99" t="s">
        <v>147</v>
      </c>
      <c r="B132" s="100" t="s">
        <v>363</v>
      </c>
      <c r="C132" s="112">
        <v>621</v>
      </c>
      <c r="D132" s="162"/>
      <c r="E132" s="162"/>
      <c r="F132" s="162"/>
      <c r="G132" s="162"/>
      <c r="H132" s="162"/>
    </row>
    <row r="133" spans="1:8" s="163" customFormat="1" ht="18" customHeight="1">
      <c r="A133" s="164" t="s">
        <v>13</v>
      </c>
      <c r="B133" s="165" t="s">
        <v>364</v>
      </c>
      <c r="C133" s="166">
        <v>611</v>
      </c>
      <c r="D133" s="162"/>
      <c r="E133" s="162"/>
      <c r="F133" s="162"/>
      <c r="G133" s="162"/>
      <c r="H133" s="162"/>
    </row>
    <row r="134" spans="1:8" s="163" customFormat="1" ht="18" customHeight="1">
      <c r="A134" s="99" t="s">
        <v>255</v>
      </c>
      <c r="B134" s="100" t="s">
        <v>365</v>
      </c>
      <c r="C134" s="112">
        <v>611</v>
      </c>
      <c r="D134" s="162"/>
      <c r="E134" s="162"/>
      <c r="F134" s="162"/>
      <c r="G134" s="162"/>
      <c r="H134" s="162"/>
    </row>
    <row r="135" spans="1:8" s="163" customFormat="1" ht="18" customHeight="1">
      <c r="A135" s="164" t="s">
        <v>98</v>
      </c>
      <c r="B135" s="165" t="s">
        <v>155</v>
      </c>
      <c r="C135" s="166">
        <v>621</v>
      </c>
    </row>
    <row r="136" spans="1:8" s="163" customFormat="1" ht="18" customHeight="1">
      <c r="A136" s="99" t="s">
        <v>52</v>
      </c>
      <c r="B136" s="111" t="s">
        <v>366</v>
      </c>
      <c r="C136" s="112">
        <v>621</v>
      </c>
    </row>
    <row r="137" spans="1:8" s="163" customFormat="1" ht="18" customHeight="1">
      <c r="A137" s="164" t="s">
        <v>367</v>
      </c>
      <c r="B137" s="168" t="s">
        <v>368</v>
      </c>
      <c r="C137" s="166">
        <v>611</v>
      </c>
    </row>
    <row r="138" spans="1:8" s="163" customFormat="1" ht="18" customHeight="1">
      <c r="A138" s="99" t="s">
        <v>369</v>
      </c>
      <c r="B138" s="111" t="s">
        <v>370</v>
      </c>
      <c r="C138" s="112">
        <v>621</v>
      </c>
    </row>
    <row r="139" spans="1:8" ht="18" customHeight="1"/>
    <row r="140" spans="1:8" ht="18" customHeight="1"/>
    <row r="141" spans="1:8" ht="18" customHeight="1"/>
    <row r="142" spans="1:8" ht="18" customHeight="1"/>
    <row r="143" spans="1:8" ht="18" customHeight="1"/>
    <row r="144" spans="1:8" ht="18" customHeight="1"/>
    <row r="145" spans="1:3" ht="18" customHeight="1">
      <c r="A145"/>
      <c r="B145"/>
      <c r="C145"/>
    </row>
    <row r="146" spans="1:3" ht="18" customHeight="1">
      <c r="A146"/>
      <c r="B146"/>
      <c r="C146"/>
    </row>
    <row r="147" spans="1:3" ht="18" customHeight="1">
      <c r="A147"/>
      <c r="B147"/>
      <c r="C147"/>
    </row>
    <row r="148" spans="1:3" ht="18" customHeight="1">
      <c r="A148"/>
      <c r="B148"/>
      <c r="C148"/>
    </row>
    <row r="149" spans="1:3" ht="18" customHeight="1">
      <c r="A149"/>
      <c r="B149"/>
      <c r="C149"/>
    </row>
    <row r="150" spans="1:3" ht="18" customHeight="1">
      <c r="A150"/>
      <c r="B150"/>
      <c r="C150"/>
    </row>
    <row r="151" spans="1:3" ht="18" customHeight="1">
      <c r="A151"/>
      <c r="B151"/>
      <c r="C151"/>
    </row>
    <row r="152" spans="1:3" ht="18" customHeight="1">
      <c r="A152"/>
      <c r="B152"/>
      <c r="C152"/>
    </row>
    <row r="153" spans="1:3" ht="18" customHeight="1">
      <c r="A153"/>
      <c r="B153"/>
      <c r="C153"/>
    </row>
    <row r="154" spans="1:3" ht="18" customHeight="1">
      <c r="A154"/>
      <c r="B154"/>
      <c r="C154"/>
    </row>
    <row r="155" spans="1:3" ht="18" customHeight="1">
      <c r="A155"/>
      <c r="B155"/>
      <c r="C155"/>
    </row>
    <row r="156" spans="1:3" ht="18" customHeight="1">
      <c r="A156"/>
      <c r="B156"/>
      <c r="C156"/>
    </row>
    <row r="157" spans="1:3" ht="18" customHeight="1">
      <c r="A157"/>
      <c r="B157"/>
      <c r="C157"/>
    </row>
    <row r="158" spans="1:3" ht="18" customHeight="1">
      <c r="A158"/>
      <c r="B158"/>
      <c r="C158"/>
    </row>
    <row r="159" spans="1:3" ht="18" customHeight="1">
      <c r="A159"/>
      <c r="B159"/>
      <c r="C159"/>
    </row>
    <row r="160" spans="1:3" ht="18" customHeight="1">
      <c r="A160"/>
      <c r="B160"/>
      <c r="C160"/>
    </row>
    <row r="161" spans="1:3" ht="18" customHeight="1">
      <c r="A161"/>
      <c r="B161"/>
      <c r="C161"/>
    </row>
    <row r="162" spans="1:3" ht="18" customHeight="1">
      <c r="A162"/>
      <c r="B162"/>
      <c r="C162"/>
    </row>
    <row r="163" spans="1:3" ht="18" customHeight="1">
      <c r="A163"/>
      <c r="B163"/>
      <c r="C163"/>
    </row>
    <row r="164" spans="1:3" ht="18" customHeight="1">
      <c r="A164"/>
      <c r="B164"/>
      <c r="C164"/>
    </row>
    <row r="165" spans="1:3" ht="18" customHeight="1">
      <c r="A165"/>
      <c r="B165"/>
      <c r="C165"/>
    </row>
    <row r="166" spans="1:3" ht="18" customHeight="1">
      <c r="A166"/>
      <c r="B166"/>
      <c r="C166"/>
    </row>
    <row r="167" spans="1:3" ht="18" customHeight="1">
      <c r="A167"/>
      <c r="B167"/>
      <c r="C167"/>
    </row>
    <row r="168" spans="1:3" ht="18" customHeight="1">
      <c r="A168"/>
      <c r="B168"/>
      <c r="C168"/>
    </row>
    <row r="169" spans="1:3" ht="18" customHeight="1">
      <c r="A169"/>
      <c r="B169"/>
      <c r="C169"/>
    </row>
    <row r="170" spans="1:3" ht="18" customHeight="1">
      <c r="A170"/>
      <c r="B170"/>
      <c r="C170"/>
    </row>
    <row r="171" spans="1:3" ht="18" customHeight="1">
      <c r="A171"/>
      <c r="B171"/>
      <c r="C171"/>
    </row>
    <row r="172" spans="1:3" ht="18" customHeight="1">
      <c r="A172"/>
      <c r="B172"/>
      <c r="C172"/>
    </row>
    <row r="173" spans="1:3" ht="18" customHeight="1">
      <c r="A173"/>
      <c r="B173"/>
      <c r="C173"/>
    </row>
    <row r="174" spans="1:3" ht="18" customHeight="1">
      <c r="A174"/>
      <c r="B174"/>
      <c r="C174"/>
    </row>
    <row r="175" spans="1:3" ht="18" customHeight="1">
      <c r="A175"/>
      <c r="B175"/>
      <c r="C175"/>
    </row>
    <row r="176" spans="1:3" ht="18" customHeight="1">
      <c r="A176"/>
      <c r="B176"/>
      <c r="C176"/>
    </row>
    <row r="177" spans="1:3" ht="18" customHeight="1">
      <c r="A177"/>
      <c r="B177"/>
      <c r="C177"/>
    </row>
    <row r="178" spans="1:3" ht="18" customHeight="1">
      <c r="A178"/>
      <c r="B178"/>
      <c r="C178"/>
    </row>
    <row r="179" spans="1:3" ht="18" customHeight="1">
      <c r="A179"/>
      <c r="B179"/>
      <c r="C179"/>
    </row>
    <row r="180" spans="1:3" ht="18" customHeight="1">
      <c r="A180"/>
      <c r="B180"/>
      <c r="C180"/>
    </row>
    <row r="181" spans="1:3" ht="18" customHeight="1">
      <c r="A181"/>
      <c r="B181"/>
      <c r="C181"/>
    </row>
    <row r="182" spans="1:3" ht="18" customHeight="1">
      <c r="A182"/>
      <c r="B182"/>
      <c r="C182"/>
    </row>
    <row r="183" spans="1:3" ht="18" customHeight="1">
      <c r="A183"/>
      <c r="B183"/>
      <c r="C183"/>
    </row>
    <row r="184" spans="1:3" ht="18" customHeight="1">
      <c r="A184"/>
      <c r="B184"/>
      <c r="C184"/>
    </row>
    <row r="185" spans="1:3" ht="18" customHeight="1">
      <c r="A185"/>
      <c r="B185"/>
      <c r="C185"/>
    </row>
    <row r="186" spans="1:3" ht="18" customHeight="1">
      <c r="A186"/>
      <c r="B186"/>
      <c r="C186"/>
    </row>
    <row r="187" spans="1:3" ht="18" customHeight="1">
      <c r="A187"/>
      <c r="B187"/>
      <c r="C187"/>
    </row>
    <row r="188" spans="1:3" ht="18" customHeight="1">
      <c r="A188"/>
      <c r="B188"/>
      <c r="C188"/>
    </row>
    <row r="189" spans="1:3" ht="18" customHeight="1">
      <c r="A189"/>
      <c r="B189"/>
      <c r="C189"/>
    </row>
    <row r="190" spans="1:3" ht="18" customHeight="1">
      <c r="A190"/>
      <c r="B190"/>
      <c r="C190"/>
    </row>
    <row r="191" spans="1:3" ht="18" customHeight="1">
      <c r="A191"/>
      <c r="B191"/>
      <c r="C191"/>
    </row>
    <row r="192" spans="1:3" ht="18" customHeight="1">
      <c r="A192"/>
      <c r="B192"/>
      <c r="C192"/>
    </row>
    <row r="193" spans="1:3" ht="18" customHeight="1">
      <c r="A193"/>
      <c r="B193"/>
      <c r="C193"/>
    </row>
    <row r="194" spans="1:3" ht="18" customHeight="1">
      <c r="A194"/>
      <c r="B194"/>
      <c r="C194"/>
    </row>
    <row r="195" spans="1:3" ht="18" customHeight="1">
      <c r="A195"/>
      <c r="B195"/>
      <c r="C195"/>
    </row>
    <row r="196" spans="1:3" ht="18" customHeight="1">
      <c r="A196"/>
      <c r="B196"/>
      <c r="C196"/>
    </row>
    <row r="197" spans="1:3" ht="18" customHeight="1">
      <c r="A197"/>
      <c r="B197"/>
      <c r="C197"/>
    </row>
    <row r="198" spans="1:3" ht="18" customHeight="1">
      <c r="A198"/>
      <c r="B198"/>
      <c r="C198"/>
    </row>
    <row r="199" spans="1:3" ht="18" customHeight="1">
      <c r="A199"/>
      <c r="B199"/>
      <c r="C199"/>
    </row>
    <row r="200" spans="1:3" ht="18" customHeight="1">
      <c r="A200"/>
      <c r="B200"/>
      <c r="C200"/>
    </row>
    <row r="201" spans="1:3" ht="18" customHeight="1">
      <c r="A201"/>
      <c r="B201"/>
      <c r="C201"/>
    </row>
    <row r="202" spans="1:3" ht="18" customHeight="1">
      <c r="A202"/>
      <c r="B202"/>
      <c r="C202"/>
    </row>
    <row r="203" spans="1:3" ht="18" customHeight="1">
      <c r="A203"/>
      <c r="B203"/>
      <c r="C203"/>
    </row>
    <row r="204" spans="1:3" ht="18" customHeight="1">
      <c r="A204"/>
      <c r="B204"/>
      <c r="C204"/>
    </row>
    <row r="205" spans="1:3" ht="18" customHeight="1">
      <c r="A205"/>
      <c r="B205"/>
      <c r="C205"/>
    </row>
    <row r="206" spans="1:3" ht="18" customHeight="1">
      <c r="A206"/>
      <c r="B206"/>
      <c r="C206"/>
    </row>
    <row r="207" spans="1:3" ht="18" customHeight="1">
      <c r="A207"/>
      <c r="B207"/>
      <c r="C207"/>
    </row>
    <row r="208" spans="1:3" ht="18" customHeight="1">
      <c r="A208"/>
      <c r="B208"/>
      <c r="C208"/>
    </row>
    <row r="209" spans="1:3" ht="18" customHeight="1">
      <c r="A209"/>
      <c r="B209"/>
      <c r="C209"/>
    </row>
    <row r="210" spans="1:3" ht="18" customHeight="1">
      <c r="A210"/>
      <c r="B210"/>
      <c r="C210"/>
    </row>
    <row r="211" spans="1:3" ht="18" customHeight="1">
      <c r="A211"/>
      <c r="B211"/>
      <c r="C211"/>
    </row>
    <row r="212" spans="1:3" ht="18" customHeight="1">
      <c r="A212"/>
      <c r="B212"/>
      <c r="C212"/>
    </row>
    <row r="213" spans="1:3" ht="18" customHeight="1">
      <c r="A213"/>
      <c r="B213"/>
      <c r="C213"/>
    </row>
    <row r="214" spans="1:3" ht="18" customHeight="1">
      <c r="A214"/>
      <c r="B214"/>
      <c r="C214"/>
    </row>
    <row r="215" spans="1:3" ht="18" customHeight="1">
      <c r="A215"/>
      <c r="B215"/>
      <c r="C215"/>
    </row>
    <row r="216" spans="1:3" ht="18" customHeight="1">
      <c r="A216"/>
      <c r="B216"/>
      <c r="C216"/>
    </row>
    <row r="217" spans="1:3" ht="18" customHeight="1">
      <c r="A217"/>
      <c r="B217"/>
      <c r="C217"/>
    </row>
    <row r="218" spans="1:3" ht="18" customHeight="1">
      <c r="A218"/>
      <c r="B218"/>
      <c r="C218"/>
    </row>
    <row r="219" spans="1:3" ht="18" customHeight="1">
      <c r="A219"/>
      <c r="B219"/>
      <c r="C219"/>
    </row>
    <row r="220" spans="1:3" ht="18" customHeight="1">
      <c r="A220"/>
      <c r="B220"/>
      <c r="C220"/>
    </row>
    <row r="221" spans="1:3" ht="18" customHeight="1">
      <c r="A221"/>
      <c r="B221"/>
      <c r="C221"/>
    </row>
    <row r="222" spans="1:3" ht="18" customHeight="1">
      <c r="A222"/>
      <c r="B222"/>
      <c r="C222"/>
    </row>
    <row r="223" spans="1:3" ht="18" customHeight="1">
      <c r="A223"/>
      <c r="B223"/>
      <c r="C223"/>
    </row>
    <row r="224" spans="1:3" ht="18" customHeight="1">
      <c r="A224"/>
      <c r="B224"/>
      <c r="C224"/>
    </row>
    <row r="225" spans="1:3" ht="18" customHeight="1">
      <c r="A225"/>
      <c r="B225"/>
      <c r="C225"/>
    </row>
    <row r="226" spans="1:3" ht="18" customHeight="1">
      <c r="A226"/>
      <c r="B226"/>
      <c r="C226"/>
    </row>
    <row r="227" spans="1:3" ht="18" customHeight="1">
      <c r="A227"/>
      <c r="B227"/>
      <c r="C227"/>
    </row>
    <row r="228" spans="1:3" ht="18" customHeight="1">
      <c r="A228"/>
      <c r="B228"/>
      <c r="C228"/>
    </row>
    <row r="229" spans="1:3" ht="18" customHeight="1">
      <c r="A229"/>
      <c r="B229"/>
      <c r="C229"/>
    </row>
    <row r="230" spans="1:3" ht="18" customHeight="1">
      <c r="A230"/>
      <c r="B230"/>
      <c r="C230"/>
    </row>
    <row r="231" spans="1:3" ht="18" customHeight="1">
      <c r="A231"/>
      <c r="B231"/>
      <c r="C231"/>
    </row>
    <row r="232" spans="1:3" ht="18" customHeight="1">
      <c r="A232"/>
      <c r="B232"/>
      <c r="C232"/>
    </row>
    <row r="233" spans="1:3" ht="18" customHeight="1">
      <c r="A233"/>
      <c r="B233"/>
      <c r="C233"/>
    </row>
    <row r="234" spans="1:3" ht="18" customHeight="1">
      <c r="A234"/>
      <c r="B234"/>
      <c r="C234"/>
    </row>
    <row r="235" spans="1:3" ht="18" customHeight="1">
      <c r="A235"/>
      <c r="B235"/>
      <c r="C235"/>
    </row>
    <row r="236" spans="1:3" ht="18" customHeight="1">
      <c r="A236"/>
      <c r="B236"/>
      <c r="C236"/>
    </row>
    <row r="237" spans="1:3" ht="18" customHeight="1">
      <c r="A237"/>
      <c r="B237"/>
      <c r="C237"/>
    </row>
    <row r="238" spans="1:3" ht="18" customHeight="1">
      <c r="A238"/>
      <c r="B238"/>
      <c r="C238"/>
    </row>
    <row r="239" spans="1:3" ht="18" customHeight="1">
      <c r="A239"/>
      <c r="B239"/>
      <c r="C239"/>
    </row>
    <row r="240" spans="1:3" ht="18" customHeight="1">
      <c r="A240"/>
      <c r="B240"/>
      <c r="C240"/>
    </row>
    <row r="241" spans="1:3" ht="18" customHeight="1">
      <c r="A241"/>
      <c r="B241"/>
      <c r="C241"/>
    </row>
    <row r="242" spans="1:3" ht="18" customHeight="1">
      <c r="A242"/>
      <c r="B242"/>
      <c r="C242"/>
    </row>
    <row r="243" spans="1:3" ht="18" customHeight="1">
      <c r="A243"/>
      <c r="B243"/>
      <c r="C243"/>
    </row>
    <row r="244" spans="1:3" ht="18" customHeight="1">
      <c r="A244"/>
      <c r="B244"/>
      <c r="C244"/>
    </row>
    <row r="245" spans="1:3" ht="18" customHeight="1">
      <c r="A245"/>
      <c r="B245"/>
      <c r="C245"/>
    </row>
    <row r="246" spans="1:3" ht="18" customHeight="1">
      <c r="A246"/>
      <c r="B246"/>
      <c r="C246"/>
    </row>
    <row r="247" spans="1:3" ht="18" customHeight="1">
      <c r="A247"/>
      <c r="B247"/>
      <c r="C247"/>
    </row>
    <row r="248" spans="1:3" ht="18" customHeight="1">
      <c r="A248"/>
      <c r="B248"/>
      <c r="C248"/>
    </row>
    <row r="249" spans="1:3" ht="18" customHeight="1">
      <c r="A249"/>
      <c r="B249"/>
      <c r="C249"/>
    </row>
    <row r="250" spans="1:3" ht="18" customHeight="1">
      <c r="A250"/>
      <c r="B250"/>
      <c r="C250"/>
    </row>
    <row r="251" spans="1:3" ht="18" customHeight="1">
      <c r="A251"/>
      <c r="B251"/>
      <c r="C251"/>
    </row>
    <row r="252" spans="1:3" ht="18" customHeight="1">
      <c r="A252"/>
      <c r="B252"/>
      <c r="C252"/>
    </row>
    <row r="253" spans="1:3" ht="18" customHeight="1">
      <c r="A253"/>
      <c r="B253"/>
      <c r="C253"/>
    </row>
    <row r="254" spans="1:3" ht="18" customHeight="1">
      <c r="A254"/>
      <c r="B254"/>
      <c r="C254"/>
    </row>
    <row r="255" spans="1:3" ht="18" customHeight="1">
      <c r="A255"/>
      <c r="B255"/>
      <c r="C255"/>
    </row>
    <row r="256" spans="1:3" ht="18" customHeight="1">
      <c r="A256"/>
      <c r="B256"/>
      <c r="C256"/>
    </row>
    <row r="257" spans="1:3" ht="18" customHeight="1">
      <c r="A257"/>
      <c r="B257"/>
      <c r="C257"/>
    </row>
    <row r="258" spans="1:3" ht="18" customHeight="1">
      <c r="A258"/>
      <c r="B258"/>
      <c r="C258"/>
    </row>
    <row r="259" spans="1:3" ht="18" customHeight="1">
      <c r="A259"/>
      <c r="B259"/>
      <c r="C259"/>
    </row>
    <row r="260" spans="1:3" ht="18" customHeight="1">
      <c r="A260"/>
      <c r="B260"/>
      <c r="C260"/>
    </row>
    <row r="261" spans="1:3" ht="18" customHeight="1">
      <c r="A261"/>
      <c r="B261"/>
      <c r="C261"/>
    </row>
    <row r="262" spans="1:3" ht="18" customHeight="1">
      <c r="A262"/>
      <c r="B262"/>
      <c r="C262"/>
    </row>
    <row r="263" spans="1:3" ht="18" customHeight="1">
      <c r="A263"/>
      <c r="B263"/>
      <c r="C263"/>
    </row>
    <row r="264" spans="1:3" ht="18" customHeight="1">
      <c r="A264"/>
      <c r="B264"/>
      <c r="C264"/>
    </row>
    <row r="265" spans="1:3" ht="18" customHeight="1">
      <c r="A265"/>
      <c r="B265"/>
      <c r="C265"/>
    </row>
    <row r="266" spans="1:3" ht="18" customHeight="1">
      <c r="A266"/>
      <c r="B266"/>
      <c r="C266"/>
    </row>
    <row r="267" spans="1:3" ht="18" customHeight="1">
      <c r="A267"/>
      <c r="B267"/>
      <c r="C267"/>
    </row>
    <row r="268" spans="1:3" ht="18" customHeight="1">
      <c r="A268"/>
      <c r="B268"/>
      <c r="C268"/>
    </row>
    <row r="269" spans="1:3" ht="18" customHeight="1">
      <c r="A269"/>
      <c r="B269"/>
      <c r="C269"/>
    </row>
    <row r="270" spans="1:3" ht="18" customHeight="1">
      <c r="A270"/>
      <c r="B270"/>
      <c r="C270"/>
    </row>
  </sheetData>
  <mergeCells count="1">
    <mergeCell ref="F1:H1"/>
  </mergeCells>
  <phoneticPr fontId="6" type="noConversion"/>
  <pageMargins left="0.75" right="0.75" top="1" bottom="1" header="0.5" footer="0.5"/>
  <pageSetup scale="85" orientation="portrait"/>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00B0F0"/>
  </sheetPr>
  <dimension ref="A1:DJ168"/>
  <sheetViews>
    <sheetView view="pageBreakPreview" zoomScale="115" zoomScaleNormal="100" zoomScaleSheetLayoutView="115" zoomScalePageLayoutView="85" workbookViewId="0">
      <selection activeCell="AE103" sqref="AE103:AH106"/>
    </sheetView>
  </sheetViews>
  <sheetFormatPr defaultColWidth="1.5703125" defaultRowHeight="8.25" customHeight="1"/>
  <cols>
    <col min="1" max="1" width="1.5703125" style="335"/>
    <col min="2" max="2" width="1.5703125" style="335" customWidth="1"/>
    <col min="3" max="24" width="1.5703125" style="335"/>
    <col min="25" max="25" width="2.140625" style="335" bestFit="1" customWidth="1"/>
    <col min="26" max="87" width="1.5703125" style="335"/>
    <col min="88" max="101" width="1.5703125" style="335" customWidth="1"/>
    <col min="102" max="16384" width="1.5703125" style="335"/>
  </cols>
  <sheetData>
    <row r="1" spans="1:87" ht="15" customHeight="1">
      <c r="A1" s="725"/>
      <c r="B1" s="725"/>
      <c r="C1" s="725"/>
      <c r="D1" s="725"/>
      <c r="E1" s="725"/>
      <c r="F1" s="725"/>
      <c r="G1" s="725"/>
      <c r="H1" s="725"/>
      <c r="I1" s="725"/>
      <c r="J1" s="725"/>
      <c r="K1" s="725"/>
      <c r="L1" s="725"/>
      <c r="M1" s="725"/>
      <c r="N1" s="725"/>
      <c r="O1" s="725"/>
      <c r="P1" s="725"/>
      <c r="Q1" s="725"/>
      <c r="R1" s="725"/>
      <c r="S1" s="725"/>
      <c r="T1" s="725"/>
      <c r="U1" s="725"/>
      <c r="V1" s="725"/>
      <c r="W1" s="725"/>
      <c r="X1" s="725"/>
      <c r="Y1" s="725"/>
      <c r="Z1" s="725"/>
      <c r="AA1" s="725"/>
      <c r="AB1" s="725"/>
      <c r="AC1" s="725"/>
      <c r="AD1" s="725"/>
      <c r="AE1" s="725"/>
      <c r="AF1" s="725"/>
      <c r="AV1" s="336"/>
      <c r="AW1" s="872">
        <f>Assessment!C6</f>
        <v>0</v>
      </c>
      <c r="AX1" s="872"/>
      <c r="AY1" s="872"/>
      <c r="AZ1" s="872"/>
      <c r="BA1" s="872"/>
      <c r="BB1" s="872"/>
      <c r="BC1" s="872"/>
      <c r="BD1" s="872"/>
      <c r="BE1" s="872"/>
      <c r="BF1" s="872"/>
      <c r="BG1" s="872"/>
      <c r="BH1" s="872"/>
      <c r="BI1" s="872"/>
      <c r="BJ1" s="872"/>
      <c r="BK1" s="872"/>
      <c r="BL1" s="872"/>
      <c r="BM1" s="872"/>
      <c r="BN1" s="872"/>
      <c r="BO1" s="872"/>
      <c r="BP1" s="872"/>
      <c r="BQ1" s="872"/>
      <c r="BR1" s="872"/>
      <c r="BS1" s="872"/>
      <c r="BT1" s="872"/>
      <c r="BU1" s="872"/>
      <c r="BV1" s="872"/>
      <c r="BW1" s="872"/>
      <c r="BX1" s="872"/>
      <c r="BY1" s="872"/>
      <c r="BZ1" s="872"/>
      <c r="CA1" s="872"/>
      <c r="CB1" s="872"/>
      <c r="CC1" s="872"/>
      <c r="CD1" s="872"/>
      <c r="CE1" s="872"/>
      <c r="CF1" s="872"/>
      <c r="CG1" s="872"/>
      <c r="CH1" s="872"/>
      <c r="CI1" s="872"/>
    </row>
    <row r="2" spans="1:87" ht="15" customHeight="1">
      <c r="A2" s="725"/>
      <c r="B2" s="725"/>
      <c r="C2" s="725"/>
      <c r="D2" s="725"/>
      <c r="E2" s="725"/>
      <c r="F2" s="725"/>
      <c r="G2" s="725"/>
      <c r="H2" s="725"/>
      <c r="I2" s="725"/>
      <c r="J2" s="725"/>
      <c r="K2" s="725"/>
      <c r="L2" s="725"/>
      <c r="M2" s="725"/>
      <c r="N2" s="725"/>
      <c r="O2" s="725"/>
      <c r="P2" s="725"/>
      <c r="Q2" s="725"/>
      <c r="R2" s="725"/>
      <c r="S2" s="725"/>
      <c r="T2" s="725"/>
      <c r="U2" s="725"/>
      <c r="V2" s="725"/>
      <c r="W2" s="725"/>
      <c r="X2" s="725"/>
      <c r="Y2" s="725"/>
      <c r="Z2" s="725"/>
      <c r="AA2" s="725"/>
      <c r="AB2" s="725"/>
      <c r="AC2" s="725"/>
      <c r="AD2" s="725"/>
      <c r="AE2" s="725"/>
      <c r="AF2" s="725"/>
      <c r="AV2" s="336"/>
      <c r="AW2" s="872"/>
      <c r="AX2" s="872"/>
      <c r="AY2" s="872"/>
      <c r="AZ2" s="872"/>
      <c r="BA2" s="872"/>
      <c r="BB2" s="872"/>
      <c r="BC2" s="872"/>
      <c r="BD2" s="872"/>
      <c r="BE2" s="872"/>
      <c r="BF2" s="872"/>
      <c r="BG2" s="872"/>
      <c r="BH2" s="872"/>
      <c r="BI2" s="872"/>
      <c r="BJ2" s="872"/>
      <c r="BK2" s="872"/>
      <c r="BL2" s="872"/>
      <c r="BM2" s="872"/>
      <c r="BN2" s="872"/>
      <c r="BO2" s="872"/>
      <c r="BP2" s="872"/>
      <c r="BQ2" s="872"/>
      <c r="BR2" s="872"/>
      <c r="BS2" s="872"/>
      <c r="BT2" s="872"/>
      <c r="BU2" s="872"/>
      <c r="BV2" s="872"/>
      <c r="BW2" s="872"/>
      <c r="BX2" s="872"/>
      <c r="BY2" s="872"/>
      <c r="BZ2" s="872"/>
      <c r="CA2" s="872"/>
      <c r="CB2" s="872"/>
      <c r="CC2" s="872"/>
      <c r="CD2" s="872"/>
      <c r="CE2" s="872"/>
      <c r="CF2" s="872"/>
      <c r="CG2" s="872"/>
      <c r="CH2" s="872"/>
      <c r="CI2" s="872"/>
    </row>
    <row r="3" spans="1:87" ht="15" customHeight="1">
      <c r="A3" s="725"/>
      <c r="B3" s="725"/>
      <c r="C3" s="725"/>
      <c r="D3" s="725"/>
      <c r="E3" s="725"/>
      <c r="F3" s="725"/>
      <c r="G3" s="725"/>
      <c r="H3" s="725"/>
      <c r="I3" s="725"/>
      <c r="J3" s="725"/>
      <c r="K3" s="725"/>
      <c r="L3" s="725"/>
      <c r="M3" s="725"/>
      <c r="N3" s="725"/>
      <c r="O3" s="725"/>
      <c r="P3" s="725"/>
      <c r="Q3" s="725"/>
      <c r="R3" s="725"/>
      <c r="S3" s="725"/>
      <c r="T3" s="725"/>
      <c r="U3" s="725"/>
      <c r="V3" s="725"/>
      <c r="W3" s="725"/>
      <c r="X3" s="725"/>
      <c r="Y3" s="725"/>
      <c r="Z3" s="725"/>
      <c r="AA3" s="725"/>
      <c r="AB3" s="725"/>
      <c r="AC3" s="725"/>
      <c r="AD3" s="725"/>
      <c r="AE3" s="725"/>
      <c r="AF3" s="725"/>
      <c r="AG3" s="336"/>
      <c r="AH3" s="337"/>
      <c r="AI3" s="337"/>
      <c r="AJ3" s="338"/>
      <c r="AK3" s="338"/>
      <c r="AL3" s="338"/>
      <c r="AM3" s="337"/>
      <c r="AN3" s="337"/>
      <c r="AO3" s="337"/>
      <c r="AP3" s="337"/>
      <c r="AQ3" s="336"/>
      <c r="AR3" s="336"/>
      <c r="AS3" s="336"/>
      <c r="AT3" s="336"/>
      <c r="AU3" s="336"/>
      <c r="AV3" s="336"/>
      <c r="AW3" s="872"/>
      <c r="AX3" s="872"/>
      <c r="AY3" s="872"/>
      <c r="AZ3" s="872"/>
      <c r="BA3" s="872"/>
      <c r="BB3" s="872"/>
      <c r="BC3" s="872"/>
      <c r="BD3" s="872"/>
      <c r="BE3" s="872"/>
      <c r="BF3" s="872"/>
      <c r="BG3" s="872"/>
      <c r="BH3" s="872"/>
      <c r="BI3" s="872"/>
      <c r="BJ3" s="872"/>
      <c r="BK3" s="872"/>
      <c r="BL3" s="872"/>
      <c r="BM3" s="872"/>
      <c r="BN3" s="872"/>
      <c r="BO3" s="872"/>
      <c r="BP3" s="872"/>
      <c r="BQ3" s="872"/>
      <c r="BR3" s="872"/>
      <c r="BS3" s="872"/>
      <c r="BT3" s="872"/>
      <c r="BU3" s="872"/>
      <c r="BV3" s="872"/>
      <c r="BW3" s="872"/>
      <c r="BX3" s="872"/>
      <c r="BY3" s="872"/>
      <c r="BZ3" s="872"/>
      <c r="CA3" s="872"/>
      <c r="CB3" s="872"/>
      <c r="CC3" s="872"/>
      <c r="CD3" s="872"/>
      <c r="CE3" s="872"/>
      <c r="CF3" s="872"/>
      <c r="CG3" s="872"/>
      <c r="CH3" s="872"/>
      <c r="CI3" s="872"/>
    </row>
    <row r="4" spans="1:87" ht="15" customHeight="1">
      <c r="A4" s="725"/>
      <c r="B4" s="725"/>
      <c r="C4" s="725"/>
      <c r="D4" s="725"/>
      <c r="E4" s="725"/>
      <c r="F4" s="725"/>
      <c r="G4" s="725"/>
      <c r="H4" s="725"/>
      <c r="I4" s="725"/>
      <c r="J4" s="725"/>
      <c r="K4" s="725"/>
      <c r="L4" s="725"/>
      <c r="M4" s="725"/>
      <c r="N4" s="725"/>
      <c r="O4" s="725"/>
      <c r="P4" s="725"/>
      <c r="Q4" s="725"/>
      <c r="R4" s="725"/>
      <c r="S4" s="725"/>
      <c r="T4" s="725"/>
      <c r="U4" s="725"/>
      <c r="V4" s="725"/>
      <c r="W4" s="725"/>
      <c r="X4" s="725"/>
      <c r="Y4" s="725"/>
      <c r="Z4" s="725"/>
      <c r="AA4" s="725"/>
      <c r="AB4" s="725"/>
      <c r="AC4" s="725"/>
      <c r="AD4" s="725"/>
      <c r="AE4" s="725"/>
      <c r="AF4" s="725"/>
      <c r="AG4" s="336"/>
      <c r="AH4" s="337"/>
      <c r="AI4" s="338"/>
      <c r="AJ4" s="338"/>
      <c r="AK4" s="338"/>
      <c r="AL4" s="338"/>
      <c r="AM4" s="337"/>
      <c r="AN4" s="337"/>
      <c r="AO4" s="337"/>
      <c r="AP4" s="337"/>
      <c r="AQ4" s="336"/>
      <c r="AR4" s="336"/>
      <c r="AS4" s="336"/>
      <c r="AT4" s="336"/>
      <c r="AU4" s="336"/>
      <c r="AV4" s="336"/>
      <c r="AW4" s="873"/>
      <c r="AX4" s="874"/>
      <c r="AY4" s="874"/>
      <c r="AZ4" s="874"/>
      <c r="BA4" s="874"/>
      <c r="BB4" s="874"/>
      <c r="BC4" s="874"/>
      <c r="BD4" s="874"/>
      <c r="BE4" s="874"/>
      <c r="BF4" s="874"/>
      <c r="BG4" s="874"/>
      <c r="BH4" s="874"/>
      <c r="BI4" s="874"/>
      <c r="BJ4" s="874"/>
      <c r="BK4" s="874"/>
      <c r="BL4" s="874"/>
      <c r="BM4" s="874"/>
      <c r="BN4" s="874"/>
      <c r="BO4" s="874"/>
      <c r="BP4" s="874"/>
      <c r="BQ4" s="874"/>
      <c r="BR4" s="874"/>
      <c r="BS4" s="874"/>
      <c r="BT4" s="874"/>
      <c r="BU4" s="874"/>
      <c r="BV4" s="874"/>
      <c r="BW4" s="874"/>
      <c r="BX4" s="874"/>
      <c r="BY4" s="874"/>
      <c r="BZ4" s="874"/>
      <c r="CA4" s="874"/>
      <c r="CB4" s="874"/>
      <c r="CC4" s="874"/>
      <c r="CD4" s="874"/>
      <c r="CE4" s="874"/>
      <c r="CF4" s="874"/>
      <c r="CG4" s="874"/>
      <c r="CH4" s="874"/>
      <c r="CI4" s="875"/>
    </row>
    <row r="5" spans="1:87" ht="15" customHeight="1">
      <c r="A5" s="725"/>
      <c r="B5" s="725"/>
      <c r="C5" s="725"/>
      <c r="D5" s="725"/>
      <c r="E5" s="725"/>
      <c r="F5" s="725"/>
      <c r="G5" s="725"/>
      <c r="H5" s="725"/>
      <c r="I5" s="725"/>
      <c r="J5" s="725"/>
      <c r="K5" s="725"/>
      <c r="L5" s="725"/>
      <c r="M5" s="725"/>
      <c r="N5" s="725"/>
      <c r="O5" s="725"/>
      <c r="P5" s="725"/>
      <c r="Q5" s="725"/>
      <c r="R5" s="725"/>
      <c r="S5" s="725"/>
      <c r="T5" s="725"/>
      <c r="U5" s="725"/>
      <c r="V5" s="725"/>
      <c r="W5" s="725"/>
      <c r="X5" s="725"/>
      <c r="Y5" s="725"/>
      <c r="Z5" s="725"/>
      <c r="AA5" s="725"/>
      <c r="AB5" s="725"/>
      <c r="AC5" s="725"/>
      <c r="AD5" s="725"/>
      <c r="AE5" s="725"/>
      <c r="AF5" s="725"/>
      <c r="AG5" s="882" t="s">
        <v>485</v>
      </c>
      <c r="AH5" s="882"/>
      <c r="AI5" s="882"/>
      <c r="AJ5" s="882"/>
      <c r="AK5" s="882"/>
      <c r="AL5" s="882"/>
      <c r="AM5" s="882"/>
      <c r="AN5" s="882"/>
      <c r="AO5" s="882"/>
      <c r="AP5" s="882"/>
      <c r="AQ5" s="882"/>
      <c r="AR5" s="882"/>
      <c r="AS5" s="882"/>
      <c r="AT5" s="882"/>
      <c r="AU5" s="882"/>
      <c r="AV5" s="882"/>
      <c r="AW5" s="876"/>
      <c r="AX5" s="877"/>
      <c r="AY5" s="877"/>
      <c r="AZ5" s="877"/>
      <c r="BA5" s="877"/>
      <c r="BB5" s="877"/>
      <c r="BC5" s="877"/>
      <c r="BD5" s="877"/>
      <c r="BE5" s="877"/>
      <c r="BF5" s="877"/>
      <c r="BG5" s="877"/>
      <c r="BH5" s="877"/>
      <c r="BI5" s="877"/>
      <c r="BJ5" s="877"/>
      <c r="BK5" s="877"/>
      <c r="BL5" s="877"/>
      <c r="BM5" s="877"/>
      <c r="BN5" s="877"/>
      <c r="BO5" s="877"/>
      <c r="BP5" s="877"/>
      <c r="BQ5" s="877"/>
      <c r="BR5" s="877"/>
      <c r="BS5" s="877"/>
      <c r="BT5" s="877"/>
      <c r="BU5" s="877"/>
      <c r="BV5" s="877"/>
      <c r="BW5" s="877"/>
      <c r="BX5" s="877"/>
      <c r="BY5" s="877"/>
      <c r="BZ5" s="877"/>
      <c r="CA5" s="877"/>
      <c r="CB5" s="877"/>
      <c r="CC5" s="877"/>
      <c r="CD5" s="877"/>
      <c r="CE5" s="877"/>
      <c r="CF5" s="877"/>
      <c r="CG5" s="877"/>
      <c r="CH5" s="877"/>
      <c r="CI5" s="878"/>
    </row>
    <row r="6" spans="1:87" ht="15" customHeight="1">
      <c r="A6" s="725"/>
      <c r="B6" s="725"/>
      <c r="C6" s="725"/>
      <c r="D6" s="725"/>
      <c r="E6" s="725"/>
      <c r="F6" s="725"/>
      <c r="G6" s="725"/>
      <c r="H6" s="725"/>
      <c r="I6" s="725"/>
      <c r="J6" s="725"/>
      <c r="K6" s="725"/>
      <c r="L6" s="725"/>
      <c r="M6" s="725"/>
      <c r="N6" s="725"/>
      <c r="O6" s="725"/>
      <c r="P6" s="725"/>
      <c r="Q6" s="725"/>
      <c r="R6" s="725"/>
      <c r="S6" s="725"/>
      <c r="T6" s="725"/>
      <c r="U6" s="725"/>
      <c r="V6" s="725"/>
      <c r="W6" s="725"/>
      <c r="X6" s="725"/>
      <c r="Y6" s="725"/>
      <c r="Z6" s="725"/>
      <c r="AA6" s="725"/>
      <c r="AB6" s="725"/>
      <c r="AC6" s="725"/>
      <c r="AD6" s="725"/>
      <c r="AE6" s="725"/>
      <c r="AF6" s="725"/>
      <c r="AG6" s="882"/>
      <c r="AH6" s="882"/>
      <c r="AI6" s="882"/>
      <c r="AJ6" s="882"/>
      <c r="AK6" s="882"/>
      <c r="AL6" s="882"/>
      <c r="AM6" s="882"/>
      <c r="AN6" s="882"/>
      <c r="AO6" s="882"/>
      <c r="AP6" s="882"/>
      <c r="AQ6" s="882"/>
      <c r="AR6" s="882"/>
      <c r="AS6" s="882"/>
      <c r="AT6" s="882"/>
      <c r="AU6" s="882"/>
      <c r="AV6" s="882"/>
      <c r="AW6" s="879"/>
      <c r="AX6" s="880"/>
      <c r="AY6" s="880"/>
      <c r="AZ6" s="880"/>
      <c r="BA6" s="880"/>
      <c r="BB6" s="880"/>
      <c r="BC6" s="880"/>
      <c r="BD6" s="880"/>
      <c r="BE6" s="880"/>
      <c r="BF6" s="880"/>
      <c r="BG6" s="880"/>
      <c r="BH6" s="880"/>
      <c r="BI6" s="880"/>
      <c r="BJ6" s="880"/>
      <c r="BK6" s="880"/>
      <c r="BL6" s="880"/>
      <c r="BM6" s="880"/>
      <c r="BN6" s="880"/>
      <c r="BO6" s="880"/>
      <c r="BP6" s="880"/>
      <c r="BQ6" s="880"/>
      <c r="BR6" s="880"/>
      <c r="BS6" s="880"/>
      <c r="BT6" s="880"/>
      <c r="BU6" s="880"/>
      <c r="BV6" s="880"/>
      <c r="BW6" s="880"/>
      <c r="BX6" s="880"/>
      <c r="BY6" s="880"/>
      <c r="BZ6" s="880"/>
      <c r="CA6" s="880"/>
      <c r="CB6" s="880"/>
      <c r="CC6" s="880"/>
      <c r="CD6" s="880"/>
      <c r="CE6" s="880"/>
      <c r="CF6" s="880"/>
      <c r="CG6" s="880"/>
      <c r="CH6" s="880"/>
      <c r="CI6" s="881"/>
    </row>
    <row r="7" spans="1:87" ht="15" customHeight="1">
      <c r="A7" s="725"/>
      <c r="B7" s="725"/>
      <c r="C7" s="725"/>
      <c r="D7" s="725"/>
      <c r="E7" s="725"/>
      <c r="F7" s="725"/>
      <c r="G7" s="725"/>
      <c r="H7" s="725"/>
      <c r="I7" s="725"/>
      <c r="J7" s="725"/>
      <c r="K7" s="725"/>
      <c r="L7" s="725"/>
      <c r="M7" s="725"/>
      <c r="N7" s="725"/>
      <c r="O7" s="725"/>
      <c r="P7" s="725"/>
      <c r="Q7" s="725"/>
      <c r="R7" s="725"/>
      <c r="S7" s="725"/>
      <c r="T7" s="725"/>
      <c r="U7" s="725"/>
      <c r="V7" s="725"/>
      <c r="W7" s="725"/>
      <c r="X7" s="725"/>
      <c r="Y7" s="725"/>
      <c r="Z7" s="725"/>
      <c r="AA7" s="725"/>
      <c r="AB7" s="725"/>
      <c r="AC7" s="725"/>
      <c r="AD7" s="725"/>
      <c r="AE7" s="725"/>
      <c r="AF7" s="725"/>
      <c r="AG7" s="336"/>
      <c r="AH7" s="336"/>
      <c r="AI7" s="336"/>
      <c r="AJ7" s="336"/>
      <c r="AK7" s="336"/>
      <c r="AL7" s="336"/>
      <c r="AM7" s="336"/>
      <c r="AN7" s="336"/>
      <c r="AO7" s="336"/>
      <c r="AP7" s="336"/>
      <c r="AQ7" s="336"/>
      <c r="AR7" s="336"/>
      <c r="AS7" s="336"/>
      <c r="AT7" s="336"/>
      <c r="AU7" s="336"/>
      <c r="AV7" s="336"/>
      <c r="AW7" s="336"/>
      <c r="AX7" s="336"/>
      <c r="AY7" s="336"/>
      <c r="AZ7" s="336"/>
      <c r="BA7" s="336"/>
      <c r="BB7" s="336"/>
      <c r="BC7" s="336"/>
      <c r="BD7" s="336"/>
      <c r="BE7" s="336"/>
      <c r="BF7" s="336"/>
      <c r="BG7" s="336"/>
      <c r="BH7" s="336"/>
      <c r="BI7" s="336"/>
      <c r="BJ7" s="336"/>
      <c r="BK7" s="336"/>
      <c r="BL7" s="336"/>
      <c r="BM7" s="336"/>
      <c r="BN7" s="336"/>
      <c r="BO7" s="336"/>
      <c r="BP7" s="336"/>
      <c r="BQ7" s="336"/>
      <c r="BR7" s="336"/>
      <c r="BS7" s="336"/>
      <c r="BT7" s="336"/>
      <c r="BU7" s="336"/>
      <c r="BV7" s="336"/>
      <c r="BW7" s="336"/>
      <c r="BX7" s="336"/>
      <c r="BY7" s="336"/>
      <c r="BZ7" s="336"/>
      <c r="CA7" s="336"/>
      <c r="CB7" s="336"/>
      <c r="CC7" s="336"/>
      <c r="CD7" s="336"/>
      <c r="CE7" s="336"/>
      <c r="CF7" s="336"/>
      <c r="CG7" s="336"/>
      <c r="CH7" s="336"/>
      <c r="CI7" s="336"/>
    </row>
    <row r="8" spans="1:87" ht="30" customHeight="1">
      <c r="B8" s="870" t="s">
        <v>486</v>
      </c>
      <c r="C8" s="870"/>
      <c r="D8" s="870"/>
      <c r="E8" s="870"/>
      <c r="F8" s="870"/>
      <c r="G8" s="870"/>
      <c r="H8" s="870"/>
      <c r="I8" s="870"/>
      <c r="J8" s="870"/>
      <c r="K8" s="870"/>
      <c r="L8" s="870"/>
      <c r="M8" s="870"/>
      <c r="N8" s="870"/>
      <c r="O8" s="870"/>
      <c r="P8" s="870"/>
      <c r="Q8" s="870"/>
      <c r="R8" s="870"/>
      <c r="S8" s="870"/>
      <c r="T8" s="870"/>
      <c r="U8" s="870"/>
      <c r="V8" s="870"/>
      <c r="W8" s="870"/>
      <c r="X8" s="870"/>
      <c r="Y8" s="870"/>
      <c r="Z8" s="336"/>
      <c r="AA8" s="336"/>
      <c r="AB8" s="336"/>
      <c r="AC8" s="336"/>
      <c r="AD8" s="336"/>
      <c r="AE8" s="336"/>
      <c r="AF8" s="856" t="s">
        <v>487</v>
      </c>
      <c r="AG8" s="856"/>
      <c r="AH8" s="856"/>
      <c r="AI8" s="856"/>
      <c r="AJ8" s="856"/>
      <c r="AK8" s="856"/>
      <c r="AL8" s="856"/>
      <c r="AM8" s="856"/>
      <c r="AN8" s="856"/>
      <c r="AO8" s="831">
        <f>'Roll Stock Checklist'!B31</f>
        <v>0</v>
      </c>
      <c r="AP8" s="832"/>
      <c r="AQ8" s="832"/>
      <c r="AR8" s="832"/>
      <c r="AS8" s="832"/>
      <c r="AT8" s="832"/>
      <c r="AU8" s="832"/>
      <c r="AV8" s="832"/>
      <c r="AW8" s="832" t="s">
        <v>543</v>
      </c>
      <c r="AX8" s="832"/>
      <c r="AY8" s="832"/>
      <c r="AZ8" s="832">
        <f>'Roll Stock Checklist'!F31</f>
        <v>0</v>
      </c>
      <c r="BA8" s="832"/>
      <c r="BB8" s="832"/>
      <c r="BC8" s="832"/>
      <c r="BD8" s="832"/>
      <c r="BE8" s="832"/>
      <c r="BF8" s="832"/>
      <c r="BG8" s="833"/>
      <c r="BH8" s="856" t="s">
        <v>488</v>
      </c>
      <c r="BI8" s="856"/>
      <c r="BJ8" s="856"/>
      <c r="BK8" s="856"/>
      <c r="BL8" s="856"/>
      <c r="BM8" s="856"/>
      <c r="BN8" s="856"/>
      <c r="BO8" s="856"/>
      <c r="BP8" s="856"/>
      <c r="BQ8" s="856"/>
      <c r="BR8" s="856"/>
      <c r="BS8" s="856"/>
      <c r="BT8" s="856"/>
      <c r="BU8" s="831" t="s">
        <v>484</v>
      </c>
      <c r="BV8" s="832"/>
      <c r="BW8" s="832"/>
      <c r="BX8" s="832"/>
      <c r="BY8" s="832"/>
      <c r="BZ8" s="832"/>
      <c r="CA8" s="832"/>
      <c r="CB8" s="832"/>
      <c r="CC8" s="832"/>
      <c r="CD8" s="832"/>
      <c r="CE8" s="832"/>
      <c r="CF8" s="832"/>
      <c r="CG8" s="832"/>
      <c r="CH8" s="832"/>
      <c r="CI8" s="833"/>
    </row>
    <row r="9" spans="1:87" ht="22.5" customHeight="1">
      <c r="B9" s="870"/>
      <c r="C9" s="870"/>
      <c r="D9" s="870"/>
      <c r="E9" s="870"/>
      <c r="F9" s="870"/>
      <c r="G9" s="870"/>
      <c r="H9" s="870"/>
      <c r="I9" s="870"/>
      <c r="J9" s="870"/>
      <c r="K9" s="870"/>
      <c r="L9" s="870"/>
      <c r="M9" s="870"/>
      <c r="N9" s="870"/>
      <c r="O9" s="870"/>
      <c r="P9" s="870"/>
      <c r="Q9" s="870"/>
      <c r="R9" s="870"/>
      <c r="S9" s="870"/>
      <c r="T9" s="870"/>
      <c r="U9" s="870"/>
      <c r="V9" s="870"/>
      <c r="W9" s="870"/>
      <c r="X9" s="870"/>
      <c r="Y9" s="870"/>
      <c r="Z9" s="336"/>
      <c r="AA9" s="336"/>
      <c r="AB9" s="336"/>
      <c r="AC9" s="336"/>
      <c r="AD9" s="336"/>
      <c r="AE9" s="336"/>
      <c r="AF9" s="336"/>
      <c r="AG9" s="336"/>
      <c r="AH9" s="336"/>
      <c r="AI9" s="336"/>
      <c r="AJ9" s="336"/>
      <c r="AK9" s="336"/>
      <c r="AL9" s="336"/>
      <c r="AM9" s="336"/>
      <c r="AN9" s="336"/>
      <c r="AO9" s="336"/>
      <c r="AP9" s="336"/>
      <c r="AQ9" s="336"/>
      <c r="AR9" s="336"/>
      <c r="AS9" s="336"/>
      <c r="AT9" s="336"/>
      <c r="AU9" s="336"/>
      <c r="AV9" s="336"/>
      <c r="AW9" s="336"/>
      <c r="AX9" s="336"/>
      <c r="AY9" s="336"/>
      <c r="AZ9" s="336"/>
      <c r="BA9" s="336"/>
      <c r="BB9" s="336"/>
      <c r="BC9" s="336"/>
      <c r="BD9" s="336"/>
      <c r="BE9" s="336"/>
      <c r="BF9" s="336"/>
      <c r="BG9" s="336"/>
      <c r="BH9" s="336"/>
      <c r="BI9" s="336"/>
      <c r="BJ9" s="336"/>
      <c r="BK9" s="336"/>
      <c r="BL9" s="336"/>
      <c r="BM9" s="336"/>
      <c r="BN9" s="336"/>
      <c r="BO9" s="336"/>
      <c r="BP9" s="336"/>
      <c r="BQ9" s="336"/>
      <c r="BR9" s="336"/>
      <c r="BS9" s="336"/>
      <c r="BT9" s="336"/>
      <c r="BU9" s="336"/>
      <c r="BV9" s="336"/>
      <c r="BW9" s="336"/>
      <c r="BX9" s="336"/>
      <c r="BY9" s="336"/>
      <c r="BZ9" s="336"/>
      <c r="CA9" s="336"/>
      <c r="CB9" s="336"/>
      <c r="CC9" s="336"/>
      <c r="CD9" s="336"/>
      <c r="CE9" s="336"/>
      <c r="CF9" s="336"/>
      <c r="CG9" s="336"/>
      <c r="CH9" s="336"/>
      <c r="CI9" s="336"/>
    </row>
    <row r="10" spans="1:87" ht="30" customHeight="1">
      <c r="D10" s="336"/>
      <c r="E10" s="336"/>
      <c r="F10" s="336"/>
      <c r="G10" s="336"/>
      <c r="H10" s="336"/>
      <c r="I10" s="336"/>
      <c r="J10" s="336"/>
      <c r="K10" s="336"/>
      <c r="L10" s="336"/>
      <c r="M10" s="336"/>
      <c r="N10" s="336"/>
      <c r="O10" s="336"/>
      <c r="P10" s="336"/>
      <c r="Q10" s="336"/>
      <c r="R10" s="336"/>
      <c r="S10" s="336"/>
      <c r="T10" s="336"/>
      <c r="U10" s="336"/>
      <c r="V10" s="336"/>
      <c r="W10" s="336"/>
      <c r="X10" s="336"/>
      <c r="Y10" s="336"/>
      <c r="Z10" s="336"/>
      <c r="AA10" s="336"/>
      <c r="AB10" s="336"/>
      <c r="AC10" s="336"/>
      <c r="AD10" s="336"/>
      <c r="AE10" s="336"/>
      <c r="AF10" s="336"/>
      <c r="AG10" s="336"/>
      <c r="AH10" s="336"/>
      <c r="AI10" s="336"/>
      <c r="AJ10" s="336"/>
      <c r="AK10" s="336"/>
      <c r="AL10" s="336"/>
      <c r="AM10" s="336"/>
      <c r="AN10" s="336"/>
      <c r="AO10" s="336"/>
      <c r="AP10" s="336"/>
      <c r="AQ10" s="336"/>
      <c r="AR10" s="336"/>
      <c r="AS10" s="336"/>
      <c r="AT10" s="336"/>
      <c r="AU10" s="336"/>
      <c r="AV10" s="336"/>
      <c r="AW10" s="336"/>
      <c r="AX10" s="336"/>
      <c r="AY10" s="336"/>
      <c r="AZ10" s="336"/>
      <c r="BA10" s="336"/>
      <c r="BB10" s="336"/>
      <c r="BC10" s="336"/>
      <c r="BD10" s="336"/>
      <c r="BE10" s="336"/>
      <c r="BF10" s="856" t="s">
        <v>489</v>
      </c>
      <c r="BG10" s="856"/>
      <c r="BH10" s="856"/>
      <c r="BI10" s="856"/>
      <c r="BJ10" s="856"/>
      <c r="BK10" s="856"/>
      <c r="BL10" s="856"/>
      <c r="BM10" s="856"/>
      <c r="BN10" s="856"/>
      <c r="BO10" s="856"/>
      <c r="BP10" s="856"/>
      <c r="BQ10" s="856"/>
      <c r="BR10" s="856"/>
      <c r="BS10" s="856"/>
      <c r="BT10" s="856"/>
      <c r="BU10" s="864">
        <f>'Roll Stock Checklist'!I13</f>
        <v>0</v>
      </c>
      <c r="BV10" s="865"/>
      <c r="BW10" s="865"/>
      <c r="BX10" s="865"/>
      <c r="BY10" s="865"/>
      <c r="BZ10" s="865"/>
      <c r="CA10" s="865"/>
      <c r="CB10" s="865"/>
      <c r="CC10" s="865"/>
      <c r="CD10" s="865"/>
      <c r="CE10" s="865"/>
      <c r="CF10" s="865"/>
      <c r="CG10" s="865"/>
      <c r="CH10" s="865"/>
      <c r="CI10" s="866"/>
    </row>
    <row r="11" spans="1:87" ht="22.5" customHeight="1">
      <c r="D11" s="336"/>
      <c r="E11" s="336"/>
      <c r="F11" s="336"/>
      <c r="G11" s="336"/>
      <c r="H11" s="336"/>
      <c r="I11" s="336"/>
      <c r="J11" s="336"/>
      <c r="K11" s="336"/>
      <c r="L11" s="336"/>
      <c r="M11" s="336"/>
      <c r="N11" s="336"/>
      <c r="O11" s="336"/>
      <c r="P11" s="336"/>
      <c r="Q11" s="336"/>
      <c r="R11" s="336"/>
      <c r="S11" s="336"/>
      <c r="T11" s="336"/>
      <c r="U11" s="336"/>
      <c r="V11" s="336"/>
      <c r="W11" s="336"/>
      <c r="X11" s="336"/>
      <c r="Y11" s="336"/>
      <c r="Z11" s="336"/>
      <c r="AA11" s="336"/>
      <c r="AB11" s="336"/>
      <c r="AC11" s="336"/>
      <c r="AD11" s="336"/>
      <c r="AE11" s="336"/>
      <c r="AF11" s="336"/>
      <c r="AG11" s="336"/>
      <c r="AH11" s="336"/>
      <c r="AI11" s="336"/>
      <c r="AJ11" s="336"/>
      <c r="AK11" s="336"/>
      <c r="AL11" s="336"/>
      <c r="AM11" s="336"/>
      <c r="AN11" s="336"/>
      <c r="AO11" s="336"/>
      <c r="AP11" s="336"/>
      <c r="AQ11" s="336"/>
      <c r="AR11" s="336"/>
      <c r="AS11" s="336"/>
      <c r="AT11" s="336"/>
      <c r="AU11" s="336"/>
      <c r="AV11" s="336"/>
      <c r="AW11" s="336"/>
      <c r="AX11" s="336"/>
      <c r="AY11" s="336"/>
      <c r="AZ11" s="336"/>
      <c r="BA11" s="336"/>
      <c r="BB11" s="336"/>
      <c r="BC11" s="336"/>
      <c r="BD11" s="336"/>
      <c r="BE11" s="336"/>
      <c r="BF11" s="336"/>
      <c r="BG11" s="336"/>
      <c r="BH11" s="336"/>
      <c r="BI11" s="336"/>
      <c r="BJ11" s="336"/>
      <c r="BK11" s="336"/>
      <c r="BL11" s="336"/>
      <c r="BM11" s="336"/>
      <c r="BN11" s="336"/>
      <c r="BO11" s="336"/>
      <c r="BP11" s="336"/>
      <c r="BQ11" s="336"/>
      <c r="BR11" s="336"/>
      <c r="BS11" s="336"/>
      <c r="BT11" s="336"/>
      <c r="BU11" s="336"/>
      <c r="BV11" s="336"/>
      <c r="BW11" s="336"/>
      <c r="BX11" s="336"/>
      <c r="BY11" s="336"/>
      <c r="BZ11" s="336"/>
      <c r="CA11" s="336"/>
      <c r="CB11" s="336"/>
      <c r="CC11" s="336"/>
      <c r="CD11" s="336"/>
      <c r="CE11" s="336"/>
      <c r="CF11" s="336"/>
      <c r="CG11" s="336"/>
      <c r="CH11" s="336"/>
      <c r="CI11" s="336"/>
    </row>
    <row r="12" spans="1:87" ht="30" customHeight="1">
      <c r="D12" s="336"/>
      <c r="E12" s="336"/>
      <c r="F12" s="336"/>
      <c r="G12" s="336"/>
      <c r="H12" s="336"/>
      <c r="I12" s="336"/>
      <c r="J12" s="336"/>
      <c r="K12" s="336"/>
      <c r="L12" s="336"/>
      <c r="M12" s="336"/>
      <c r="N12" s="336"/>
      <c r="O12" s="336"/>
      <c r="P12" s="336"/>
      <c r="Q12" s="336"/>
      <c r="R12" s="336"/>
      <c r="S12" s="336"/>
      <c r="T12" s="336"/>
      <c r="U12" s="336"/>
      <c r="V12" s="336"/>
      <c r="W12" s="336"/>
      <c r="X12" s="336"/>
      <c r="Y12" s="336"/>
      <c r="Z12" s="336"/>
      <c r="AA12" s="336"/>
      <c r="AB12" s="336"/>
      <c r="AC12" s="336"/>
      <c r="AD12" s="336"/>
      <c r="AE12" s="336"/>
      <c r="AF12" s="336"/>
      <c r="AG12" s="336"/>
      <c r="AH12" s="336"/>
      <c r="AI12" s="336"/>
      <c r="AJ12" s="336"/>
      <c r="AK12" s="336"/>
      <c r="AL12" s="336"/>
      <c r="AM12" s="336"/>
      <c r="AN12" s="336"/>
      <c r="AO12" s="336"/>
      <c r="AP12" s="336"/>
      <c r="AQ12" s="336"/>
      <c r="AR12" s="336"/>
      <c r="AS12" s="336"/>
      <c r="AT12" s="336"/>
      <c r="AU12" s="336"/>
      <c r="BF12" s="413"/>
      <c r="BG12" s="413"/>
      <c r="BH12" s="413"/>
      <c r="BI12" s="413"/>
      <c r="BJ12" s="855" t="s">
        <v>490</v>
      </c>
      <c r="BK12" s="855"/>
      <c r="BL12" s="855"/>
      <c r="BM12" s="855"/>
      <c r="BN12" s="855"/>
      <c r="BO12" s="855"/>
      <c r="BP12" s="855"/>
      <c r="BQ12" s="855"/>
      <c r="BR12" s="855"/>
      <c r="BS12" s="855"/>
      <c r="BT12" s="413"/>
      <c r="BU12" s="413"/>
      <c r="BV12" s="413"/>
      <c r="BW12" s="413"/>
      <c r="BX12" s="413"/>
      <c r="BY12" s="413"/>
      <c r="BZ12" s="413"/>
      <c r="CA12" s="413"/>
      <c r="CB12" s="413"/>
      <c r="CC12" s="413"/>
      <c r="CD12" s="413"/>
      <c r="CE12" s="413"/>
      <c r="CF12" s="414"/>
      <c r="CG12" s="414"/>
      <c r="CH12" s="414"/>
      <c r="CI12" s="414"/>
    </row>
    <row r="13" spans="1:87" ht="30" customHeight="1">
      <c r="C13" s="858" t="s">
        <v>491</v>
      </c>
      <c r="D13" s="858"/>
      <c r="E13" s="858"/>
      <c r="F13" s="858"/>
      <c r="G13" s="859">
        <f>Assessment!K6</f>
        <v>0</v>
      </c>
      <c r="H13" s="859"/>
      <c r="I13" s="859"/>
      <c r="J13" s="859"/>
      <c r="K13" s="859"/>
      <c r="L13" s="859"/>
      <c r="M13" s="859"/>
      <c r="N13" s="859"/>
      <c r="O13" s="859"/>
      <c r="P13" s="859"/>
      <c r="Q13" s="859"/>
      <c r="R13" s="859"/>
      <c r="S13" s="859"/>
      <c r="T13" s="859"/>
      <c r="U13" s="859"/>
      <c r="V13" s="859"/>
      <c r="W13" s="859"/>
      <c r="X13" s="859"/>
      <c r="Y13" s="859"/>
      <c r="Z13" s="859"/>
      <c r="AA13" s="859"/>
      <c r="AB13" s="859"/>
      <c r="AC13" s="859"/>
      <c r="AD13" s="859"/>
      <c r="AE13" s="859"/>
      <c r="AF13" s="859"/>
      <c r="AG13" s="859"/>
      <c r="AH13" s="859"/>
      <c r="AI13" s="859"/>
      <c r="AJ13" s="859"/>
      <c r="AK13" s="859"/>
      <c r="AL13" s="859"/>
      <c r="AM13" s="859"/>
      <c r="AN13" s="859"/>
      <c r="AO13" s="859"/>
      <c r="AP13" s="859"/>
      <c r="AQ13" s="859"/>
      <c r="AR13" s="859"/>
      <c r="AS13" s="859"/>
      <c r="AT13" s="859"/>
      <c r="AU13" s="859"/>
      <c r="AV13" s="859"/>
      <c r="AW13" s="859"/>
      <c r="AX13" s="859"/>
      <c r="AY13" s="859"/>
      <c r="AZ13" s="859"/>
      <c r="BA13" s="859"/>
      <c r="BB13" s="859"/>
      <c r="BC13" s="859"/>
      <c r="BD13" s="859"/>
      <c r="BE13" s="859"/>
      <c r="BF13" s="859"/>
      <c r="BG13" s="859"/>
      <c r="BH13" s="859"/>
      <c r="BI13" s="859"/>
      <c r="BJ13" s="867">
        <f>Assessment!L10</f>
        <v>0</v>
      </c>
      <c r="BK13" s="868"/>
      <c r="BL13" s="868"/>
      <c r="BM13" s="868"/>
      <c r="BN13" s="868"/>
      <c r="BO13" s="868"/>
      <c r="BP13" s="868"/>
      <c r="BQ13" s="868"/>
      <c r="BR13" s="868"/>
      <c r="BS13" s="868"/>
      <c r="BT13" s="868"/>
      <c r="BU13" s="868"/>
      <c r="BV13" s="868"/>
      <c r="BW13" s="868"/>
      <c r="BX13" s="868"/>
      <c r="BY13" s="868"/>
      <c r="BZ13" s="868"/>
      <c r="CA13" s="868"/>
      <c r="CB13" s="868"/>
      <c r="CC13" s="868"/>
      <c r="CD13" s="868"/>
      <c r="CE13" s="868"/>
      <c r="CF13" s="868"/>
      <c r="CG13" s="868"/>
      <c r="CH13" s="868"/>
      <c r="CI13" s="869"/>
    </row>
    <row r="14" spans="1:87" ht="30" customHeight="1">
      <c r="C14" s="858" t="s">
        <v>492</v>
      </c>
      <c r="D14" s="858"/>
      <c r="E14" s="858"/>
      <c r="F14" s="858"/>
      <c r="G14" s="859" t="s">
        <v>484</v>
      </c>
      <c r="H14" s="859"/>
      <c r="I14" s="859"/>
      <c r="J14" s="859"/>
      <c r="K14" s="859"/>
      <c r="L14" s="859"/>
      <c r="M14" s="859"/>
      <c r="N14" s="859"/>
      <c r="O14" s="859"/>
      <c r="P14" s="859"/>
      <c r="Q14" s="859"/>
      <c r="R14" s="859"/>
      <c r="S14" s="859"/>
      <c r="T14" s="859"/>
      <c r="U14" s="859"/>
      <c r="V14" s="859"/>
      <c r="W14" s="859"/>
      <c r="X14" s="859"/>
      <c r="Y14" s="859"/>
      <c r="Z14" s="859"/>
      <c r="AA14" s="859"/>
      <c r="AB14" s="859"/>
      <c r="AC14" s="859"/>
      <c r="AD14" s="859"/>
      <c r="AE14" s="859"/>
      <c r="AF14" s="859"/>
      <c r="AG14" s="859"/>
      <c r="AH14" s="859"/>
      <c r="AI14" s="859"/>
      <c r="AJ14" s="859"/>
      <c r="AK14" s="859"/>
      <c r="AL14" s="859"/>
      <c r="AM14" s="859"/>
      <c r="AN14" s="859"/>
      <c r="AO14" s="859"/>
      <c r="AP14" s="859"/>
      <c r="AQ14" s="859"/>
      <c r="AR14" s="859"/>
      <c r="AS14" s="859"/>
      <c r="AT14" s="859"/>
      <c r="AU14" s="859"/>
      <c r="AV14" s="859"/>
      <c r="AW14" s="859"/>
      <c r="AX14" s="859"/>
      <c r="AY14" s="859"/>
      <c r="AZ14" s="859"/>
      <c r="BA14" s="859"/>
      <c r="BB14" s="859"/>
      <c r="BC14" s="859"/>
      <c r="BD14" s="859"/>
      <c r="BE14" s="859"/>
      <c r="BF14" s="859"/>
      <c r="BG14" s="859"/>
      <c r="BH14" s="859"/>
      <c r="BI14" s="859"/>
      <c r="BJ14" s="861"/>
      <c r="BK14" s="862"/>
      <c r="BL14" s="862"/>
      <c r="BM14" s="862"/>
      <c r="BN14" s="862"/>
      <c r="BO14" s="862"/>
      <c r="BP14" s="862"/>
      <c r="BQ14" s="862"/>
      <c r="BR14" s="862"/>
      <c r="BS14" s="862"/>
      <c r="BT14" s="862"/>
      <c r="BU14" s="862"/>
      <c r="BV14" s="862"/>
      <c r="BW14" s="862"/>
      <c r="BX14" s="862"/>
      <c r="BY14" s="862"/>
      <c r="BZ14" s="862"/>
      <c r="CA14" s="862"/>
      <c r="CB14" s="862"/>
      <c r="CC14" s="862"/>
      <c r="CD14" s="862"/>
      <c r="CE14" s="862"/>
      <c r="CF14" s="862"/>
      <c r="CG14" s="862"/>
      <c r="CH14" s="862"/>
      <c r="CI14" s="863"/>
    </row>
    <row r="15" spans="1:87" ht="30" customHeight="1">
      <c r="C15" s="858" t="s">
        <v>493</v>
      </c>
      <c r="D15" s="858"/>
      <c r="E15" s="858"/>
      <c r="F15" s="858"/>
      <c r="G15" s="859"/>
      <c r="H15" s="859"/>
      <c r="I15" s="859"/>
      <c r="J15" s="859"/>
      <c r="K15" s="859"/>
      <c r="L15" s="859"/>
      <c r="M15" s="859"/>
      <c r="N15" s="859"/>
      <c r="O15" s="859"/>
      <c r="P15" s="859"/>
      <c r="Q15" s="859"/>
      <c r="R15" s="859"/>
      <c r="S15" s="859"/>
      <c r="T15" s="859"/>
      <c r="U15" s="859"/>
      <c r="V15" s="859"/>
      <c r="W15" s="859"/>
      <c r="X15" s="859"/>
      <c r="Y15" s="859"/>
      <c r="Z15" s="859"/>
      <c r="AA15" s="859"/>
      <c r="AB15" s="859"/>
      <c r="AC15" s="859"/>
      <c r="AD15" s="859"/>
      <c r="AE15" s="859"/>
      <c r="AF15" s="859"/>
      <c r="AG15" s="859"/>
      <c r="AH15" s="859"/>
      <c r="AI15" s="859"/>
      <c r="AJ15" s="859"/>
      <c r="AK15" s="859"/>
      <c r="AL15" s="859"/>
      <c r="AM15" s="859"/>
      <c r="AN15" s="859"/>
      <c r="AO15" s="859"/>
      <c r="AP15" s="859"/>
      <c r="AQ15" s="859"/>
      <c r="AR15" s="859"/>
      <c r="AS15" s="859"/>
      <c r="AT15" s="859"/>
      <c r="AU15" s="859"/>
      <c r="AV15" s="859"/>
      <c r="AW15" s="859"/>
      <c r="AX15" s="859"/>
      <c r="AY15" s="859"/>
      <c r="AZ15" s="859"/>
      <c r="BA15" s="859"/>
      <c r="BB15" s="859"/>
      <c r="BC15" s="859"/>
      <c r="BD15" s="859"/>
      <c r="BE15" s="859"/>
      <c r="BF15" s="859"/>
      <c r="BG15" s="859"/>
      <c r="BH15" s="859"/>
      <c r="BI15" s="859"/>
      <c r="BJ15" s="861"/>
      <c r="BK15" s="862"/>
      <c r="BL15" s="862"/>
      <c r="BM15" s="862"/>
      <c r="BN15" s="862"/>
      <c r="BO15" s="862"/>
      <c r="BP15" s="862"/>
      <c r="BQ15" s="862"/>
      <c r="BR15" s="862"/>
      <c r="BS15" s="862"/>
      <c r="BT15" s="862"/>
      <c r="BU15" s="862"/>
      <c r="BV15" s="862"/>
      <c r="BW15" s="862"/>
      <c r="BX15" s="862"/>
      <c r="BY15" s="862"/>
      <c r="BZ15" s="862"/>
      <c r="CA15" s="862"/>
      <c r="CB15" s="862"/>
      <c r="CC15" s="862"/>
      <c r="CD15" s="862"/>
      <c r="CE15" s="862"/>
      <c r="CF15" s="862"/>
      <c r="CG15" s="862"/>
      <c r="CH15" s="862"/>
      <c r="CI15" s="863"/>
    </row>
    <row r="16" spans="1:87" ht="22.5" customHeight="1">
      <c r="D16" s="336"/>
      <c r="E16" s="336"/>
      <c r="F16" s="336"/>
      <c r="G16" s="336"/>
      <c r="H16" s="336"/>
      <c r="I16" s="336"/>
      <c r="J16" s="336"/>
      <c r="K16" s="336"/>
      <c r="L16" s="336"/>
      <c r="M16" s="336"/>
      <c r="N16" s="336"/>
      <c r="O16" s="336"/>
      <c r="P16" s="336"/>
      <c r="Q16" s="336"/>
      <c r="R16" s="336"/>
      <c r="S16" s="336"/>
      <c r="T16" s="336"/>
      <c r="U16" s="336"/>
      <c r="AP16" s="336"/>
      <c r="AQ16" s="336"/>
      <c r="AR16" s="336"/>
      <c r="AS16" s="336"/>
      <c r="AT16" s="336"/>
      <c r="AU16" s="336"/>
      <c r="AV16" s="336"/>
      <c r="AW16" s="336"/>
      <c r="AX16" s="336"/>
      <c r="AY16" s="336"/>
      <c r="AZ16" s="336"/>
      <c r="BA16" s="336"/>
      <c r="BB16" s="336"/>
      <c r="BC16" s="336"/>
      <c r="BD16" s="336"/>
      <c r="BE16" s="336"/>
      <c r="BF16" s="336"/>
      <c r="BG16" s="336"/>
      <c r="BH16" s="336"/>
      <c r="BI16" s="336"/>
      <c r="BJ16" s="336"/>
      <c r="BK16" s="336"/>
      <c r="BL16" s="336"/>
      <c r="BM16" s="336"/>
      <c r="BN16" s="336"/>
      <c r="BO16" s="336"/>
      <c r="BP16" s="336"/>
      <c r="BQ16" s="336"/>
      <c r="BR16" s="336"/>
      <c r="BS16" s="336"/>
      <c r="BT16" s="336"/>
      <c r="BU16" s="336"/>
      <c r="BV16" s="336"/>
      <c r="BW16" s="336"/>
      <c r="BX16" s="336"/>
      <c r="BY16" s="336"/>
      <c r="BZ16" s="336"/>
      <c r="CA16" s="336"/>
      <c r="CB16" s="336"/>
      <c r="CC16" s="336"/>
      <c r="CD16" s="336"/>
      <c r="CE16" s="336"/>
      <c r="CF16" s="336"/>
      <c r="CG16" s="336"/>
      <c r="CH16" s="336"/>
      <c r="CI16" s="336"/>
    </row>
    <row r="17" spans="1:88" ht="30" customHeight="1">
      <c r="B17" s="838" t="s">
        <v>494</v>
      </c>
      <c r="C17" s="838"/>
      <c r="D17" s="838"/>
      <c r="E17" s="838"/>
      <c r="F17" s="838"/>
      <c r="G17" s="838"/>
      <c r="H17" s="838"/>
      <c r="I17" s="838"/>
      <c r="J17" s="838"/>
      <c r="K17" s="838"/>
      <c r="L17" s="838"/>
      <c r="M17" s="838"/>
      <c r="N17" s="838"/>
      <c r="O17" s="838"/>
      <c r="P17" s="854"/>
      <c r="Q17" s="831" t="s">
        <v>484</v>
      </c>
      <c r="R17" s="832"/>
      <c r="S17" s="832"/>
      <c r="T17" s="832"/>
      <c r="U17" s="832"/>
      <c r="V17" s="832"/>
      <c r="W17" s="832"/>
      <c r="X17" s="832"/>
      <c r="Y17" s="339"/>
      <c r="Z17" s="339"/>
      <c r="AA17" s="340"/>
      <c r="AB17" s="340"/>
      <c r="AC17" s="832" t="s">
        <v>484</v>
      </c>
      <c r="AD17" s="832"/>
      <c r="AE17" s="832"/>
      <c r="AF17" s="832"/>
      <c r="AG17" s="832"/>
      <c r="AH17" s="832"/>
      <c r="AI17" s="832"/>
      <c r="AJ17" s="833"/>
      <c r="AK17" s="860" t="s">
        <v>495</v>
      </c>
      <c r="AL17" s="860"/>
      <c r="AM17" s="860"/>
      <c r="AN17" s="860"/>
      <c r="AO17" s="860"/>
      <c r="AP17" s="860"/>
      <c r="AQ17" s="831" t="s">
        <v>484</v>
      </c>
      <c r="AR17" s="832"/>
      <c r="AS17" s="832"/>
      <c r="AT17" s="832"/>
      <c r="AU17" s="832"/>
      <c r="AV17" s="832"/>
      <c r="AW17" s="832"/>
      <c r="AX17" s="832"/>
      <c r="AY17" s="832"/>
      <c r="AZ17" s="832"/>
      <c r="BA17" s="832"/>
      <c r="BB17" s="833"/>
      <c r="BC17" s="839" t="s">
        <v>496</v>
      </c>
      <c r="BD17" s="839"/>
      <c r="BE17" s="839"/>
      <c r="BF17" s="839"/>
      <c r="BG17" s="839"/>
      <c r="BH17" s="839"/>
      <c r="BI17" s="839"/>
      <c r="BJ17" s="839"/>
      <c r="BK17" s="839"/>
      <c r="BL17" s="839"/>
      <c r="BM17" s="839"/>
      <c r="BN17" s="839"/>
      <c r="BO17" s="839"/>
      <c r="BP17" s="839"/>
      <c r="BQ17" s="839"/>
      <c r="BR17" s="839"/>
      <c r="BS17" s="839"/>
      <c r="BT17" s="839"/>
      <c r="BU17" s="839"/>
      <c r="BV17" s="839"/>
      <c r="BW17" s="849">
        <f>'Roll Stock Checklist'!F31</f>
        <v>0</v>
      </c>
      <c r="BX17" s="850"/>
      <c r="BY17" s="850"/>
      <c r="BZ17" s="850"/>
      <c r="CA17" s="850"/>
      <c r="CB17" s="850"/>
      <c r="CC17" s="850"/>
      <c r="CD17" s="850"/>
      <c r="CE17" s="850"/>
      <c r="CF17" s="850"/>
      <c r="CG17" s="850"/>
      <c r="CH17" s="850"/>
      <c r="CI17" s="851"/>
    </row>
    <row r="18" spans="1:88" ht="22.5" customHeight="1">
      <c r="B18" s="341"/>
      <c r="C18" s="341"/>
      <c r="D18" s="341"/>
      <c r="E18" s="341"/>
      <c r="F18" s="341"/>
      <c r="G18" s="341"/>
      <c r="H18" s="341"/>
      <c r="I18" s="341"/>
      <c r="J18" s="341"/>
      <c r="K18" s="341"/>
      <c r="L18" s="341"/>
      <c r="M18" s="341"/>
      <c r="N18" s="341"/>
      <c r="O18" s="341"/>
      <c r="P18" s="341"/>
      <c r="Q18" s="852"/>
      <c r="R18" s="853"/>
      <c r="S18" s="853"/>
      <c r="T18" s="853"/>
      <c r="U18" s="853"/>
      <c r="V18" s="853"/>
      <c r="W18" s="853"/>
      <c r="X18" s="853"/>
      <c r="Y18" s="853"/>
      <c r="Z18" s="853"/>
      <c r="AA18" s="853"/>
      <c r="AB18" s="853"/>
      <c r="AC18" s="853"/>
      <c r="AD18" s="853"/>
      <c r="AE18" s="853"/>
      <c r="AF18" s="853"/>
      <c r="AG18" s="853"/>
      <c r="AH18" s="853"/>
      <c r="AI18" s="853"/>
      <c r="AJ18" s="853"/>
      <c r="AU18" s="336"/>
      <c r="AV18" s="336"/>
      <c r="AW18" s="336"/>
      <c r="AX18" s="336"/>
      <c r="AY18" s="336"/>
      <c r="AZ18" s="336"/>
      <c r="BA18" s="336"/>
      <c r="BB18" s="336"/>
      <c r="BC18" s="336"/>
      <c r="BD18" s="336"/>
      <c r="BE18" s="336"/>
      <c r="BF18" s="336"/>
      <c r="BG18" s="336"/>
      <c r="BH18" s="336"/>
      <c r="BI18" s="336"/>
      <c r="BJ18" s="336"/>
      <c r="BK18" s="336"/>
      <c r="BL18" s="336"/>
      <c r="BM18" s="336"/>
      <c r="BN18" s="336"/>
      <c r="BO18" s="336"/>
      <c r="BP18" s="336"/>
      <c r="BQ18" s="336"/>
      <c r="BR18" s="336"/>
      <c r="BS18" s="336"/>
      <c r="BT18" s="336"/>
      <c r="BU18" s="336"/>
      <c r="BV18" s="336"/>
      <c r="BW18" s="336"/>
      <c r="BX18" s="336"/>
      <c r="BY18" s="336"/>
      <c r="BZ18" s="336"/>
      <c r="CA18" s="336"/>
      <c r="CB18" s="336"/>
      <c r="CC18" s="336"/>
      <c r="CD18" s="336"/>
      <c r="CE18" s="336"/>
      <c r="CF18" s="336"/>
      <c r="CG18" s="336"/>
      <c r="CH18" s="336"/>
      <c r="CI18" s="336"/>
    </row>
    <row r="19" spans="1:88" ht="30" customHeight="1">
      <c r="B19" s="838" t="s">
        <v>497</v>
      </c>
      <c r="C19" s="838"/>
      <c r="D19" s="838"/>
      <c r="E19" s="838"/>
      <c r="F19" s="838"/>
      <c r="G19" s="838"/>
      <c r="H19" s="838"/>
      <c r="I19" s="838"/>
      <c r="J19" s="838"/>
      <c r="K19" s="838"/>
      <c r="L19" s="838"/>
      <c r="M19" s="838"/>
      <c r="N19" s="838"/>
      <c r="O19" s="838"/>
      <c r="P19" s="854"/>
      <c r="Q19" s="831"/>
      <c r="R19" s="832"/>
      <c r="S19" s="832"/>
      <c r="T19" s="833"/>
      <c r="U19" s="336"/>
      <c r="V19" s="336"/>
      <c r="W19" s="336"/>
      <c r="X19" s="336"/>
      <c r="Y19" s="336"/>
      <c r="Z19" s="336"/>
      <c r="AA19" s="336"/>
      <c r="AB19" s="336"/>
      <c r="AC19" s="336"/>
      <c r="AD19" s="336"/>
      <c r="AE19" s="336"/>
      <c r="AF19" s="336"/>
      <c r="AG19" s="336"/>
      <c r="AH19" s="336"/>
      <c r="AI19" s="336"/>
      <c r="AJ19" s="336"/>
      <c r="AK19" s="855" t="s">
        <v>498</v>
      </c>
      <c r="AL19" s="855"/>
      <c r="AM19" s="855"/>
      <c r="AN19" s="855"/>
      <c r="AO19" s="855"/>
      <c r="AP19" s="855"/>
      <c r="AQ19" s="855"/>
      <c r="AR19" s="855"/>
      <c r="AS19" s="855"/>
      <c r="AT19" s="831" t="s">
        <v>484</v>
      </c>
      <c r="AU19" s="832"/>
      <c r="AV19" s="832"/>
      <c r="AW19" s="833"/>
      <c r="AX19" s="336"/>
      <c r="AY19" s="336"/>
      <c r="AZ19" s="336"/>
      <c r="BA19" s="336"/>
      <c r="BB19" s="336"/>
      <c r="BC19" s="336"/>
      <c r="BD19" s="336"/>
      <c r="BE19" s="336"/>
      <c r="BF19" s="336"/>
      <c r="BG19" s="336"/>
      <c r="BH19" s="336"/>
      <c r="BI19" s="336"/>
      <c r="BJ19" s="336"/>
      <c r="BK19" s="336"/>
      <c r="BL19" s="856" t="s">
        <v>499</v>
      </c>
      <c r="BM19" s="856"/>
      <c r="BN19" s="856"/>
      <c r="BO19" s="856"/>
      <c r="BP19" s="856"/>
      <c r="BQ19" s="856"/>
      <c r="BR19" s="856"/>
      <c r="BS19" s="856"/>
      <c r="BT19" s="856"/>
      <c r="BU19" s="856"/>
      <c r="BV19" s="856"/>
      <c r="BW19" s="856"/>
      <c r="BX19" s="856"/>
      <c r="BY19" s="856"/>
      <c r="BZ19" s="856"/>
      <c r="CA19" s="856"/>
      <c r="CB19" s="856"/>
      <c r="CC19" s="856"/>
      <c r="CD19" s="856"/>
      <c r="CE19" s="857"/>
      <c r="CF19" s="831" t="s">
        <v>484</v>
      </c>
      <c r="CG19" s="832"/>
      <c r="CH19" s="832"/>
      <c r="CI19" s="833"/>
    </row>
    <row r="20" spans="1:88" ht="22.5" customHeight="1">
      <c r="A20" s="836" t="s">
        <v>484</v>
      </c>
      <c r="B20" s="837"/>
      <c r="C20" s="837"/>
      <c r="D20" s="837"/>
      <c r="E20" s="837"/>
      <c r="F20" s="837"/>
      <c r="G20" s="837"/>
      <c r="H20" s="837"/>
      <c r="I20" s="837"/>
      <c r="J20" s="837"/>
      <c r="K20" s="837"/>
      <c r="L20" s="837"/>
      <c r="M20" s="837"/>
      <c r="N20" s="837"/>
      <c r="O20" s="837"/>
      <c r="P20" s="837"/>
      <c r="Q20" s="837"/>
      <c r="R20" s="837"/>
      <c r="S20" s="837"/>
      <c r="T20" s="837"/>
      <c r="U20" s="837"/>
      <c r="V20" s="837"/>
      <c r="W20" s="837"/>
      <c r="X20" s="837"/>
      <c r="Y20" s="837"/>
      <c r="Z20" s="837"/>
      <c r="AA20" s="837"/>
      <c r="AB20" s="837"/>
      <c r="AC20" s="837"/>
      <c r="AD20" s="837"/>
      <c r="AE20" s="837"/>
      <c r="AF20" s="837"/>
      <c r="AG20" s="837"/>
      <c r="AH20" s="837"/>
      <c r="AI20" s="837"/>
      <c r="AJ20" s="837"/>
      <c r="AK20" s="837"/>
      <c r="AL20" s="837"/>
      <c r="AM20" s="837"/>
      <c r="AN20" s="837"/>
      <c r="AO20" s="837"/>
      <c r="AP20" s="837"/>
      <c r="AQ20" s="837"/>
      <c r="AR20" s="837"/>
      <c r="AS20" s="837"/>
      <c r="AT20" s="837"/>
      <c r="AU20" s="837"/>
      <c r="AV20" s="837"/>
      <c r="AW20" s="837"/>
      <c r="AX20" s="837"/>
      <c r="AY20" s="837"/>
      <c r="AZ20" s="837"/>
      <c r="BA20" s="837"/>
      <c r="BB20" s="837"/>
      <c r="BC20" s="837"/>
      <c r="BD20" s="837"/>
      <c r="BE20" s="837"/>
      <c r="BF20" s="837"/>
      <c r="BG20" s="837"/>
      <c r="BH20" s="837"/>
      <c r="BI20" s="837"/>
      <c r="BJ20" s="837"/>
      <c r="BK20" s="837"/>
      <c r="BL20" s="837"/>
      <c r="BM20" s="837"/>
      <c r="BN20" s="837"/>
      <c r="BO20" s="837"/>
      <c r="BP20" s="837"/>
      <c r="BQ20" s="837"/>
      <c r="BR20" s="837"/>
      <c r="BS20" s="837"/>
      <c r="BT20" s="837"/>
      <c r="BU20" s="837"/>
      <c r="BV20" s="837"/>
      <c r="BW20" s="837"/>
      <c r="BX20" s="837"/>
      <c r="BY20" s="837"/>
      <c r="BZ20" s="837"/>
      <c r="CA20" s="837"/>
      <c r="CB20" s="837"/>
      <c r="CC20" s="837"/>
      <c r="CD20" s="837"/>
      <c r="CE20" s="837"/>
      <c r="CF20" s="837"/>
      <c r="CG20" s="837"/>
      <c r="CH20" s="837"/>
      <c r="CI20" s="837"/>
      <c r="CJ20" s="837"/>
    </row>
    <row r="21" spans="1:88" ht="30" customHeight="1">
      <c r="B21" s="838" t="s">
        <v>500</v>
      </c>
      <c r="C21" s="838"/>
      <c r="D21" s="838"/>
      <c r="E21" s="838"/>
      <c r="F21" s="838"/>
      <c r="G21" s="838"/>
      <c r="H21" s="838"/>
      <c r="I21" s="838"/>
      <c r="J21" s="838"/>
      <c r="K21" s="838"/>
      <c r="L21" s="838"/>
      <c r="M21" s="839" t="s">
        <v>501</v>
      </c>
      <c r="N21" s="839"/>
      <c r="O21" s="839"/>
      <c r="P21" s="839"/>
      <c r="Q21" s="839"/>
      <c r="R21" s="839"/>
      <c r="S21" s="839"/>
      <c r="T21" s="840"/>
      <c r="U21" s="831"/>
      <c r="V21" s="832"/>
      <c r="W21" s="832"/>
      <c r="X21" s="833"/>
      <c r="Y21" s="844" t="s">
        <v>502</v>
      </c>
      <c r="Z21" s="843"/>
      <c r="AA21" s="843"/>
      <c r="AB21" s="843"/>
      <c r="AC21" s="843"/>
      <c r="AD21" s="843"/>
      <c r="AE21" s="843"/>
      <c r="AF21" s="843"/>
      <c r="AG21" s="843"/>
      <c r="AH21" s="843"/>
      <c r="AI21" s="831"/>
      <c r="AJ21" s="832"/>
      <c r="AK21" s="832"/>
      <c r="AL21" s="833"/>
      <c r="AM21" s="336"/>
      <c r="AN21" s="336"/>
      <c r="AO21" s="336"/>
      <c r="AP21" s="336"/>
      <c r="AQ21" s="336"/>
      <c r="AR21" s="843" t="s">
        <v>503</v>
      </c>
      <c r="AS21" s="843"/>
      <c r="AT21" s="843"/>
      <c r="AU21" s="843"/>
      <c r="AV21" s="843"/>
      <c r="AW21" s="843"/>
      <c r="AX21" s="843"/>
      <c r="AY21" s="843"/>
      <c r="AZ21" s="843"/>
      <c r="BA21" s="843"/>
      <c r="BB21" s="843"/>
      <c r="BC21" s="843"/>
      <c r="BD21" s="831"/>
      <c r="BE21" s="832"/>
      <c r="BF21" s="832"/>
      <c r="BG21" s="833"/>
      <c r="BH21" s="844" t="s">
        <v>488</v>
      </c>
      <c r="BI21" s="839"/>
      <c r="BJ21" s="839"/>
      <c r="BK21" s="839"/>
      <c r="BL21" s="839"/>
      <c r="BM21" s="839"/>
      <c r="BN21" s="839"/>
      <c r="BO21" s="839"/>
      <c r="BP21" s="839"/>
      <c r="BQ21" s="839"/>
      <c r="BR21" s="839"/>
      <c r="BS21" s="840"/>
      <c r="BT21" s="831"/>
      <c r="BU21" s="832"/>
      <c r="BV21" s="832"/>
      <c r="BW21" s="833"/>
      <c r="BX21" s="834" t="s">
        <v>504</v>
      </c>
      <c r="BY21" s="835"/>
      <c r="BZ21" s="835"/>
      <c r="CA21" s="835"/>
      <c r="CB21" s="835"/>
      <c r="CC21" s="835"/>
      <c r="CD21" s="835"/>
      <c r="CE21" s="835"/>
      <c r="CF21" s="831"/>
      <c r="CG21" s="832"/>
      <c r="CH21" s="832"/>
      <c r="CI21" s="833"/>
    </row>
    <row r="22" spans="1:88" ht="22.5" customHeight="1">
      <c r="D22" s="336"/>
      <c r="E22" s="336"/>
      <c r="F22" s="336"/>
      <c r="G22" s="336"/>
      <c r="H22" s="336"/>
      <c r="I22" s="336"/>
      <c r="J22" s="336"/>
      <c r="K22" s="336"/>
      <c r="L22" s="336"/>
      <c r="M22" s="336"/>
      <c r="AD22" s="336"/>
      <c r="AE22" s="336"/>
      <c r="AF22" s="336"/>
      <c r="AG22" s="336"/>
      <c r="AH22" s="336"/>
      <c r="AI22" s="336"/>
      <c r="AJ22" s="336"/>
      <c r="AK22" s="336"/>
      <c r="AL22" s="336"/>
      <c r="AM22" s="336"/>
      <c r="AN22" s="336"/>
      <c r="AO22" s="336"/>
      <c r="AP22" s="336"/>
      <c r="AQ22" s="336"/>
      <c r="AR22" s="336"/>
      <c r="AS22" s="336"/>
      <c r="AT22" s="336"/>
      <c r="AU22" s="336"/>
      <c r="AV22" s="845" t="s">
        <v>484</v>
      </c>
      <c r="AW22" s="846"/>
      <c r="AX22" s="846"/>
      <c r="AY22" s="846"/>
      <c r="AZ22" s="846"/>
      <c r="BA22" s="846"/>
      <c r="BB22" s="846"/>
      <c r="BC22" s="846"/>
      <c r="BD22" s="336"/>
      <c r="BE22" s="336"/>
      <c r="BF22" s="336"/>
      <c r="BK22" s="336"/>
      <c r="BL22" s="336"/>
      <c r="BM22" s="336"/>
      <c r="BN22" s="336"/>
      <c r="BO22" s="336"/>
      <c r="BP22" s="336"/>
      <c r="BQ22" s="336"/>
      <c r="BR22" s="336"/>
      <c r="BS22" s="336"/>
      <c r="BT22" s="336"/>
      <c r="BU22" s="336"/>
      <c r="BV22" s="336"/>
      <c r="BW22" s="336"/>
      <c r="BX22" s="336"/>
      <c r="BY22" s="336"/>
      <c r="BZ22" s="336"/>
      <c r="CA22" s="336"/>
      <c r="CB22" s="336"/>
      <c r="CC22" s="336"/>
      <c r="CD22" s="336"/>
      <c r="CE22" s="336"/>
      <c r="CF22" s="336"/>
      <c r="CG22" s="336"/>
      <c r="CH22" s="336"/>
      <c r="CI22" s="336"/>
    </row>
    <row r="23" spans="1:88" ht="30" customHeight="1">
      <c r="B23" s="842" t="s">
        <v>505</v>
      </c>
      <c r="C23" s="842"/>
      <c r="D23" s="842"/>
      <c r="E23" s="842"/>
      <c r="F23" s="842"/>
      <c r="G23" s="842"/>
      <c r="H23" s="842"/>
      <c r="I23" s="842"/>
      <c r="J23" s="842"/>
      <c r="K23" s="842"/>
      <c r="L23" s="842"/>
      <c r="M23" s="842"/>
      <c r="N23" s="842"/>
      <c r="O23" s="842"/>
      <c r="P23" s="842"/>
      <c r="Q23" s="842"/>
      <c r="R23" s="842"/>
      <c r="S23" s="835" t="s">
        <v>506</v>
      </c>
      <c r="T23" s="847"/>
      <c r="U23" s="847"/>
      <c r="V23" s="847"/>
      <c r="W23" s="847"/>
      <c r="X23" s="847"/>
      <c r="Y23" s="847"/>
      <c r="Z23" s="847"/>
      <c r="AA23" s="847"/>
      <c r="AB23" s="847"/>
      <c r="AC23" s="847"/>
      <c r="AD23" s="847"/>
      <c r="AE23" s="847"/>
      <c r="AF23" s="847"/>
      <c r="AG23" s="847"/>
      <c r="AH23" s="848"/>
      <c r="AI23" s="831" t="s">
        <v>484</v>
      </c>
      <c r="AJ23" s="832"/>
      <c r="AK23" s="832"/>
      <c r="AL23" s="833"/>
      <c r="AR23" s="843" t="s">
        <v>507</v>
      </c>
      <c r="AS23" s="843"/>
      <c r="AT23" s="843"/>
      <c r="AU23" s="843"/>
      <c r="AV23" s="843"/>
      <c r="AW23" s="843"/>
      <c r="AX23" s="843"/>
      <c r="AY23" s="843"/>
      <c r="AZ23" s="843"/>
      <c r="BA23" s="843"/>
      <c r="BB23" s="843"/>
      <c r="BC23" s="843"/>
      <c r="BD23" s="831"/>
      <c r="BE23" s="832"/>
      <c r="BF23" s="832"/>
      <c r="BG23" s="833"/>
      <c r="BH23" s="844" t="s">
        <v>508</v>
      </c>
      <c r="BI23" s="839"/>
      <c r="BJ23" s="839"/>
      <c r="BK23" s="839"/>
      <c r="BL23" s="839"/>
      <c r="BM23" s="839"/>
      <c r="BN23" s="839"/>
      <c r="BO23" s="839"/>
      <c r="BP23" s="839"/>
      <c r="BQ23" s="839"/>
      <c r="BR23" s="839"/>
      <c r="BS23" s="840"/>
      <c r="BT23" s="831"/>
      <c r="BU23" s="832"/>
      <c r="BV23" s="832"/>
      <c r="BW23" s="833"/>
      <c r="BX23" s="834" t="s">
        <v>509</v>
      </c>
      <c r="BY23" s="835"/>
      <c r="BZ23" s="835"/>
      <c r="CA23" s="835"/>
      <c r="CB23" s="835"/>
      <c r="CC23" s="835"/>
      <c r="CD23" s="835"/>
      <c r="CE23" s="835"/>
      <c r="CF23" s="831"/>
      <c r="CG23" s="832"/>
      <c r="CH23" s="832"/>
      <c r="CI23" s="833"/>
    </row>
    <row r="24" spans="1:88" ht="22.5" customHeight="1">
      <c r="D24" s="336"/>
      <c r="E24" s="336"/>
      <c r="F24" s="336"/>
      <c r="G24" s="336"/>
      <c r="H24" s="336"/>
      <c r="I24" s="336"/>
      <c r="L24" s="336"/>
      <c r="M24" s="336"/>
      <c r="N24" s="336"/>
      <c r="O24" s="336"/>
      <c r="P24" s="336"/>
      <c r="Q24" s="336"/>
      <c r="R24" s="336"/>
      <c r="S24" s="336"/>
      <c r="T24" s="336"/>
      <c r="U24" s="336"/>
      <c r="V24" s="336"/>
      <c r="AB24" s="841" t="s">
        <v>484</v>
      </c>
      <c r="AC24" s="837"/>
      <c r="AD24" s="837"/>
      <c r="AE24" s="837"/>
      <c r="AF24" s="837"/>
      <c r="AG24" s="837"/>
      <c r="AH24" s="837"/>
      <c r="AI24" s="837"/>
      <c r="AJ24" s="837"/>
      <c r="AK24" s="837"/>
      <c r="AL24" s="837"/>
      <c r="AM24" s="837"/>
      <c r="AN24" s="837"/>
      <c r="AO24" s="837"/>
      <c r="AP24" s="837"/>
      <c r="AQ24" s="837"/>
      <c r="AR24" s="837"/>
      <c r="AS24" s="837"/>
      <c r="AT24" s="837"/>
      <c r="AU24" s="837"/>
      <c r="AV24" s="837"/>
      <c r="AW24" s="837"/>
      <c r="AX24" s="837"/>
      <c r="AY24" s="837"/>
      <c r="AZ24" s="837"/>
      <c r="BA24" s="837"/>
      <c r="BB24" s="837"/>
      <c r="BC24" s="837"/>
      <c r="BD24" s="837"/>
      <c r="BE24" s="837"/>
      <c r="BF24" s="837"/>
      <c r="BG24" s="837"/>
      <c r="BH24" s="837"/>
      <c r="BI24" s="837"/>
      <c r="BJ24" s="837"/>
      <c r="BK24" s="837"/>
      <c r="BL24" s="837"/>
      <c r="BM24" s="837"/>
      <c r="BN24" s="837"/>
      <c r="BO24" s="837"/>
      <c r="BP24" s="837"/>
      <c r="BQ24" s="837"/>
      <c r="BR24" s="837"/>
      <c r="BS24" s="837"/>
      <c r="BT24" s="837"/>
      <c r="BU24" s="837"/>
      <c r="BV24" s="837"/>
      <c r="BW24" s="837"/>
      <c r="BX24" s="837"/>
      <c r="BY24" s="837"/>
      <c r="BZ24" s="837"/>
      <c r="CA24" s="837"/>
      <c r="CB24" s="837"/>
      <c r="CC24" s="780"/>
      <c r="CD24" s="780"/>
      <c r="CE24" s="780"/>
      <c r="CF24" s="780"/>
      <c r="CG24" s="780"/>
      <c r="CH24" s="780"/>
      <c r="CI24" s="780"/>
    </row>
    <row r="25" spans="1:88" ht="30" customHeight="1">
      <c r="B25" s="842" t="s">
        <v>510</v>
      </c>
      <c r="C25" s="842"/>
      <c r="D25" s="842"/>
      <c r="E25" s="842"/>
      <c r="F25" s="842"/>
      <c r="G25" s="842"/>
      <c r="H25" s="842"/>
      <c r="I25" s="842"/>
      <c r="J25" s="842"/>
      <c r="K25" s="842"/>
      <c r="L25" s="842"/>
      <c r="M25" s="842"/>
      <c r="N25" s="842"/>
      <c r="O25" s="842"/>
      <c r="P25" s="842"/>
      <c r="Q25" s="842"/>
      <c r="R25" s="842"/>
      <c r="AR25" s="843" t="s">
        <v>511</v>
      </c>
      <c r="AS25" s="843"/>
      <c r="AT25" s="843"/>
      <c r="AU25" s="843"/>
      <c r="AV25" s="843"/>
      <c r="AW25" s="843"/>
      <c r="AX25" s="843"/>
      <c r="AY25" s="843"/>
      <c r="AZ25" s="843"/>
      <c r="BA25" s="843"/>
      <c r="BB25" s="843"/>
      <c r="BC25" s="843"/>
      <c r="BD25" s="831" t="s">
        <v>484</v>
      </c>
      <c r="BE25" s="832"/>
      <c r="BF25" s="832"/>
      <c r="BG25" s="833"/>
      <c r="BH25" s="844" t="s">
        <v>508</v>
      </c>
      <c r="BI25" s="839"/>
      <c r="BJ25" s="839"/>
      <c r="BK25" s="839"/>
      <c r="BL25" s="839"/>
      <c r="BM25" s="839"/>
      <c r="BN25" s="839"/>
      <c r="BO25" s="839"/>
      <c r="BP25" s="839"/>
      <c r="BQ25" s="839"/>
      <c r="BR25" s="839"/>
      <c r="BS25" s="840"/>
      <c r="BT25" s="831"/>
      <c r="BU25" s="832"/>
      <c r="BV25" s="832"/>
      <c r="BW25" s="833"/>
      <c r="BX25" s="834" t="s">
        <v>509</v>
      </c>
      <c r="BY25" s="835"/>
      <c r="BZ25" s="835"/>
      <c r="CA25" s="835"/>
      <c r="CB25" s="835"/>
      <c r="CC25" s="835"/>
      <c r="CD25" s="835"/>
      <c r="CE25" s="835"/>
      <c r="CF25" s="831"/>
      <c r="CG25" s="832"/>
      <c r="CH25" s="832"/>
      <c r="CI25" s="833"/>
    </row>
    <row r="26" spans="1:88" ht="22.5" customHeight="1">
      <c r="D26" s="336"/>
      <c r="E26" s="336"/>
      <c r="F26" s="336"/>
      <c r="AU26" s="336"/>
      <c r="AV26" s="336"/>
      <c r="AW26" s="336"/>
      <c r="BR26" s="336"/>
      <c r="BS26" s="336"/>
      <c r="BT26" s="336"/>
      <c r="BU26" s="336"/>
      <c r="BV26" s="336"/>
      <c r="BW26" s="336"/>
      <c r="BX26" s="342"/>
      <c r="BY26" s="342"/>
      <c r="BZ26" s="342"/>
      <c r="CA26" s="342"/>
      <c r="CB26" s="342"/>
      <c r="CC26" s="342"/>
      <c r="CD26" s="342"/>
      <c r="CE26" s="342"/>
      <c r="CF26" s="336"/>
      <c r="CG26" s="336"/>
      <c r="CH26" s="336"/>
      <c r="CI26" s="336"/>
    </row>
    <row r="27" spans="1:88" ht="30" customHeight="1">
      <c r="B27" s="838" t="s">
        <v>512</v>
      </c>
      <c r="C27" s="838"/>
      <c r="D27" s="838"/>
      <c r="E27" s="838"/>
      <c r="F27" s="838"/>
      <c r="G27" s="838"/>
      <c r="H27" s="838"/>
      <c r="I27" s="838"/>
      <c r="J27" s="838"/>
      <c r="K27" s="838"/>
      <c r="L27" s="838"/>
      <c r="M27" s="838"/>
      <c r="N27" s="839" t="s">
        <v>513</v>
      </c>
      <c r="O27" s="839"/>
      <c r="P27" s="839"/>
      <c r="Q27" s="839"/>
      <c r="R27" s="839"/>
      <c r="S27" s="839"/>
      <c r="T27" s="839"/>
      <c r="U27" s="839"/>
      <c r="V27" s="839"/>
      <c r="W27" s="839"/>
      <c r="X27" s="839"/>
      <c r="Y27" s="839"/>
      <c r="Z27" s="839"/>
      <c r="AA27" s="839"/>
      <c r="AB27" s="839"/>
      <c r="AC27" s="839"/>
      <c r="AD27" s="840"/>
      <c r="AE27" s="831"/>
      <c r="AF27" s="832"/>
      <c r="AG27" s="832"/>
      <c r="AH27" s="833"/>
      <c r="AI27" s="834" t="s">
        <v>514</v>
      </c>
      <c r="AJ27" s="835"/>
      <c r="AK27" s="835"/>
      <c r="AL27" s="835"/>
      <c r="AM27" s="835"/>
      <c r="AN27" s="835"/>
      <c r="AO27" s="835"/>
      <c r="AP27" s="835"/>
      <c r="AQ27" s="835"/>
      <c r="AR27" s="835"/>
      <c r="AS27" s="835"/>
      <c r="AT27" s="835"/>
      <c r="AU27" s="831" t="s">
        <v>484</v>
      </c>
      <c r="AV27" s="832"/>
      <c r="AW27" s="832"/>
      <c r="AX27" s="833"/>
      <c r="AY27" s="834" t="s">
        <v>515</v>
      </c>
      <c r="AZ27" s="835"/>
      <c r="BA27" s="835"/>
      <c r="BB27" s="835"/>
      <c r="BC27" s="835"/>
      <c r="BD27" s="835"/>
      <c r="BE27" s="835"/>
      <c r="BF27" s="835"/>
      <c r="BG27" s="835"/>
      <c r="BH27" s="831" t="s">
        <v>484</v>
      </c>
      <c r="BI27" s="832"/>
      <c r="BJ27" s="832"/>
      <c r="BK27" s="833"/>
      <c r="BL27" s="834" t="s">
        <v>516</v>
      </c>
      <c r="BM27" s="835"/>
      <c r="BN27" s="835"/>
      <c r="BO27" s="835"/>
      <c r="BP27" s="835"/>
      <c r="BQ27" s="835"/>
      <c r="BR27" s="835"/>
      <c r="BS27" s="835"/>
      <c r="BT27" s="831"/>
      <c r="BU27" s="832"/>
      <c r="BV27" s="832"/>
      <c r="BW27" s="833"/>
      <c r="BX27" s="834" t="s">
        <v>509</v>
      </c>
      <c r="BY27" s="835"/>
      <c r="BZ27" s="835"/>
      <c r="CA27" s="835"/>
      <c r="CB27" s="835"/>
      <c r="CC27" s="835"/>
      <c r="CD27" s="835"/>
      <c r="CE27" s="835"/>
      <c r="CF27" s="831"/>
      <c r="CG27" s="832"/>
      <c r="CH27" s="832"/>
      <c r="CI27" s="833"/>
    </row>
    <row r="28" spans="1:88" ht="22.5" customHeight="1">
      <c r="D28" s="336"/>
      <c r="E28" s="336"/>
      <c r="T28" s="836"/>
      <c r="U28" s="837"/>
      <c r="V28" s="837"/>
      <c r="W28" s="837"/>
      <c r="X28" s="837"/>
      <c r="Y28" s="837"/>
      <c r="Z28" s="837"/>
      <c r="AA28" s="837"/>
      <c r="AB28" s="837"/>
      <c r="AC28" s="837"/>
      <c r="AD28" s="837"/>
      <c r="AE28" s="837"/>
      <c r="AF28" s="837"/>
      <c r="AG28" s="837"/>
      <c r="AH28" s="837"/>
      <c r="AI28" s="837"/>
      <c r="AJ28" s="837"/>
      <c r="AK28" s="837"/>
      <c r="AL28" s="837"/>
      <c r="AM28" s="837"/>
      <c r="AN28" s="837"/>
      <c r="AO28" s="837"/>
      <c r="AP28" s="837"/>
      <c r="AQ28" s="837"/>
      <c r="AR28" s="837"/>
      <c r="AS28" s="837"/>
      <c r="AT28" s="837"/>
      <c r="AU28" s="837"/>
      <c r="AV28" s="837"/>
      <c r="AW28" s="837"/>
      <c r="AX28" s="837"/>
      <c r="AY28" s="837"/>
      <c r="AZ28" s="837"/>
      <c r="BA28" s="837"/>
      <c r="BB28" s="837"/>
      <c r="BC28" s="837"/>
      <c r="BD28" s="837"/>
      <c r="BE28" s="837"/>
      <c r="BF28" s="837"/>
      <c r="BG28" s="837"/>
      <c r="BH28" s="837"/>
      <c r="BI28" s="837"/>
      <c r="BJ28" s="837"/>
      <c r="BK28" s="837"/>
      <c r="BL28" s="837"/>
      <c r="BM28" s="837"/>
      <c r="BN28" s="837"/>
      <c r="BO28" s="837"/>
      <c r="BP28" s="837"/>
      <c r="BQ28" s="837"/>
      <c r="BR28" s="837"/>
      <c r="BS28" s="837"/>
      <c r="BT28" s="780"/>
      <c r="BU28" s="780"/>
      <c r="BV28" s="780"/>
      <c r="BW28" s="780"/>
      <c r="BX28" s="780"/>
      <c r="BY28" s="780"/>
      <c r="BZ28" s="780"/>
      <c r="CA28" s="780"/>
      <c r="CB28" s="780"/>
      <c r="CC28" s="780"/>
      <c r="CD28" s="780"/>
      <c r="CE28" s="780"/>
      <c r="CF28" s="780"/>
      <c r="CG28" s="780"/>
      <c r="CH28" s="780"/>
      <c r="CI28" s="780"/>
      <c r="CJ28" s="780"/>
    </row>
    <row r="29" spans="1:88" ht="33.75" customHeight="1">
      <c r="A29" s="816"/>
      <c r="B29" s="817"/>
      <c r="C29" s="819" t="s">
        <v>517</v>
      </c>
      <c r="D29" s="819"/>
      <c r="E29" s="819"/>
      <c r="F29" s="819"/>
      <c r="G29" s="819"/>
      <c r="H29" s="819"/>
      <c r="I29" s="819"/>
      <c r="J29" s="819"/>
      <c r="K29" s="819"/>
      <c r="L29" s="819"/>
      <c r="M29" s="819"/>
      <c r="N29" s="819"/>
      <c r="O29" s="819"/>
      <c r="P29" s="819"/>
      <c r="Q29" s="819"/>
      <c r="R29" s="819"/>
      <c r="S29" s="819"/>
      <c r="T29" s="819"/>
      <c r="U29" s="819"/>
      <c r="V29" s="819"/>
      <c r="W29" s="819"/>
      <c r="X29" s="819"/>
      <c r="Y29" s="819"/>
      <c r="Z29" s="819"/>
      <c r="AA29" s="819"/>
      <c r="AB29" s="819"/>
      <c r="AC29" s="819"/>
      <c r="AD29" s="820" t="s">
        <v>518</v>
      </c>
      <c r="AE29" s="820"/>
      <c r="AF29" s="820"/>
      <c r="AG29" s="820"/>
      <c r="AH29" s="820"/>
      <c r="AI29" s="820"/>
      <c r="AJ29" s="820"/>
      <c r="AK29" s="820"/>
      <c r="AL29" s="820"/>
      <c r="AM29" s="820"/>
      <c r="AQ29" s="821" t="s">
        <v>519</v>
      </c>
      <c r="AR29" s="821"/>
      <c r="AS29" s="821"/>
      <c r="AT29" s="821"/>
      <c r="AU29" s="821"/>
      <c r="AV29" s="821"/>
      <c r="AW29" s="821"/>
      <c r="AX29" s="821"/>
      <c r="AY29" s="821"/>
      <c r="AZ29" s="821"/>
      <c r="BA29" s="821"/>
      <c r="BB29" s="821"/>
      <c r="BC29" s="821"/>
      <c r="BD29" s="821"/>
      <c r="BE29" s="821"/>
      <c r="BF29" s="821"/>
      <c r="BG29" s="821"/>
      <c r="BH29" s="821"/>
      <c r="BI29" s="821"/>
      <c r="BJ29" s="821"/>
      <c r="BK29" s="821"/>
      <c r="BL29" s="821"/>
      <c r="BM29" s="821"/>
      <c r="BN29" s="821"/>
      <c r="BO29" s="821"/>
      <c r="BP29" s="821"/>
      <c r="BQ29" s="821"/>
      <c r="BR29" s="821"/>
      <c r="BS29" s="821"/>
      <c r="BT29" s="821"/>
      <c r="BU29" s="821"/>
      <c r="BV29" s="821"/>
      <c r="BW29" s="821"/>
      <c r="BX29" s="821"/>
      <c r="BY29" s="821"/>
      <c r="BZ29" s="821"/>
      <c r="CA29" s="821"/>
      <c r="CB29" s="821"/>
      <c r="CC29" s="821"/>
      <c r="CD29" s="821"/>
      <c r="CE29" s="821"/>
      <c r="CF29" s="821"/>
      <c r="CG29" s="821"/>
      <c r="CH29" s="821"/>
      <c r="CI29" s="821"/>
    </row>
    <row r="30" spans="1:88" ht="33.75" customHeight="1">
      <c r="A30" s="818"/>
      <c r="B30" s="817"/>
      <c r="C30" s="805">
        <f>Assessment!B21</f>
        <v>0</v>
      </c>
      <c r="D30" s="806"/>
      <c r="E30" s="806"/>
      <c r="F30" s="806"/>
      <c r="G30" s="806"/>
      <c r="H30" s="806"/>
      <c r="I30" s="806"/>
      <c r="J30" s="806"/>
      <c r="K30" s="806"/>
      <c r="L30" s="806"/>
      <c r="M30" s="806"/>
      <c r="N30" s="806"/>
      <c r="O30" s="806"/>
      <c r="P30" s="806"/>
      <c r="Q30" s="806"/>
      <c r="R30" s="806"/>
      <c r="S30" s="806"/>
      <c r="T30" s="806"/>
      <c r="U30" s="806"/>
      <c r="V30" s="806"/>
      <c r="W30" s="806"/>
      <c r="X30" s="806"/>
      <c r="Y30" s="806"/>
      <c r="Z30" s="806"/>
      <c r="AA30" s="806"/>
      <c r="AB30" s="806"/>
      <c r="AC30" s="807"/>
      <c r="AD30" s="808"/>
      <c r="AE30" s="809"/>
      <c r="AF30" s="809"/>
      <c r="AG30" s="809"/>
      <c r="AH30" s="809"/>
      <c r="AI30" s="809"/>
      <c r="AJ30" s="809"/>
      <c r="AK30" s="809"/>
      <c r="AL30" s="809"/>
      <c r="AM30" s="810"/>
      <c r="AQ30" s="825"/>
      <c r="AR30" s="826"/>
      <c r="AS30" s="826"/>
      <c r="AT30" s="826"/>
      <c r="AU30" s="826"/>
      <c r="AV30" s="826"/>
      <c r="AW30" s="826"/>
      <c r="AX30" s="826"/>
      <c r="AY30" s="826"/>
      <c r="AZ30" s="826"/>
      <c r="BA30" s="826"/>
      <c r="BB30" s="826"/>
      <c r="BC30" s="826"/>
      <c r="BD30" s="826"/>
      <c r="BE30" s="826"/>
      <c r="BF30" s="826"/>
      <c r="BG30" s="826"/>
      <c r="BH30" s="826"/>
      <c r="BI30" s="826"/>
      <c r="BJ30" s="826"/>
      <c r="BK30" s="826"/>
      <c r="BL30" s="826"/>
      <c r="BM30" s="826"/>
      <c r="BN30" s="826"/>
      <c r="BO30" s="826"/>
      <c r="BP30" s="826"/>
      <c r="BQ30" s="826"/>
      <c r="BR30" s="826"/>
      <c r="BS30" s="826"/>
      <c r="BT30" s="826"/>
      <c r="BU30" s="826"/>
      <c r="BV30" s="826"/>
      <c r="BW30" s="826"/>
      <c r="BX30" s="826"/>
      <c r="BY30" s="826"/>
      <c r="BZ30" s="826"/>
      <c r="CA30" s="826"/>
      <c r="CB30" s="826"/>
      <c r="CC30" s="826"/>
      <c r="CD30" s="826"/>
      <c r="CE30" s="826"/>
      <c r="CF30" s="826"/>
      <c r="CG30" s="826"/>
      <c r="CH30" s="826"/>
      <c r="CI30" s="827"/>
    </row>
    <row r="31" spans="1:88" ht="33.75" customHeight="1">
      <c r="A31" s="818"/>
      <c r="B31" s="817"/>
      <c r="C31" s="805">
        <f>Assessment!B22</f>
        <v>0</v>
      </c>
      <c r="D31" s="806"/>
      <c r="E31" s="806"/>
      <c r="F31" s="806"/>
      <c r="G31" s="806"/>
      <c r="H31" s="806"/>
      <c r="I31" s="806"/>
      <c r="J31" s="806"/>
      <c r="K31" s="806"/>
      <c r="L31" s="806"/>
      <c r="M31" s="806"/>
      <c r="N31" s="806"/>
      <c r="O31" s="806"/>
      <c r="P31" s="806"/>
      <c r="Q31" s="806"/>
      <c r="R31" s="806"/>
      <c r="S31" s="806"/>
      <c r="T31" s="806"/>
      <c r="U31" s="806"/>
      <c r="V31" s="806"/>
      <c r="W31" s="806"/>
      <c r="X31" s="806"/>
      <c r="Y31" s="806"/>
      <c r="Z31" s="806"/>
      <c r="AA31" s="806"/>
      <c r="AB31" s="806"/>
      <c r="AC31" s="807"/>
      <c r="AD31" s="808"/>
      <c r="AE31" s="809"/>
      <c r="AF31" s="809"/>
      <c r="AG31" s="809"/>
      <c r="AH31" s="809"/>
      <c r="AI31" s="809"/>
      <c r="AJ31" s="809"/>
      <c r="AK31" s="809"/>
      <c r="AL31" s="809"/>
      <c r="AM31" s="810"/>
      <c r="AQ31" s="828"/>
      <c r="AR31" s="829"/>
      <c r="AS31" s="829"/>
      <c r="AT31" s="829"/>
      <c r="AU31" s="829"/>
      <c r="AV31" s="829"/>
      <c r="AW31" s="829"/>
      <c r="AX31" s="829"/>
      <c r="AY31" s="829"/>
      <c r="AZ31" s="829"/>
      <c r="BA31" s="829"/>
      <c r="BB31" s="829"/>
      <c r="BC31" s="829"/>
      <c r="BD31" s="829"/>
      <c r="BE31" s="829"/>
      <c r="BF31" s="829"/>
      <c r="BG31" s="829"/>
      <c r="BH31" s="829"/>
      <c r="BI31" s="829"/>
      <c r="BJ31" s="829"/>
      <c r="BK31" s="829"/>
      <c r="BL31" s="829"/>
      <c r="BM31" s="829"/>
      <c r="BN31" s="829"/>
      <c r="BO31" s="829"/>
      <c r="BP31" s="829"/>
      <c r="BQ31" s="829"/>
      <c r="BR31" s="829"/>
      <c r="BS31" s="829"/>
      <c r="BT31" s="829"/>
      <c r="BU31" s="829"/>
      <c r="BV31" s="829"/>
      <c r="BW31" s="829"/>
      <c r="BX31" s="829"/>
      <c r="BY31" s="829"/>
      <c r="BZ31" s="829"/>
      <c r="CA31" s="829"/>
      <c r="CB31" s="829"/>
      <c r="CC31" s="829"/>
      <c r="CD31" s="829"/>
      <c r="CE31" s="829"/>
      <c r="CF31" s="829"/>
      <c r="CG31" s="829"/>
      <c r="CH31" s="829"/>
      <c r="CI31" s="830"/>
    </row>
    <row r="32" spans="1:88" ht="33.75" customHeight="1">
      <c r="A32" s="818"/>
      <c r="B32" s="817"/>
      <c r="C32" s="805">
        <f>Assessment!B23</f>
        <v>0</v>
      </c>
      <c r="D32" s="806"/>
      <c r="E32" s="806"/>
      <c r="F32" s="806"/>
      <c r="G32" s="806"/>
      <c r="H32" s="806"/>
      <c r="I32" s="806"/>
      <c r="J32" s="806"/>
      <c r="K32" s="806"/>
      <c r="L32" s="806"/>
      <c r="M32" s="806"/>
      <c r="N32" s="806"/>
      <c r="O32" s="806"/>
      <c r="P32" s="806"/>
      <c r="Q32" s="806"/>
      <c r="R32" s="806"/>
      <c r="S32" s="806"/>
      <c r="T32" s="806"/>
      <c r="U32" s="806"/>
      <c r="V32" s="806"/>
      <c r="W32" s="806"/>
      <c r="X32" s="806"/>
      <c r="Y32" s="806"/>
      <c r="Z32" s="806"/>
      <c r="AA32" s="806"/>
      <c r="AB32" s="806"/>
      <c r="AC32" s="807"/>
      <c r="AD32" s="808"/>
      <c r="AE32" s="809"/>
      <c r="AF32" s="809"/>
      <c r="AG32" s="809"/>
      <c r="AH32" s="809"/>
      <c r="AI32" s="809"/>
      <c r="AJ32" s="809"/>
      <c r="AK32" s="809"/>
      <c r="AL32" s="809"/>
      <c r="AM32" s="810"/>
      <c r="AQ32" s="828"/>
      <c r="AR32" s="829"/>
      <c r="AS32" s="829"/>
      <c r="AT32" s="829"/>
      <c r="AU32" s="829"/>
      <c r="AV32" s="829"/>
      <c r="AW32" s="829"/>
      <c r="AX32" s="829"/>
      <c r="AY32" s="829"/>
      <c r="AZ32" s="829"/>
      <c r="BA32" s="829"/>
      <c r="BB32" s="829"/>
      <c r="BC32" s="829"/>
      <c r="BD32" s="829"/>
      <c r="BE32" s="829"/>
      <c r="BF32" s="829"/>
      <c r="BG32" s="829"/>
      <c r="BH32" s="829"/>
      <c r="BI32" s="829"/>
      <c r="BJ32" s="829"/>
      <c r="BK32" s="829"/>
      <c r="BL32" s="829"/>
      <c r="BM32" s="829"/>
      <c r="BN32" s="829"/>
      <c r="BO32" s="829"/>
      <c r="BP32" s="829"/>
      <c r="BQ32" s="829"/>
      <c r="BR32" s="829"/>
      <c r="BS32" s="829"/>
      <c r="BT32" s="829"/>
      <c r="BU32" s="829"/>
      <c r="BV32" s="829"/>
      <c r="BW32" s="829"/>
      <c r="BX32" s="829"/>
      <c r="BY32" s="829"/>
      <c r="BZ32" s="829"/>
      <c r="CA32" s="829"/>
      <c r="CB32" s="829"/>
      <c r="CC32" s="829"/>
      <c r="CD32" s="829"/>
      <c r="CE32" s="829"/>
      <c r="CF32" s="829"/>
      <c r="CG32" s="829"/>
      <c r="CH32" s="829"/>
      <c r="CI32" s="830"/>
    </row>
    <row r="33" spans="1:87" ht="33.75" customHeight="1">
      <c r="A33" s="818"/>
      <c r="B33" s="817"/>
      <c r="C33" s="805">
        <f>Assessment!B24</f>
        <v>0</v>
      </c>
      <c r="D33" s="806"/>
      <c r="E33" s="806"/>
      <c r="F33" s="806"/>
      <c r="G33" s="806"/>
      <c r="H33" s="806"/>
      <c r="I33" s="806"/>
      <c r="J33" s="806"/>
      <c r="K33" s="806"/>
      <c r="L33" s="806"/>
      <c r="M33" s="806"/>
      <c r="N33" s="806"/>
      <c r="O33" s="806"/>
      <c r="P33" s="806"/>
      <c r="Q33" s="806"/>
      <c r="R33" s="806"/>
      <c r="S33" s="806"/>
      <c r="T33" s="806"/>
      <c r="U33" s="806"/>
      <c r="V33" s="806"/>
      <c r="W33" s="806"/>
      <c r="X33" s="806"/>
      <c r="Y33" s="806"/>
      <c r="Z33" s="806"/>
      <c r="AA33" s="806"/>
      <c r="AB33" s="806"/>
      <c r="AC33" s="807"/>
      <c r="AD33" s="808"/>
      <c r="AE33" s="809"/>
      <c r="AF33" s="809"/>
      <c r="AG33" s="809"/>
      <c r="AH33" s="809"/>
      <c r="AI33" s="809"/>
      <c r="AJ33" s="809"/>
      <c r="AK33" s="809"/>
      <c r="AL33" s="809"/>
      <c r="AM33" s="810"/>
      <c r="AQ33" s="823"/>
      <c r="AR33" s="672"/>
      <c r="AS33" s="672"/>
      <c r="AT33" s="672"/>
      <c r="AU33" s="672"/>
      <c r="AV33" s="672"/>
      <c r="AW33" s="672"/>
      <c r="AX33" s="672"/>
      <c r="AY33" s="672"/>
      <c r="AZ33" s="672"/>
      <c r="BA33" s="672"/>
      <c r="BB33" s="672"/>
      <c r="BC33" s="672"/>
      <c r="BD33" s="672"/>
      <c r="BE33" s="672"/>
      <c r="BF33" s="672"/>
      <c r="BG33" s="672"/>
      <c r="BH33" s="672"/>
      <c r="BI33" s="672"/>
      <c r="BJ33" s="672"/>
      <c r="BK33" s="672"/>
      <c r="BL33" s="672"/>
      <c r="BM33" s="672"/>
      <c r="BN33" s="672"/>
      <c r="BO33" s="672"/>
      <c r="BP33" s="672"/>
      <c r="BQ33" s="672"/>
      <c r="BR33" s="672"/>
      <c r="BS33" s="672"/>
      <c r="BT33" s="672"/>
      <c r="BU33" s="672"/>
      <c r="BV33" s="672"/>
      <c r="BW33" s="672"/>
      <c r="BX33" s="672"/>
      <c r="BY33" s="672"/>
      <c r="BZ33" s="672"/>
      <c r="CA33" s="672"/>
      <c r="CB33" s="672"/>
      <c r="CC33" s="672"/>
      <c r="CD33" s="672"/>
      <c r="CE33" s="672"/>
      <c r="CF33" s="672"/>
      <c r="CG33" s="672"/>
      <c r="CH33" s="672"/>
      <c r="CI33" s="824"/>
    </row>
    <row r="34" spans="1:87" ht="33.75" customHeight="1">
      <c r="A34" s="818"/>
      <c r="B34" s="817"/>
      <c r="C34" s="805">
        <f>Assessment!B25</f>
        <v>0</v>
      </c>
      <c r="D34" s="806"/>
      <c r="E34" s="806"/>
      <c r="F34" s="806"/>
      <c r="G34" s="806"/>
      <c r="H34" s="806"/>
      <c r="I34" s="806"/>
      <c r="J34" s="806"/>
      <c r="K34" s="806"/>
      <c r="L34" s="806"/>
      <c r="M34" s="806"/>
      <c r="N34" s="806"/>
      <c r="O34" s="806"/>
      <c r="P34" s="806"/>
      <c r="Q34" s="806"/>
      <c r="R34" s="806"/>
      <c r="S34" s="806"/>
      <c r="T34" s="806"/>
      <c r="U34" s="806"/>
      <c r="V34" s="806"/>
      <c r="W34" s="806"/>
      <c r="X34" s="806"/>
      <c r="Y34" s="806"/>
      <c r="Z34" s="806"/>
      <c r="AA34" s="806"/>
      <c r="AB34" s="806"/>
      <c r="AC34" s="807"/>
      <c r="AD34" s="808"/>
      <c r="AE34" s="809"/>
      <c r="AF34" s="809"/>
      <c r="AG34" s="809"/>
      <c r="AH34" s="809"/>
      <c r="AI34" s="809"/>
      <c r="AJ34" s="809"/>
      <c r="AK34" s="809"/>
      <c r="AL34" s="809"/>
      <c r="AM34" s="810"/>
      <c r="AQ34" s="823"/>
      <c r="AR34" s="672"/>
      <c r="AS34" s="672"/>
      <c r="AT34" s="672"/>
      <c r="AU34" s="672"/>
      <c r="AV34" s="672"/>
      <c r="AW34" s="672"/>
      <c r="AX34" s="672"/>
      <c r="AY34" s="672"/>
      <c r="AZ34" s="672"/>
      <c r="BA34" s="672"/>
      <c r="BB34" s="672"/>
      <c r="BC34" s="672"/>
      <c r="BD34" s="672"/>
      <c r="BE34" s="672"/>
      <c r="BF34" s="672"/>
      <c r="BG34" s="672"/>
      <c r="BH34" s="672"/>
      <c r="BI34" s="672"/>
      <c r="BJ34" s="672"/>
      <c r="BK34" s="672"/>
      <c r="BL34" s="672"/>
      <c r="BM34" s="672"/>
      <c r="BN34" s="672"/>
      <c r="BO34" s="672"/>
      <c r="BP34" s="672"/>
      <c r="BQ34" s="672"/>
      <c r="BR34" s="672"/>
      <c r="BS34" s="672"/>
      <c r="BT34" s="672"/>
      <c r="BU34" s="672"/>
      <c r="BV34" s="672"/>
      <c r="BW34" s="672"/>
      <c r="BX34" s="672"/>
      <c r="BY34" s="672"/>
      <c r="BZ34" s="672"/>
      <c r="CA34" s="672"/>
      <c r="CB34" s="672"/>
      <c r="CC34" s="672"/>
      <c r="CD34" s="672"/>
      <c r="CE34" s="672"/>
      <c r="CF34" s="672"/>
      <c r="CG34" s="672"/>
      <c r="CH34" s="672"/>
      <c r="CI34" s="824"/>
    </row>
    <row r="35" spans="1:87" ht="33.75" customHeight="1">
      <c r="A35" s="818"/>
      <c r="B35" s="817"/>
      <c r="C35" s="805">
        <f>Assessment!B26</f>
        <v>0</v>
      </c>
      <c r="D35" s="806"/>
      <c r="E35" s="806"/>
      <c r="F35" s="806"/>
      <c r="G35" s="806"/>
      <c r="H35" s="806"/>
      <c r="I35" s="806"/>
      <c r="J35" s="806"/>
      <c r="K35" s="806"/>
      <c r="L35" s="806"/>
      <c r="M35" s="806"/>
      <c r="N35" s="806"/>
      <c r="O35" s="806"/>
      <c r="P35" s="806"/>
      <c r="Q35" s="806"/>
      <c r="R35" s="806"/>
      <c r="S35" s="806"/>
      <c r="T35" s="806"/>
      <c r="U35" s="806"/>
      <c r="V35" s="806"/>
      <c r="W35" s="806"/>
      <c r="X35" s="806"/>
      <c r="Y35" s="806"/>
      <c r="Z35" s="806"/>
      <c r="AA35" s="806"/>
      <c r="AB35" s="806"/>
      <c r="AC35" s="807"/>
      <c r="AD35" s="808"/>
      <c r="AE35" s="809"/>
      <c r="AF35" s="809"/>
      <c r="AG35" s="809"/>
      <c r="AH35" s="809"/>
      <c r="AI35" s="809"/>
      <c r="AJ35" s="809"/>
      <c r="AK35" s="809"/>
      <c r="AL35" s="809"/>
      <c r="AM35" s="810"/>
      <c r="AQ35" s="823"/>
      <c r="AR35" s="672"/>
      <c r="AS35" s="672"/>
      <c r="AT35" s="672"/>
      <c r="AU35" s="672"/>
      <c r="AV35" s="672"/>
      <c r="AW35" s="672"/>
      <c r="AX35" s="672"/>
      <c r="AY35" s="672"/>
      <c r="AZ35" s="672"/>
      <c r="BA35" s="672"/>
      <c r="BB35" s="672"/>
      <c r="BC35" s="672"/>
      <c r="BD35" s="672"/>
      <c r="BE35" s="672"/>
      <c r="BF35" s="672"/>
      <c r="BG35" s="672"/>
      <c r="BH35" s="672"/>
      <c r="BI35" s="672"/>
      <c r="BJ35" s="672"/>
      <c r="BK35" s="672"/>
      <c r="BL35" s="672"/>
      <c r="BM35" s="672"/>
      <c r="BN35" s="672"/>
      <c r="BO35" s="672"/>
      <c r="BP35" s="672"/>
      <c r="BQ35" s="672"/>
      <c r="BR35" s="672"/>
      <c r="BS35" s="672"/>
      <c r="BT35" s="672"/>
      <c r="BU35" s="672"/>
      <c r="BV35" s="672"/>
      <c r="BW35" s="672"/>
      <c r="BX35" s="672"/>
      <c r="BY35" s="672"/>
      <c r="BZ35" s="672"/>
      <c r="CA35" s="672"/>
      <c r="CB35" s="672"/>
      <c r="CC35" s="672"/>
      <c r="CD35" s="672"/>
      <c r="CE35" s="672"/>
      <c r="CF35" s="672"/>
      <c r="CG35" s="672"/>
      <c r="CH35" s="672"/>
      <c r="CI35" s="824"/>
    </row>
    <row r="36" spans="1:87" ht="33.75" customHeight="1">
      <c r="A36" s="818"/>
      <c r="B36" s="817"/>
      <c r="C36" s="805">
        <f>Assessment!F21</f>
        <v>0</v>
      </c>
      <c r="D36" s="806"/>
      <c r="E36" s="806"/>
      <c r="F36" s="806"/>
      <c r="G36" s="806"/>
      <c r="H36" s="806"/>
      <c r="I36" s="806"/>
      <c r="J36" s="806"/>
      <c r="K36" s="806"/>
      <c r="L36" s="806"/>
      <c r="M36" s="806"/>
      <c r="N36" s="806"/>
      <c r="O36" s="806"/>
      <c r="P36" s="806"/>
      <c r="Q36" s="806"/>
      <c r="R36" s="806"/>
      <c r="S36" s="806"/>
      <c r="T36" s="806"/>
      <c r="U36" s="806"/>
      <c r="V36" s="806"/>
      <c r="W36" s="806"/>
      <c r="X36" s="806"/>
      <c r="Y36" s="806"/>
      <c r="Z36" s="806"/>
      <c r="AA36" s="806"/>
      <c r="AB36" s="806"/>
      <c r="AC36" s="807"/>
      <c r="AD36" s="808"/>
      <c r="AE36" s="809"/>
      <c r="AF36" s="809"/>
      <c r="AG36" s="809"/>
      <c r="AH36" s="809"/>
      <c r="AI36" s="809"/>
      <c r="AJ36" s="809"/>
      <c r="AK36" s="809"/>
      <c r="AL36" s="809"/>
      <c r="AM36" s="810"/>
      <c r="AQ36" s="823"/>
      <c r="AR36" s="672"/>
      <c r="AS36" s="672"/>
      <c r="AT36" s="672"/>
      <c r="AU36" s="672"/>
      <c r="AV36" s="672"/>
      <c r="AW36" s="672"/>
      <c r="AX36" s="672"/>
      <c r="AY36" s="672"/>
      <c r="AZ36" s="672"/>
      <c r="BA36" s="672"/>
      <c r="BB36" s="672"/>
      <c r="BC36" s="672"/>
      <c r="BD36" s="672"/>
      <c r="BE36" s="672"/>
      <c r="BF36" s="672"/>
      <c r="BG36" s="672"/>
      <c r="BH36" s="672"/>
      <c r="BI36" s="672"/>
      <c r="BJ36" s="672"/>
      <c r="BK36" s="672"/>
      <c r="BL36" s="672"/>
      <c r="BM36" s="672"/>
      <c r="BN36" s="672"/>
      <c r="BO36" s="672"/>
      <c r="BP36" s="672"/>
      <c r="BQ36" s="672"/>
      <c r="BR36" s="672"/>
      <c r="BS36" s="672"/>
      <c r="BT36" s="672"/>
      <c r="BU36" s="672"/>
      <c r="BV36" s="672"/>
      <c r="BW36" s="672"/>
      <c r="BX36" s="672"/>
      <c r="BY36" s="672"/>
      <c r="BZ36" s="672"/>
      <c r="CA36" s="672"/>
      <c r="CB36" s="672"/>
      <c r="CC36" s="672"/>
      <c r="CD36" s="672"/>
      <c r="CE36" s="672"/>
      <c r="CF36" s="672"/>
      <c r="CG36" s="672"/>
      <c r="CH36" s="672"/>
      <c r="CI36" s="824"/>
    </row>
    <row r="37" spans="1:87" ht="33.75" customHeight="1">
      <c r="A37" s="818"/>
      <c r="B37" s="817"/>
      <c r="C37" s="805">
        <f>Assessment!F22</f>
        <v>0</v>
      </c>
      <c r="D37" s="806"/>
      <c r="E37" s="806"/>
      <c r="F37" s="806"/>
      <c r="G37" s="806"/>
      <c r="H37" s="806"/>
      <c r="I37" s="806"/>
      <c r="J37" s="806"/>
      <c r="K37" s="806"/>
      <c r="L37" s="806"/>
      <c r="M37" s="806"/>
      <c r="N37" s="806"/>
      <c r="O37" s="806"/>
      <c r="P37" s="806"/>
      <c r="Q37" s="806"/>
      <c r="R37" s="806"/>
      <c r="S37" s="806"/>
      <c r="T37" s="806"/>
      <c r="U37" s="806"/>
      <c r="V37" s="806"/>
      <c r="W37" s="806"/>
      <c r="X37" s="806"/>
      <c r="Y37" s="806"/>
      <c r="Z37" s="806"/>
      <c r="AA37" s="806"/>
      <c r="AB37" s="806"/>
      <c r="AC37" s="807"/>
      <c r="AD37" s="808"/>
      <c r="AE37" s="809"/>
      <c r="AF37" s="809"/>
      <c r="AG37" s="809"/>
      <c r="AH37" s="809"/>
      <c r="AI37" s="809"/>
      <c r="AJ37" s="809"/>
      <c r="AK37" s="809"/>
      <c r="AL37" s="809"/>
      <c r="AM37" s="810"/>
      <c r="AQ37" s="823"/>
      <c r="AR37" s="672"/>
      <c r="AS37" s="672"/>
      <c r="AT37" s="672"/>
      <c r="AU37" s="672"/>
      <c r="AV37" s="672"/>
      <c r="AW37" s="672"/>
      <c r="AX37" s="672"/>
      <c r="AY37" s="672"/>
      <c r="AZ37" s="672"/>
      <c r="BA37" s="672"/>
      <c r="BB37" s="672"/>
      <c r="BC37" s="672"/>
      <c r="BD37" s="672"/>
      <c r="BE37" s="672"/>
      <c r="BF37" s="672"/>
      <c r="BG37" s="672"/>
      <c r="BH37" s="672"/>
      <c r="BI37" s="672"/>
      <c r="BJ37" s="672"/>
      <c r="BK37" s="672"/>
      <c r="BL37" s="672"/>
      <c r="BM37" s="672"/>
      <c r="BN37" s="672"/>
      <c r="BO37" s="672"/>
      <c r="BP37" s="672"/>
      <c r="BQ37" s="672"/>
      <c r="BR37" s="672"/>
      <c r="BS37" s="672"/>
      <c r="BT37" s="672"/>
      <c r="BU37" s="672"/>
      <c r="BV37" s="672"/>
      <c r="BW37" s="672"/>
      <c r="BX37" s="672"/>
      <c r="BY37" s="672"/>
      <c r="BZ37" s="672"/>
      <c r="CA37" s="672"/>
      <c r="CB37" s="672"/>
      <c r="CC37" s="672"/>
      <c r="CD37" s="672"/>
      <c r="CE37" s="672"/>
      <c r="CF37" s="672"/>
      <c r="CG37" s="672"/>
      <c r="CH37" s="672"/>
      <c r="CI37" s="824"/>
    </row>
    <row r="38" spans="1:87" ht="33.75" customHeight="1">
      <c r="A38" s="811" t="s">
        <v>520</v>
      </c>
      <c r="B38" s="812"/>
      <c r="C38" s="805">
        <f>Assessment!F23</f>
        <v>0</v>
      </c>
      <c r="D38" s="806"/>
      <c r="E38" s="806"/>
      <c r="F38" s="806"/>
      <c r="G38" s="806"/>
      <c r="H38" s="806"/>
      <c r="I38" s="806"/>
      <c r="J38" s="806"/>
      <c r="K38" s="806"/>
      <c r="L38" s="806"/>
      <c r="M38" s="806"/>
      <c r="N38" s="806"/>
      <c r="O38" s="806"/>
      <c r="P38" s="806"/>
      <c r="Q38" s="806"/>
      <c r="R38" s="806"/>
      <c r="S38" s="806"/>
      <c r="T38" s="806"/>
      <c r="U38" s="806"/>
      <c r="V38" s="806"/>
      <c r="W38" s="806"/>
      <c r="X38" s="806"/>
      <c r="Y38" s="806"/>
      <c r="Z38" s="806"/>
      <c r="AA38" s="806"/>
      <c r="AB38" s="806"/>
      <c r="AC38" s="807"/>
      <c r="AD38" s="808"/>
      <c r="AE38" s="809"/>
      <c r="AF38" s="809"/>
      <c r="AG38" s="809"/>
      <c r="AH38" s="809"/>
      <c r="AI38" s="809"/>
      <c r="AJ38" s="809"/>
      <c r="AK38" s="809"/>
      <c r="AL38" s="809"/>
      <c r="AM38" s="810"/>
      <c r="AQ38" s="823"/>
      <c r="AR38" s="672"/>
      <c r="AS38" s="672"/>
      <c r="AT38" s="672"/>
      <c r="AU38" s="672"/>
      <c r="AV38" s="672"/>
      <c r="AW38" s="672"/>
      <c r="AX38" s="672"/>
      <c r="AY38" s="672"/>
      <c r="AZ38" s="672"/>
      <c r="BA38" s="672"/>
      <c r="BB38" s="672"/>
      <c r="BC38" s="672"/>
      <c r="BD38" s="672"/>
      <c r="BE38" s="672"/>
      <c r="BF38" s="672"/>
      <c r="BG38" s="672"/>
      <c r="BH38" s="672"/>
      <c r="BI38" s="672"/>
      <c r="BJ38" s="672"/>
      <c r="BK38" s="672"/>
      <c r="BL38" s="672"/>
      <c r="BM38" s="672"/>
      <c r="BN38" s="672"/>
      <c r="BO38" s="672"/>
      <c r="BP38" s="672"/>
      <c r="BQ38" s="672"/>
      <c r="BR38" s="672"/>
      <c r="BS38" s="672"/>
      <c r="BT38" s="672"/>
      <c r="BU38" s="672"/>
      <c r="BV38" s="672"/>
      <c r="BW38" s="672"/>
      <c r="BX38" s="672"/>
      <c r="BY38" s="672"/>
      <c r="BZ38" s="672"/>
      <c r="CA38" s="672"/>
      <c r="CB38" s="672"/>
      <c r="CC38" s="672"/>
      <c r="CD38" s="672"/>
      <c r="CE38" s="672"/>
      <c r="CF38" s="672"/>
      <c r="CG38" s="672"/>
      <c r="CH38" s="672"/>
      <c r="CI38" s="824"/>
    </row>
    <row r="39" spans="1:87" ht="33.75" customHeight="1">
      <c r="A39" s="811"/>
      <c r="B39" s="812"/>
      <c r="C39" s="805">
        <f>Assessment!F24</f>
        <v>0</v>
      </c>
      <c r="D39" s="806"/>
      <c r="E39" s="806"/>
      <c r="F39" s="806"/>
      <c r="G39" s="806"/>
      <c r="H39" s="806"/>
      <c r="I39" s="806"/>
      <c r="J39" s="806"/>
      <c r="K39" s="806"/>
      <c r="L39" s="806"/>
      <c r="M39" s="806"/>
      <c r="N39" s="806"/>
      <c r="O39" s="806"/>
      <c r="P39" s="806"/>
      <c r="Q39" s="806"/>
      <c r="R39" s="806"/>
      <c r="S39" s="806"/>
      <c r="T39" s="806"/>
      <c r="U39" s="806"/>
      <c r="V39" s="806"/>
      <c r="W39" s="806"/>
      <c r="X39" s="806"/>
      <c r="Y39" s="806"/>
      <c r="Z39" s="806"/>
      <c r="AA39" s="806"/>
      <c r="AB39" s="806"/>
      <c r="AC39" s="807"/>
      <c r="AD39" s="808"/>
      <c r="AE39" s="809"/>
      <c r="AF39" s="809"/>
      <c r="AG39" s="809"/>
      <c r="AH39" s="809"/>
      <c r="AI39" s="809"/>
      <c r="AJ39" s="809"/>
      <c r="AK39" s="809"/>
      <c r="AL39" s="809"/>
      <c r="AM39" s="810"/>
      <c r="AN39" s="336"/>
      <c r="AO39" s="336"/>
      <c r="AP39" s="336"/>
      <c r="AQ39" s="823"/>
      <c r="AR39" s="672"/>
      <c r="AS39" s="672"/>
      <c r="AT39" s="672"/>
      <c r="AU39" s="672"/>
      <c r="AV39" s="672"/>
      <c r="AW39" s="672"/>
      <c r="AX39" s="672"/>
      <c r="AY39" s="672"/>
      <c r="AZ39" s="672"/>
      <c r="BA39" s="672"/>
      <c r="BB39" s="672"/>
      <c r="BC39" s="672"/>
      <c r="BD39" s="672"/>
      <c r="BE39" s="672"/>
      <c r="BF39" s="672"/>
      <c r="BG39" s="672"/>
      <c r="BH39" s="672"/>
      <c r="BI39" s="672"/>
      <c r="BJ39" s="672"/>
      <c r="BK39" s="672"/>
      <c r="BL39" s="672"/>
      <c r="BM39" s="672"/>
      <c r="BN39" s="672"/>
      <c r="BO39" s="672"/>
      <c r="BP39" s="672"/>
      <c r="BQ39" s="672"/>
      <c r="BR39" s="672"/>
      <c r="BS39" s="672"/>
      <c r="BT39" s="672"/>
      <c r="BU39" s="672"/>
      <c r="BV39" s="672"/>
      <c r="BW39" s="672"/>
      <c r="BX39" s="672"/>
      <c r="BY39" s="672"/>
      <c r="BZ39" s="672"/>
      <c r="CA39" s="672"/>
      <c r="CB39" s="672"/>
      <c r="CC39" s="672"/>
      <c r="CD39" s="672"/>
      <c r="CE39" s="672"/>
      <c r="CF39" s="672"/>
      <c r="CG39" s="672"/>
      <c r="CH39" s="672"/>
      <c r="CI39" s="824"/>
    </row>
    <row r="40" spans="1:87" ht="33.75" customHeight="1">
      <c r="A40" s="811"/>
      <c r="B40" s="812"/>
      <c r="C40" s="813">
        <f>Assessment!F25</f>
        <v>0</v>
      </c>
      <c r="D40" s="814"/>
      <c r="E40" s="814"/>
      <c r="F40" s="814"/>
      <c r="G40" s="814"/>
      <c r="H40" s="814"/>
      <c r="I40" s="814"/>
      <c r="J40" s="814"/>
      <c r="K40" s="814"/>
      <c r="L40" s="814"/>
      <c r="M40" s="814"/>
      <c r="N40" s="814"/>
      <c r="O40" s="814"/>
      <c r="P40" s="814"/>
      <c r="Q40" s="814"/>
      <c r="R40" s="814"/>
      <c r="S40" s="814"/>
      <c r="T40" s="814"/>
      <c r="U40" s="814"/>
      <c r="V40" s="814"/>
      <c r="W40" s="814"/>
      <c r="X40" s="814"/>
      <c r="Y40" s="814"/>
      <c r="Z40" s="814"/>
      <c r="AA40" s="814"/>
      <c r="AB40" s="814"/>
      <c r="AC40" s="815"/>
      <c r="AD40" s="808"/>
      <c r="AE40" s="809"/>
      <c r="AF40" s="809"/>
      <c r="AG40" s="809"/>
      <c r="AH40" s="809"/>
      <c r="AI40" s="809"/>
      <c r="AJ40" s="809"/>
      <c r="AK40" s="809"/>
      <c r="AL40" s="809"/>
      <c r="AM40" s="810"/>
      <c r="AN40" s="336"/>
      <c r="AO40" s="336"/>
      <c r="AP40" s="336"/>
      <c r="AQ40" s="823"/>
      <c r="AR40" s="672"/>
      <c r="AS40" s="672"/>
      <c r="AT40" s="672"/>
      <c r="AU40" s="672"/>
      <c r="AV40" s="672"/>
      <c r="AW40" s="672"/>
      <c r="AX40" s="672"/>
      <c r="AY40" s="672"/>
      <c r="AZ40" s="672"/>
      <c r="BA40" s="672"/>
      <c r="BB40" s="672"/>
      <c r="BC40" s="672"/>
      <c r="BD40" s="672"/>
      <c r="BE40" s="672"/>
      <c r="BF40" s="672"/>
      <c r="BG40" s="672"/>
      <c r="BH40" s="672"/>
      <c r="BI40" s="672"/>
      <c r="BJ40" s="672"/>
      <c r="BK40" s="672"/>
      <c r="BL40" s="672"/>
      <c r="BM40" s="672"/>
      <c r="BN40" s="672"/>
      <c r="BO40" s="672"/>
      <c r="BP40" s="672"/>
      <c r="BQ40" s="672"/>
      <c r="BR40" s="672"/>
      <c r="BS40" s="672"/>
      <c r="BT40" s="672"/>
      <c r="BU40" s="672"/>
      <c r="BV40" s="672"/>
      <c r="BW40" s="672"/>
      <c r="BX40" s="672"/>
      <c r="BY40" s="672"/>
      <c r="BZ40" s="672"/>
      <c r="CA40" s="672"/>
      <c r="CB40" s="672"/>
      <c r="CC40" s="672"/>
      <c r="CD40" s="672"/>
      <c r="CE40" s="672"/>
      <c r="CF40" s="672"/>
      <c r="CG40" s="672"/>
      <c r="CH40" s="672"/>
      <c r="CI40" s="824"/>
    </row>
    <row r="41" spans="1:87" ht="33.75" customHeight="1">
      <c r="A41" s="811"/>
      <c r="B41" s="812"/>
      <c r="C41" s="813">
        <f>Assessment!F26</f>
        <v>0</v>
      </c>
      <c r="D41" s="814"/>
      <c r="E41" s="814"/>
      <c r="F41" s="814"/>
      <c r="G41" s="814"/>
      <c r="H41" s="814"/>
      <c r="I41" s="814"/>
      <c r="J41" s="814"/>
      <c r="K41" s="814"/>
      <c r="L41" s="814"/>
      <c r="M41" s="814"/>
      <c r="N41" s="814"/>
      <c r="O41" s="814"/>
      <c r="P41" s="814"/>
      <c r="Q41" s="814"/>
      <c r="R41" s="814"/>
      <c r="S41" s="814"/>
      <c r="T41" s="814"/>
      <c r="U41" s="814"/>
      <c r="V41" s="814"/>
      <c r="W41" s="814"/>
      <c r="X41" s="814"/>
      <c r="Y41" s="814"/>
      <c r="Z41" s="814"/>
      <c r="AA41" s="814"/>
      <c r="AB41" s="814"/>
      <c r="AC41" s="815"/>
      <c r="AD41" s="808"/>
      <c r="AE41" s="809"/>
      <c r="AF41" s="809"/>
      <c r="AG41" s="809"/>
      <c r="AH41" s="809"/>
      <c r="AI41" s="809"/>
      <c r="AJ41" s="809"/>
      <c r="AK41" s="809"/>
      <c r="AL41" s="809"/>
      <c r="AM41" s="810"/>
      <c r="AN41" s="336"/>
      <c r="AO41" s="336"/>
      <c r="AP41" s="336"/>
      <c r="AQ41" s="823"/>
      <c r="AR41" s="672"/>
      <c r="AS41" s="672"/>
      <c r="AT41" s="672"/>
      <c r="AU41" s="672"/>
      <c r="AV41" s="672"/>
      <c r="AW41" s="672"/>
      <c r="AX41" s="672"/>
      <c r="AY41" s="672"/>
      <c r="AZ41" s="672"/>
      <c r="BA41" s="672"/>
      <c r="BB41" s="672"/>
      <c r="BC41" s="672"/>
      <c r="BD41" s="672"/>
      <c r="BE41" s="672"/>
      <c r="BF41" s="672"/>
      <c r="BG41" s="672"/>
      <c r="BH41" s="672"/>
      <c r="BI41" s="672"/>
      <c r="BJ41" s="672"/>
      <c r="BK41" s="672"/>
      <c r="BL41" s="672"/>
      <c r="BM41" s="672"/>
      <c r="BN41" s="672"/>
      <c r="BO41" s="672"/>
      <c r="BP41" s="672"/>
      <c r="BQ41" s="672"/>
      <c r="BR41" s="672"/>
      <c r="BS41" s="672"/>
      <c r="BT41" s="672"/>
      <c r="BU41" s="672"/>
      <c r="BV41" s="672"/>
      <c r="BW41" s="672"/>
      <c r="BX41" s="672"/>
      <c r="BY41" s="672"/>
      <c r="BZ41" s="672"/>
      <c r="CA41" s="672"/>
      <c r="CB41" s="672"/>
      <c r="CC41" s="672"/>
      <c r="CD41" s="672"/>
      <c r="CE41" s="672"/>
      <c r="CF41" s="672"/>
      <c r="CG41" s="672"/>
      <c r="CH41" s="672"/>
      <c r="CI41" s="824"/>
    </row>
    <row r="42" spans="1:87" ht="33.75" customHeight="1">
      <c r="C42" s="797" t="s">
        <v>521</v>
      </c>
      <c r="D42" s="798"/>
      <c r="E42" s="798"/>
      <c r="F42" s="798"/>
      <c r="G42" s="798"/>
      <c r="H42" s="798"/>
      <c r="I42" s="798"/>
      <c r="J42" s="798"/>
      <c r="K42" s="798"/>
      <c r="L42" s="798"/>
      <c r="M42" s="798"/>
      <c r="N42" s="798"/>
      <c r="O42" s="799"/>
      <c r="P42" s="799"/>
      <c r="Q42" s="799"/>
      <c r="R42" s="799"/>
      <c r="S42" s="799"/>
      <c r="T42" s="799"/>
      <c r="U42" s="800"/>
      <c r="V42" s="797" t="s">
        <v>522</v>
      </c>
      <c r="W42" s="798"/>
      <c r="X42" s="798"/>
      <c r="Y42" s="798"/>
      <c r="Z42" s="798"/>
      <c r="AA42" s="798"/>
      <c r="AB42" s="798"/>
      <c r="AC42" s="798"/>
      <c r="AD42" s="801"/>
      <c r="AE42" s="801"/>
      <c r="AF42" s="801"/>
      <c r="AG42" s="801"/>
      <c r="AH42" s="801"/>
      <c r="AI42" s="801"/>
      <c r="AJ42" s="801"/>
      <c r="AK42" s="801"/>
      <c r="AL42" s="801"/>
      <c r="AM42" s="802"/>
      <c r="AN42" s="336"/>
      <c r="AO42" s="336"/>
      <c r="AP42" s="336"/>
      <c r="AQ42" s="803" t="s">
        <v>523</v>
      </c>
      <c r="AR42" s="804"/>
      <c r="AS42" s="804"/>
      <c r="AT42" s="804"/>
      <c r="AU42" s="804"/>
      <c r="AV42" s="804"/>
      <c r="AW42" s="804"/>
      <c r="AX42" s="804"/>
      <c r="AY42" s="804"/>
      <c r="AZ42" s="804"/>
      <c r="BA42" s="822" t="s">
        <v>33</v>
      </c>
      <c r="BB42" s="822"/>
      <c r="BC42" s="822"/>
      <c r="BD42" s="822"/>
      <c r="BE42" s="822"/>
      <c r="BF42" s="674">
        <f>ICM!I3</f>
        <v>0</v>
      </c>
      <c r="BG42" s="675"/>
      <c r="BH42" s="675"/>
      <c r="BI42" s="675"/>
      <c r="BJ42" s="675"/>
      <c r="BK42" s="675"/>
      <c r="BL42" s="675"/>
      <c r="BM42" s="675"/>
      <c r="BN42" s="675"/>
      <c r="BO42" s="675"/>
      <c r="BP42" s="675"/>
      <c r="BQ42" s="675"/>
      <c r="BR42" s="675"/>
      <c r="BS42" s="675"/>
      <c r="BT42" s="673" t="s">
        <v>588</v>
      </c>
      <c r="BU42" s="673"/>
      <c r="BV42" s="676">
        <f>ICM!B11</f>
        <v>0</v>
      </c>
      <c r="BW42" s="673"/>
      <c r="BX42" s="673"/>
      <c r="BY42" s="673"/>
      <c r="BZ42" s="673"/>
      <c r="CA42" s="339"/>
      <c r="CB42" s="339"/>
      <c r="CC42" s="339"/>
      <c r="CD42" s="339"/>
      <c r="CE42" s="339"/>
      <c r="CF42" s="339"/>
      <c r="CG42" s="339"/>
      <c r="CH42" s="339"/>
      <c r="CI42" s="415"/>
    </row>
    <row r="43" spans="1:87" ht="15" customHeight="1">
      <c r="B43" s="794" t="s">
        <v>524</v>
      </c>
      <c r="C43" s="794"/>
      <c r="D43" s="794"/>
      <c r="E43" s="794"/>
      <c r="F43" s="794"/>
      <c r="G43" s="794"/>
      <c r="H43" s="794"/>
      <c r="I43" s="794"/>
      <c r="J43" s="794"/>
      <c r="K43" s="794"/>
      <c r="L43" s="794"/>
      <c r="M43" s="794"/>
      <c r="N43" s="794"/>
      <c r="O43" s="794"/>
      <c r="P43" s="794"/>
      <c r="Q43" s="794"/>
      <c r="R43" s="794"/>
      <c r="S43" s="794"/>
      <c r="T43" s="794"/>
      <c r="U43" s="794"/>
      <c r="V43" s="794"/>
      <c r="W43" s="794"/>
      <c r="X43" s="794"/>
      <c r="Y43" s="794"/>
      <c r="Z43" s="794"/>
      <c r="AA43" s="794"/>
      <c r="AB43" s="794"/>
      <c r="AC43" s="794"/>
      <c r="AD43" s="794"/>
      <c r="AE43" s="794"/>
      <c r="AF43" s="794"/>
      <c r="AG43" s="794"/>
      <c r="AH43" s="794"/>
      <c r="AI43" s="794"/>
      <c r="AJ43" s="794"/>
      <c r="AK43" s="794"/>
      <c r="AL43" s="794"/>
      <c r="AM43" s="794"/>
      <c r="AN43" s="794"/>
      <c r="AO43" s="794"/>
      <c r="AP43" s="794"/>
      <c r="AQ43" s="794"/>
      <c r="AR43" s="794"/>
      <c r="AS43" s="794"/>
      <c r="AT43" s="794"/>
      <c r="AU43" s="794"/>
      <c r="AV43" s="794"/>
      <c r="AW43" s="794"/>
      <c r="AX43" s="794"/>
      <c r="AY43" s="794"/>
      <c r="AZ43" s="794"/>
      <c r="BA43" s="794"/>
      <c r="BB43" s="794"/>
      <c r="BC43" s="794"/>
      <c r="BD43" s="794"/>
      <c r="BE43" s="794"/>
      <c r="BF43" s="794"/>
      <c r="BG43" s="794"/>
      <c r="BH43" s="794"/>
      <c r="BI43" s="794"/>
      <c r="BJ43" s="794"/>
      <c r="BK43" s="794"/>
      <c r="BL43" s="794"/>
      <c r="BM43" s="794"/>
      <c r="BN43" s="794"/>
      <c r="BO43" s="794"/>
      <c r="BP43" s="794"/>
      <c r="BQ43" s="794"/>
      <c r="BR43" s="794"/>
      <c r="BS43" s="794"/>
      <c r="BT43" s="794"/>
      <c r="BU43" s="794"/>
      <c r="BV43" s="794"/>
      <c r="BW43" s="794"/>
      <c r="BX43" s="794"/>
      <c r="BY43" s="794"/>
      <c r="BZ43" s="794"/>
      <c r="CA43" s="794"/>
      <c r="CB43" s="794"/>
      <c r="CC43" s="794"/>
      <c r="CD43" s="794"/>
      <c r="CE43" s="794"/>
      <c r="CF43" s="794"/>
      <c r="CG43" s="794"/>
      <c r="CH43" s="794"/>
      <c r="CI43" s="794"/>
    </row>
    <row r="44" spans="1:87" ht="8.25" customHeight="1">
      <c r="O44" s="795" t="s">
        <v>525</v>
      </c>
      <c r="P44" s="795"/>
      <c r="Q44" s="795"/>
      <c r="R44" s="795"/>
      <c r="S44" s="795"/>
      <c r="T44" s="795"/>
      <c r="U44" s="795"/>
      <c r="V44" s="795"/>
      <c r="W44" s="795"/>
      <c r="X44" s="795"/>
      <c r="Y44" s="795"/>
      <c r="Z44" s="795"/>
      <c r="AA44" s="795"/>
      <c r="AB44" s="795"/>
      <c r="AC44" s="795"/>
      <c r="AD44" s="795"/>
      <c r="AE44" s="795"/>
      <c r="AF44" s="795"/>
      <c r="AG44" s="795"/>
      <c r="AH44" s="795"/>
      <c r="AI44" s="795"/>
      <c r="AJ44" s="795"/>
      <c r="AK44" s="795"/>
      <c r="AL44" s="795"/>
      <c r="AM44" s="795"/>
      <c r="AN44" s="795"/>
      <c r="AO44" s="795"/>
      <c r="AP44" s="795"/>
      <c r="AQ44" s="795"/>
      <c r="AR44" s="795"/>
      <c r="AS44" s="795"/>
      <c r="AT44" s="795"/>
      <c r="AU44" s="795"/>
      <c r="AV44" s="795"/>
      <c r="AW44" s="795"/>
      <c r="AX44" s="795"/>
      <c r="AY44" s="795"/>
      <c r="AZ44" s="795"/>
      <c r="BA44" s="795"/>
      <c r="BB44" s="795"/>
      <c r="BC44" s="795"/>
      <c r="BD44" s="795"/>
      <c r="BE44" s="795"/>
      <c r="BF44" s="795"/>
      <c r="BG44" s="795"/>
      <c r="BH44" s="795"/>
      <c r="BI44" s="795"/>
      <c r="BJ44" s="795"/>
      <c r="BK44" s="795"/>
      <c r="BL44" s="795"/>
      <c r="BM44" s="795"/>
      <c r="BN44" s="795"/>
      <c r="BO44" s="795"/>
      <c r="BP44" s="795"/>
      <c r="BQ44" s="795"/>
      <c r="BR44" s="795"/>
      <c r="BS44" s="795"/>
      <c r="BT44" s="795"/>
    </row>
    <row r="45" spans="1:87" ht="8.25" customHeight="1">
      <c r="O45" s="795"/>
      <c r="P45" s="795"/>
      <c r="Q45" s="795"/>
      <c r="R45" s="795"/>
      <c r="S45" s="795"/>
      <c r="T45" s="795"/>
      <c r="U45" s="795"/>
      <c r="V45" s="795"/>
      <c r="W45" s="795"/>
      <c r="X45" s="795"/>
      <c r="Y45" s="795"/>
      <c r="Z45" s="795"/>
      <c r="AA45" s="795"/>
      <c r="AB45" s="795"/>
      <c r="AC45" s="795"/>
      <c r="AD45" s="795"/>
      <c r="AE45" s="795"/>
      <c r="AF45" s="795"/>
      <c r="AG45" s="795"/>
      <c r="AH45" s="795"/>
      <c r="AI45" s="795"/>
      <c r="AJ45" s="795"/>
      <c r="AK45" s="795"/>
      <c r="AL45" s="795"/>
      <c r="AM45" s="795"/>
      <c r="AN45" s="795"/>
      <c r="AO45" s="795"/>
      <c r="AP45" s="795"/>
      <c r="AQ45" s="795"/>
      <c r="AR45" s="795"/>
      <c r="AS45" s="795"/>
      <c r="AT45" s="795"/>
      <c r="AU45" s="795"/>
      <c r="AV45" s="795"/>
      <c r="AW45" s="795"/>
      <c r="AX45" s="795"/>
      <c r="AY45" s="795"/>
      <c r="AZ45" s="795"/>
      <c r="BA45" s="795"/>
      <c r="BB45" s="795"/>
      <c r="BC45" s="795"/>
      <c r="BD45" s="795"/>
      <c r="BE45" s="795"/>
      <c r="BF45" s="795"/>
      <c r="BG45" s="795"/>
      <c r="BH45" s="795"/>
      <c r="BI45" s="795"/>
      <c r="BJ45" s="795"/>
      <c r="BK45" s="795"/>
      <c r="BL45" s="795"/>
      <c r="BM45" s="795"/>
      <c r="BN45" s="795"/>
      <c r="BO45" s="795"/>
      <c r="BP45" s="795"/>
      <c r="BQ45" s="795"/>
      <c r="BR45" s="795"/>
      <c r="BS45" s="795"/>
      <c r="BT45" s="795"/>
    </row>
    <row r="46" spans="1:87" ht="8.25" customHeight="1">
      <c r="O46" s="795"/>
      <c r="P46" s="795"/>
      <c r="Q46" s="795"/>
      <c r="R46" s="795"/>
      <c r="S46" s="795"/>
      <c r="T46" s="795"/>
      <c r="U46" s="795"/>
      <c r="V46" s="795"/>
      <c r="W46" s="795"/>
      <c r="X46" s="795"/>
      <c r="Y46" s="795"/>
      <c r="Z46" s="795"/>
      <c r="AA46" s="795"/>
      <c r="AB46" s="795"/>
      <c r="AC46" s="795"/>
      <c r="AD46" s="795"/>
      <c r="AE46" s="795"/>
      <c r="AF46" s="795"/>
      <c r="AG46" s="795"/>
      <c r="AH46" s="795"/>
      <c r="AI46" s="795"/>
      <c r="AJ46" s="795"/>
      <c r="AK46" s="795"/>
      <c r="AL46" s="795"/>
      <c r="AM46" s="795"/>
      <c r="AN46" s="795"/>
      <c r="AO46" s="795"/>
      <c r="AP46" s="795"/>
      <c r="AQ46" s="795"/>
      <c r="AR46" s="795"/>
      <c r="AS46" s="795"/>
      <c r="AT46" s="795"/>
      <c r="AU46" s="795"/>
      <c r="AV46" s="795"/>
      <c r="AW46" s="795"/>
      <c r="AX46" s="795"/>
      <c r="AY46" s="795"/>
      <c r="AZ46" s="795"/>
      <c r="BA46" s="795"/>
      <c r="BB46" s="795"/>
      <c r="BC46" s="795"/>
      <c r="BD46" s="795"/>
      <c r="BE46" s="795"/>
      <c r="BF46" s="795"/>
      <c r="BG46" s="795"/>
      <c r="BH46" s="795"/>
      <c r="BI46" s="795"/>
      <c r="BJ46" s="795"/>
      <c r="BK46" s="795"/>
      <c r="BL46" s="795"/>
      <c r="BM46" s="795"/>
      <c r="BN46" s="795"/>
      <c r="BO46" s="795"/>
      <c r="BP46" s="795"/>
      <c r="BQ46" s="795"/>
      <c r="BR46" s="795"/>
      <c r="BS46" s="795"/>
      <c r="BT46" s="795"/>
    </row>
    <row r="47" spans="1:87" ht="8.25" customHeight="1">
      <c r="O47" s="795"/>
      <c r="P47" s="795"/>
      <c r="Q47" s="795"/>
      <c r="R47" s="795"/>
      <c r="S47" s="795"/>
      <c r="T47" s="795"/>
      <c r="U47" s="795"/>
      <c r="V47" s="795"/>
      <c r="W47" s="795"/>
      <c r="X47" s="795"/>
      <c r="Y47" s="795"/>
      <c r="Z47" s="795"/>
      <c r="AA47" s="795"/>
      <c r="AB47" s="795"/>
      <c r="AC47" s="795"/>
      <c r="AD47" s="795"/>
      <c r="AE47" s="795"/>
      <c r="AF47" s="795"/>
      <c r="AG47" s="795"/>
      <c r="AH47" s="795"/>
      <c r="AI47" s="795"/>
      <c r="AJ47" s="795"/>
      <c r="AK47" s="795"/>
      <c r="AL47" s="795"/>
      <c r="AM47" s="795"/>
      <c r="AN47" s="795"/>
      <c r="AO47" s="795"/>
      <c r="AP47" s="795"/>
      <c r="AQ47" s="795"/>
      <c r="AR47" s="795"/>
      <c r="AS47" s="795"/>
      <c r="AT47" s="795"/>
      <c r="AU47" s="795"/>
      <c r="AV47" s="795"/>
      <c r="AW47" s="795"/>
      <c r="AX47" s="795"/>
      <c r="AY47" s="795"/>
      <c r="AZ47" s="795"/>
      <c r="BA47" s="795"/>
      <c r="BB47" s="795"/>
      <c r="BC47" s="795"/>
      <c r="BD47" s="795"/>
      <c r="BE47" s="795"/>
      <c r="BF47" s="795"/>
      <c r="BG47" s="795"/>
      <c r="BH47" s="795"/>
      <c r="BI47" s="795"/>
      <c r="BJ47" s="795"/>
      <c r="BK47" s="795"/>
      <c r="BL47" s="795"/>
      <c r="BM47" s="795"/>
      <c r="BN47" s="795"/>
      <c r="BO47" s="795"/>
      <c r="BP47" s="795"/>
      <c r="BQ47" s="795"/>
      <c r="BR47" s="795"/>
      <c r="BS47" s="795"/>
      <c r="BT47" s="795"/>
    </row>
    <row r="48" spans="1:87" ht="8.25" customHeight="1">
      <c r="O48" s="791"/>
      <c r="P48" s="791"/>
      <c r="Q48" s="791"/>
      <c r="R48" s="791"/>
      <c r="S48" s="791"/>
      <c r="T48" s="791"/>
      <c r="U48" s="791"/>
      <c r="V48" s="791"/>
      <c r="W48" s="791"/>
      <c r="X48" s="791"/>
      <c r="Y48" s="791"/>
      <c r="Z48" s="791"/>
      <c r="AA48" s="791"/>
      <c r="AB48" s="791"/>
      <c r="AC48" s="791"/>
      <c r="AD48" s="343"/>
      <c r="AE48" s="343"/>
      <c r="AF48" s="343"/>
      <c r="AG48" s="344"/>
      <c r="AH48" s="344"/>
      <c r="AI48" s="344"/>
      <c r="AJ48" s="344"/>
      <c r="AK48" s="344"/>
      <c r="AL48" s="344"/>
      <c r="AM48" s="344"/>
      <c r="AN48" s="344"/>
      <c r="AO48" s="344"/>
      <c r="AP48" s="344"/>
      <c r="AQ48" s="344"/>
      <c r="AR48" s="344"/>
      <c r="AS48" s="344"/>
      <c r="AT48" s="344"/>
    </row>
    <row r="49" spans="6:84" ht="8.25" customHeight="1">
      <c r="O49" s="791"/>
      <c r="P49" s="791"/>
      <c r="Q49" s="791"/>
      <c r="R49" s="791"/>
      <c r="S49" s="791"/>
      <c r="T49" s="791"/>
      <c r="U49" s="791"/>
      <c r="V49" s="791"/>
      <c r="W49" s="791"/>
      <c r="X49" s="791"/>
      <c r="Y49" s="791"/>
      <c r="Z49" s="791"/>
      <c r="AA49" s="791"/>
      <c r="AB49" s="791"/>
      <c r="AC49" s="791"/>
      <c r="AD49" s="343"/>
      <c r="AE49" s="343"/>
      <c r="AF49" s="343"/>
      <c r="AG49" s="344"/>
      <c r="AH49" s="344"/>
      <c r="AI49" s="344"/>
      <c r="AJ49" s="344"/>
      <c r="AK49" s="344"/>
      <c r="AL49" s="344"/>
      <c r="AM49" s="344"/>
      <c r="AN49" s="344"/>
      <c r="AO49" s="344"/>
      <c r="AP49" s="344"/>
      <c r="AQ49" s="344"/>
      <c r="AR49" s="344"/>
      <c r="AS49" s="344"/>
      <c r="AT49" s="344"/>
      <c r="BS49" s="789" t="s">
        <v>526</v>
      </c>
      <c r="BT49" s="789"/>
      <c r="BU49" s="789"/>
      <c r="BV49" s="789"/>
      <c r="BW49" s="789"/>
      <c r="BX49" s="789"/>
      <c r="BY49" s="789"/>
      <c r="BZ49" s="789" t="s">
        <v>527</v>
      </c>
      <c r="CA49" s="789"/>
      <c r="CB49" s="789"/>
      <c r="CC49" s="789"/>
      <c r="CD49" s="789"/>
      <c r="CE49" s="789"/>
      <c r="CF49" s="789"/>
    </row>
    <row r="50" spans="6:84" ht="8.25" customHeight="1">
      <c r="O50" s="791"/>
      <c r="P50" s="791"/>
      <c r="Q50" s="791"/>
      <c r="R50" s="791"/>
      <c r="S50" s="791"/>
      <c r="T50" s="791"/>
      <c r="U50" s="791"/>
      <c r="V50" s="791"/>
      <c r="W50" s="791"/>
      <c r="X50" s="791"/>
      <c r="Y50" s="791"/>
      <c r="Z50" s="791"/>
      <c r="AA50" s="791"/>
      <c r="AB50" s="791"/>
      <c r="AC50" s="791"/>
      <c r="AD50" s="343"/>
      <c r="AE50" s="343"/>
      <c r="AF50" s="343"/>
      <c r="AG50" s="344"/>
      <c r="AH50" s="344"/>
      <c r="AI50" s="344"/>
      <c r="AJ50" s="344"/>
      <c r="AK50" s="344"/>
      <c r="AL50" s="344"/>
      <c r="AM50" s="344"/>
      <c r="AN50" s="344"/>
      <c r="AO50" s="344"/>
      <c r="AP50" s="344"/>
      <c r="AQ50" s="344"/>
      <c r="AR50" s="344"/>
      <c r="AS50" s="344"/>
      <c r="AT50" s="344"/>
      <c r="BS50" s="789"/>
      <c r="BT50" s="789"/>
      <c r="BU50" s="789"/>
      <c r="BV50" s="789"/>
      <c r="BW50" s="789"/>
      <c r="BX50" s="789"/>
      <c r="BY50" s="789"/>
      <c r="BZ50" s="789"/>
      <c r="CA50" s="789"/>
      <c r="CB50" s="789"/>
      <c r="CC50" s="789"/>
      <c r="CD50" s="789"/>
      <c r="CE50" s="789"/>
      <c r="CF50" s="789"/>
    </row>
    <row r="51" spans="6:84" ht="8.25" customHeight="1">
      <c r="F51" s="711" t="s">
        <v>528</v>
      </c>
      <c r="G51" s="711"/>
      <c r="H51" s="711"/>
      <c r="I51" s="711"/>
      <c r="J51" s="711"/>
      <c r="K51" s="711"/>
      <c r="L51" s="711"/>
      <c r="M51" s="711"/>
      <c r="N51" s="790"/>
      <c r="O51" s="791"/>
      <c r="P51" s="791"/>
      <c r="Q51" s="791"/>
      <c r="R51" s="791"/>
      <c r="S51" s="791"/>
      <c r="T51" s="791"/>
      <c r="U51" s="791"/>
      <c r="V51" s="791"/>
      <c r="W51" s="791"/>
      <c r="X51" s="791"/>
      <c r="Y51" s="791"/>
      <c r="Z51" s="791"/>
      <c r="AA51" s="791"/>
      <c r="AB51" s="791"/>
      <c r="AC51" s="791"/>
      <c r="AD51" s="343"/>
      <c r="AE51" s="712" t="s">
        <v>529</v>
      </c>
      <c r="AF51" s="712"/>
      <c r="AG51" s="712"/>
      <c r="AH51" s="712"/>
      <c r="AI51" s="712"/>
      <c r="AJ51" s="712"/>
      <c r="AK51" s="712"/>
      <c r="AL51" s="712"/>
      <c r="AM51" s="712"/>
      <c r="AN51" s="712"/>
      <c r="AO51" s="712"/>
      <c r="AP51" s="712"/>
      <c r="AQ51" s="712"/>
      <c r="AR51" s="712"/>
      <c r="AS51" s="792">
        <f>ICM!I27</f>
        <v>0</v>
      </c>
      <c r="AT51" s="792"/>
      <c r="AU51" s="792"/>
      <c r="AV51" s="792"/>
      <c r="AW51" s="792"/>
      <c r="AX51" s="792"/>
      <c r="AY51" s="792"/>
      <c r="AZ51" s="792"/>
      <c r="BA51" s="792"/>
      <c r="BB51" s="792"/>
      <c r="BC51" s="792"/>
      <c r="BD51" s="792"/>
      <c r="BE51" s="792"/>
      <c r="BF51" s="793" t="s">
        <v>530</v>
      </c>
      <c r="BG51" s="712"/>
      <c r="BH51" s="712"/>
      <c r="BI51" s="712"/>
      <c r="BJ51" s="712"/>
      <c r="BK51" s="712"/>
      <c r="BL51" s="712"/>
      <c r="BM51" s="712"/>
      <c r="BN51" s="712"/>
      <c r="BO51" s="712"/>
      <c r="BP51" s="712"/>
      <c r="BQ51" s="712"/>
      <c r="BR51" s="790"/>
      <c r="BS51" s="796">
        <f>' S+R'!B17*' S+R'!F17</f>
        <v>0</v>
      </c>
      <c r="BT51" s="796"/>
      <c r="BU51" s="796"/>
      <c r="BV51" s="796"/>
      <c r="BW51" s="796"/>
      <c r="BX51" s="796"/>
      <c r="BY51" s="796"/>
      <c r="BZ51" s="796" t="s">
        <v>484</v>
      </c>
      <c r="CA51" s="796"/>
      <c r="CB51" s="796"/>
      <c r="CC51" s="796"/>
      <c r="CD51" s="796"/>
      <c r="CE51" s="796"/>
      <c r="CF51" s="796"/>
    </row>
    <row r="52" spans="6:84" ht="8.25" customHeight="1">
      <c r="F52" s="711"/>
      <c r="G52" s="711"/>
      <c r="H52" s="711"/>
      <c r="I52" s="711"/>
      <c r="J52" s="711"/>
      <c r="K52" s="711"/>
      <c r="L52" s="711"/>
      <c r="M52" s="711"/>
      <c r="N52" s="790"/>
      <c r="O52" s="791"/>
      <c r="P52" s="791"/>
      <c r="Q52" s="791"/>
      <c r="R52" s="791"/>
      <c r="S52" s="791"/>
      <c r="T52" s="791"/>
      <c r="U52" s="791"/>
      <c r="V52" s="791"/>
      <c r="W52" s="791"/>
      <c r="X52" s="791"/>
      <c r="Y52" s="791"/>
      <c r="Z52" s="791"/>
      <c r="AA52" s="791"/>
      <c r="AB52" s="791"/>
      <c r="AC52" s="791"/>
      <c r="AD52" s="343"/>
      <c r="AE52" s="712"/>
      <c r="AF52" s="712"/>
      <c r="AG52" s="712"/>
      <c r="AH52" s="712"/>
      <c r="AI52" s="712"/>
      <c r="AJ52" s="712"/>
      <c r="AK52" s="712"/>
      <c r="AL52" s="712"/>
      <c r="AM52" s="712"/>
      <c r="AN52" s="712"/>
      <c r="AO52" s="712"/>
      <c r="AP52" s="712"/>
      <c r="AQ52" s="712"/>
      <c r="AR52" s="712"/>
      <c r="AS52" s="792"/>
      <c r="AT52" s="792"/>
      <c r="AU52" s="792"/>
      <c r="AV52" s="792"/>
      <c r="AW52" s="792"/>
      <c r="AX52" s="792"/>
      <c r="AY52" s="792"/>
      <c r="AZ52" s="792"/>
      <c r="BA52" s="792"/>
      <c r="BB52" s="792"/>
      <c r="BC52" s="792"/>
      <c r="BD52" s="792"/>
      <c r="BE52" s="792"/>
      <c r="BF52" s="793"/>
      <c r="BG52" s="712"/>
      <c r="BH52" s="712"/>
      <c r="BI52" s="712"/>
      <c r="BJ52" s="712"/>
      <c r="BK52" s="712"/>
      <c r="BL52" s="712"/>
      <c r="BM52" s="712"/>
      <c r="BN52" s="712"/>
      <c r="BO52" s="712"/>
      <c r="BP52" s="712"/>
      <c r="BQ52" s="712"/>
      <c r="BR52" s="790"/>
      <c r="BS52" s="796"/>
      <c r="BT52" s="796"/>
      <c r="BU52" s="796"/>
      <c r="BV52" s="796"/>
      <c r="BW52" s="796"/>
      <c r="BX52" s="796"/>
      <c r="BY52" s="796"/>
      <c r="BZ52" s="796"/>
      <c r="CA52" s="796"/>
      <c r="CB52" s="796"/>
      <c r="CC52" s="796"/>
      <c r="CD52" s="796"/>
      <c r="CE52" s="796"/>
      <c r="CF52" s="796"/>
    </row>
    <row r="53" spans="6:84" ht="8.25" customHeight="1">
      <c r="F53" s="711"/>
      <c r="G53" s="711"/>
      <c r="H53" s="711"/>
      <c r="I53" s="711"/>
      <c r="J53" s="711"/>
      <c r="K53" s="711"/>
      <c r="L53" s="711"/>
      <c r="M53" s="711"/>
      <c r="N53" s="790"/>
      <c r="O53" s="791"/>
      <c r="P53" s="791"/>
      <c r="Q53" s="791"/>
      <c r="R53" s="791"/>
      <c r="S53" s="791"/>
      <c r="T53" s="791"/>
      <c r="U53" s="791"/>
      <c r="V53" s="791"/>
      <c r="W53" s="791"/>
      <c r="X53" s="791"/>
      <c r="Y53" s="791"/>
      <c r="Z53" s="791"/>
      <c r="AA53" s="791"/>
      <c r="AB53" s="791"/>
      <c r="AC53" s="791"/>
      <c r="AD53" s="343"/>
      <c r="AE53" s="712"/>
      <c r="AF53" s="712"/>
      <c r="AG53" s="712"/>
      <c r="AH53" s="712"/>
      <c r="AI53" s="712"/>
      <c r="AJ53" s="712"/>
      <c r="AK53" s="712"/>
      <c r="AL53" s="712"/>
      <c r="AM53" s="712"/>
      <c r="AN53" s="712"/>
      <c r="AO53" s="712"/>
      <c r="AP53" s="712"/>
      <c r="AQ53" s="712"/>
      <c r="AR53" s="712"/>
      <c r="AS53" s="792"/>
      <c r="AT53" s="792"/>
      <c r="AU53" s="792"/>
      <c r="AV53" s="792"/>
      <c r="AW53" s="792"/>
      <c r="AX53" s="792"/>
      <c r="AY53" s="792"/>
      <c r="AZ53" s="792"/>
      <c r="BA53" s="792"/>
      <c r="BB53" s="792"/>
      <c r="BC53" s="792"/>
      <c r="BD53" s="792"/>
      <c r="BE53" s="792"/>
      <c r="BF53" s="793"/>
      <c r="BG53" s="712"/>
      <c r="BH53" s="712"/>
      <c r="BI53" s="712"/>
      <c r="BJ53" s="712"/>
      <c r="BK53" s="712"/>
      <c r="BL53" s="712"/>
      <c r="BM53" s="712"/>
      <c r="BN53" s="712"/>
      <c r="BO53" s="712"/>
      <c r="BP53" s="712"/>
      <c r="BQ53" s="712"/>
      <c r="BR53" s="790"/>
      <c r="BS53" s="796"/>
      <c r="BT53" s="796"/>
      <c r="BU53" s="796"/>
      <c r="BV53" s="796"/>
      <c r="BW53" s="796"/>
      <c r="BX53" s="796"/>
      <c r="BY53" s="796"/>
      <c r="BZ53" s="796"/>
      <c r="CA53" s="796"/>
      <c r="CB53" s="796"/>
      <c r="CC53" s="796"/>
      <c r="CD53" s="796"/>
      <c r="CE53" s="796"/>
      <c r="CF53" s="796"/>
    </row>
    <row r="54" spans="6:84" ht="8.25" customHeight="1">
      <c r="I54" s="345"/>
      <c r="AS54" s="784" t="s">
        <v>484</v>
      </c>
      <c r="AT54" s="785"/>
      <c r="AU54" s="785"/>
      <c r="AV54" s="785"/>
      <c r="AW54" s="785"/>
      <c r="AX54" s="785"/>
      <c r="AY54" s="785"/>
      <c r="AZ54" s="785"/>
      <c r="BA54" s="785"/>
      <c r="BB54" s="785"/>
      <c r="BC54" s="785"/>
      <c r="BD54" s="785"/>
      <c r="BE54" s="785"/>
    </row>
    <row r="55" spans="6:84" ht="8.25" customHeight="1">
      <c r="AS55" s="786"/>
      <c r="AT55" s="786"/>
      <c r="AU55" s="786"/>
      <c r="AV55" s="786"/>
      <c r="AW55" s="786"/>
      <c r="AX55" s="786"/>
      <c r="AY55" s="786"/>
      <c r="AZ55" s="786"/>
      <c r="BA55" s="786"/>
      <c r="BB55" s="786"/>
      <c r="BC55" s="786"/>
      <c r="BD55" s="786"/>
      <c r="BE55" s="786"/>
    </row>
    <row r="61" spans="6:84" ht="8.25" customHeight="1">
      <c r="O61" s="346"/>
      <c r="P61" s="344"/>
      <c r="Q61" s="344"/>
      <c r="AB61" s="344"/>
      <c r="AC61" s="344"/>
      <c r="AD61" s="344"/>
      <c r="AE61" s="344"/>
      <c r="AG61" s="335" t="s">
        <v>484</v>
      </c>
      <c r="BS61" s="346"/>
      <c r="BT61" s="344"/>
    </row>
    <row r="62" spans="6:84" ht="8.25" customHeight="1">
      <c r="O62" s="346"/>
      <c r="P62" s="344"/>
      <c r="Q62" s="344"/>
      <c r="AC62" s="346"/>
      <c r="AD62" s="344"/>
      <c r="AE62" s="344"/>
      <c r="AQ62" s="346"/>
      <c r="AR62" s="344"/>
      <c r="AS62" s="344"/>
      <c r="BE62" s="346"/>
      <c r="BF62" s="344"/>
      <c r="BG62" s="344"/>
      <c r="BS62" s="346"/>
      <c r="BT62" s="344"/>
    </row>
    <row r="63" spans="6:84" ht="8.25" customHeight="1">
      <c r="O63" s="787" t="s">
        <v>531</v>
      </c>
      <c r="P63" s="788"/>
      <c r="Q63" s="347"/>
      <c r="R63" s="348"/>
      <c r="S63" s="348"/>
      <c r="T63" s="348"/>
      <c r="U63" s="348"/>
      <c r="V63" s="348"/>
      <c r="W63" s="348"/>
      <c r="X63" s="348"/>
      <c r="Y63" s="348"/>
      <c r="Z63" s="348"/>
      <c r="AA63" s="348"/>
      <c r="AB63" s="349"/>
      <c r="AC63" s="787" t="s">
        <v>532</v>
      </c>
      <c r="AD63" s="788"/>
      <c r="AE63" s="347"/>
      <c r="AF63" s="348"/>
      <c r="AG63" s="348"/>
      <c r="AH63" s="348"/>
      <c r="AI63" s="348"/>
      <c r="AJ63" s="348"/>
      <c r="AK63" s="348"/>
      <c r="AL63" s="348"/>
      <c r="AM63" s="348"/>
      <c r="AN63" s="350"/>
      <c r="AO63" s="350"/>
      <c r="AP63" s="351"/>
      <c r="AQ63" s="787" t="s">
        <v>533</v>
      </c>
      <c r="AR63" s="788"/>
      <c r="AS63" s="347"/>
      <c r="AT63" s="348"/>
      <c r="AU63" s="348"/>
      <c r="AV63" s="348"/>
      <c r="AW63" s="348"/>
      <c r="AX63" s="348"/>
      <c r="AY63" s="348"/>
      <c r="AZ63" s="348"/>
      <c r="BA63" s="348"/>
      <c r="BB63" s="348"/>
      <c r="BC63" s="348"/>
      <c r="BD63" s="349"/>
      <c r="BE63" s="787" t="s">
        <v>534</v>
      </c>
      <c r="BF63" s="788"/>
      <c r="BG63" s="347"/>
      <c r="BH63" s="348"/>
      <c r="BI63" s="348"/>
      <c r="BJ63" s="348"/>
      <c r="BK63" s="348"/>
      <c r="BL63" s="348"/>
      <c r="BM63" s="348"/>
      <c r="BN63" s="348"/>
      <c r="BO63" s="348"/>
      <c r="BP63" s="348"/>
      <c r="BQ63" s="348"/>
      <c r="BR63" s="348"/>
      <c r="BS63" s="346"/>
      <c r="BT63" s="344"/>
    </row>
    <row r="64" spans="6:84" ht="8.25" customHeight="1">
      <c r="O64" s="768"/>
      <c r="P64" s="769"/>
      <c r="Q64" s="352"/>
      <c r="R64" s="344"/>
      <c r="S64" s="344"/>
      <c r="T64" s="344"/>
      <c r="U64" s="344"/>
      <c r="V64" s="344"/>
      <c r="W64" s="344"/>
      <c r="X64" s="344"/>
      <c r="Y64" s="344"/>
      <c r="Z64" s="344"/>
      <c r="AA64" s="344"/>
      <c r="AB64" s="353"/>
      <c r="AC64" s="768"/>
      <c r="AD64" s="769"/>
      <c r="AE64" s="352"/>
      <c r="AF64" s="344"/>
      <c r="AG64" s="344"/>
      <c r="AH64" s="344"/>
      <c r="AI64" s="344"/>
      <c r="AJ64" s="344"/>
      <c r="AK64" s="344"/>
      <c r="AL64" s="344"/>
      <c r="AM64" s="344"/>
      <c r="AN64" s="354"/>
      <c r="AO64" s="354"/>
      <c r="AP64" s="355"/>
      <c r="AQ64" s="768"/>
      <c r="AR64" s="769"/>
      <c r="AS64" s="352"/>
      <c r="AT64" s="344"/>
      <c r="AU64" s="344"/>
      <c r="AV64" s="344"/>
      <c r="AW64" s="344"/>
      <c r="AX64" s="344"/>
      <c r="AY64" s="344"/>
      <c r="AZ64" s="344"/>
      <c r="BA64" s="344"/>
      <c r="BB64" s="344"/>
      <c r="BC64" s="344"/>
      <c r="BD64" s="353"/>
      <c r="BE64" s="768"/>
      <c r="BF64" s="769"/>
      <c r="BG64" s="352"/>
      <c r="BH64" s="344"/>
      <c r="BI64" s="344"/>
      <c r="BJ64" s="344"/>
      <c r="BK64" s="344"/>
      <c r="BL64" s="344"/>
      <c r="BM64" s="344"/>
      <c r="BN64" s="344"/>
      <c r="BO64" s="344"/>
      <c r="BP64" s="344"/>
      <c r="BQ64" s="344"/>
      <c r="BR64" s="344"/>
      <c r="BS64" s="346"/>
      <c r="BT64" s="344"/>
    </row>
    <row r="65" spans="15:107" ht="8.25" customHeight="1">
      <c r="O65" s="356"/>
      <c r="P65" s="352"/>
      <c r="Q65" s="352"/>
      <c r="R65" s="344"/>
      <c r="S65" s="344"/>
      <c r="T65" s="344"/>
      <c r="U65" s="344"/>
      <c r="V65" s="344"/>
      <c r="W65" s="344"/>
      <c r="X65" s="344"/>
      <c r="Y65" s="344"/>
      <c r="Z65" s="344"/>
      <c r="AA65" s="344"/>
      <c r="AB65" s="353"/>
      <c r="AC65" s="356"/>
      <c r="AD65" s="352"/>
      <c r="AE65" s="352"/>
      <c r="AF65" s="344"/>
      <c r="AG65" s="344"/>
      <c r="AH65" s="344"/>
      <c r="AI65" s="344"/>
      <c r="AJ65" s="344"/>
      <c r="AK65" s="344"/>
      <c r="AL65" s="344"/>
      <c r="AM65" s="344"/>
      <c r="AN65" s="344"/>
      <c r="AO65" s="344"/>
      <c r="AP65" s="353"/>
      <c r="AQ65" s="356"/>
      <c r="AR65" s="352"/>
      <c r="AS65" s="352"/>
      <c r="AT65" s="344"/>
      <c r="AU65" s="344"/>
      <c r="AV65" s="344"/>
      <c r="AW65" s="344"/>
      <c r="AX65" s="344"/>
      <c r="AY65" s="344"/>
      <c r="AZ65" s="344"/>
      <c r="BA65" s="344"/>
      <c r="BB65" s="344"/>
      <c r="BC65" s="344"/>
      <c r="BD65" s="353"/>
      <c r="BE65" s="356"/>
      <c r="BF65" s="352"/>
      <c r="BG65" s="352"/>
      <c r="BH65" s="344"/>
      <c r="BI65" s="344"/>
      <c r="BJ65" s="344"/>
      <c r="BK65" s="344"/>
      <c r="BL65" s="344"/>
      <c r="BM65" s="344"/>
      <c r="BN65" s="344"/>
      <c r="BO65" s="344"/>
      <c r="BP65" s="344"/>
      <c r="BQ65" s="344"/>
      <c r="BR65" s="344"/>
      <c r="BS65" s="346"/>
      <c r="BT65" s="344"/>
    </row>
    <row r="66" spans="15:107" ht="8.25" customHeight="1">
      <c r="O66" s="346"/>
      <c r="P66" s="344"/>
      <c r="Q66" s="344"/>
      <c r="R66" s="772" t="s">
        <v>535</v>
      </c>
      <c r="S66" s="773"/>
      <c r="T66" s="773"/>
      <c r="U66" s="773"/>
      <c r="V66" s="773"/>
      <c r="W66" s="773"/>
      <c r="X66" s="773"/>
      <c r="Y66" s="774"/>
      <c r="Z66" s="344"/>
      <c r="AA66" s="344"/>
      <c r="AB66" s="353"/>
      <c r="AC66" s="346"/>
      <c r="AD66" s="344"/>
      <c r="AE66" s="344"/>
      <c r="AF66" s="764" t="s">
        <v>536</v>
      </c>
      <c r="AG66" s="765"/>
      <c r="AH66" s="348"/>
      <c r="AI66" s="348"/>
      <c r="AJ66" s="348"/>
      <c r="AK66" s="348"/>
      <c r="AL66" s="348"/>
      <c r="AM66" s="349"/>
      <c r="AN66" s="344"/>
      <c r="AO66" s="344"/>
      <c r="AP66" s="353"/>
      <c r="AQ66" s="346"/>
      <c r="AR66" s="344"/>
      <c r="AS66" s="344"/>
      <c r="AT66" s="764" t="s">
        <v>536</v>
      </c>
      <c r="AU66" s="765"/>
      <c r="AV66" s="348"/>
      <c r="AW66" s="348"/>
      <c r="AX66" s="348"/>
      <c r="AY66" s="348"/>
      <c r="AZ66" s="348"/>
      <c r="BA66" s="349"/>
      <c r="BB66" s="344"/>
      <c r="BC66" s="344"/>
      <c r="BD66" s="353"/>
      <c r="BE66" s="346"/>
      <c r="BF66" s="344"/>
      <c r="BG66" s="344"/>
      <c r="BH66" s="764" t="s">
        <v>536</v>
      </c>
      <c r="BI66" s="765"/>
      <c r="BJ66" s="348"/>
      <c r="BK66" s="348"/>
      <c r="BL66" s="348"/>
      <c r="BM66" s="348"/>
      <c r="BN66" s="348"/>
      <c r="BO66" s="349"/>
      <c r="BP66" s="344"/>
      <c r="BQ66" s="344"/>
      <c r="BR66" s="344"/>
      <c r="BS66" s="346"/>
      <c r="BT66" s="344"/>
    </row>
    <row r="67" spans="15:107" ht="8.25" customHeight="1">
      <c r="O67" s="346"/>
      <c r="P67" s="344"/>
      <c r="Q67" s="344"/>
      <c r="R67" s="775"/>
      <c r="S67" s="776"/>
      <c r="T67" s="776"/>
      <c r="U67" s="776"/>
      <c r="V67" s="776"/>
      <c r="W67" s="776"/>
      <c r="X67" s="776"/>
      <c r="Y67" s="777"/>
      <c r="Z67" s="344"/>
      <c r="AA67" s="344"/>
      <c r="AB67" s="353"/>
      <c r="AC67" s="346"/>
      <c r="AD67" s="344"/>
      <c r="AE67" s="344"/>
      <c r="AF67" s="766"/>
      <c r="AG67" s="767"/>
      <c r="AH67" s="344"/>
      <c r="AI67" s="344"/>
      <c r="AJ67" s="344"/>
      <c r="AK67" s="344"/>
      <c r="AL67" s="344"/>
      <c r="AM67" s="353"/>
      <c r="AN67" s="344"/>
      <c r="AO67" s="344"/>
      <c r="AP67" s="353"/>
      <c r="AQ67" s="346"/>
      <c r="AR67" s="344"/>
      <c r="AS67" s="344"/>
      <c r="AT67" s="766"/>
      <c r="AU67" s="767"/>
      <c r="AV67" s="344"/>
      <c r="AW67" s="344"/>
      <c r="AX67" s="344"/>
      <c r="AY67" s="344"/>
      <c r="AZ67" s="344"/>
      <c r="BA67" s="353"/>
      <c r="BB67" s="344"/>
      <c r="BC67" s="344"/>
      <c r="BD67" s="353"/>
      <c r="BE67" s="346"/>
      <c r="BF67" s="344"/>
      <c r="BG67" s="344"/>
      <c r="BH67" s="766"/>
      <c r="BI67" s="767"/>
      <c r="BJ67" s="344"/>
      <c r="BK67" s="344"/>
      <c r="BL67" s="344"/>
      <c r="BM67" s="344"/>
      <c r="BN67" s="344"/>
      <c r="BO67" s="353"/>
      <c r="BP67" s="344"/>
      <c r="BQ67" s="344"/>
      <c r="BR67" s="344"/>
      <c r="BS67" s="346"/>
      <c r="BT67" s="344"/>
    </row>
    <row r="68" spans="15:107" ht="8.25" customHeight="1">
      <c r="O68" s="357"/>
      <c r="P68" s="358"/>
      <c r="Q68" s="359"/>
      <c r="R68" s="346"/>
      <c r="S68" s="344"/>
      <c r="T68" s="344"/>
      <c r="U68" s="353"/>
      <c r="V68" s="344"/>
      <c r="W68" s="344"/>
      <c r="X68" s="344"/>
      <c r="Y68" s="353"/>
      <c r="Z68" s="344"/>
      <c r="AA68" s="344"/>
      <c r="AB68" s="353"/>
      <c r="AC68" s="346"/>
      <c r="AD68" s="344"/>
      <c r="AE68" s="344"/>
      <c r="AF68" s="346"/>
      <c r="AG68" s="344"/>
      <c r="AH68" s="344"/>
      <c r="AI68" s="353"/>
      <c r="AJ68" s="344"/>
      <c r="AK68" s="344"/>
      <c r="AL68" s="344"/>
      <c r="AM68" s="353"/>
      <c r="AN68" s="344"/>
      <c r="AO68" s="344"/>
      <c r="AP68" s="353"/>
      <c r="AQ68" s="346"/>
      <c r="AR68" s="344"/>
      <c r="AS68" s="344"/>
      <c r="AT68" s="346"/>
      <c r="AU68" s="344"/>
      <c r="AV68" s="344"/>
      <c r="AW68" s="353"/>
      <c r="AX68" s="344"/>
      <c r="AY68" s="344"/>
      <c r="AZ68" s="344"/>
      <c r="BA68" s="353"/>
      <c r="BB68" s="344"/>
      <c r="BC68" s="344"/>
      <c r="BD68" s="353"/>
      <c r="BE68" s="346"/>
      <c r="BF68" s="344"/>
      <c r="BG68" s="344"/>
      <c r="BH68" s="346"/>
      <c r="BI68" s="344"/>
      <c r="BJ68" s="344"/>
      <c r="BK68" s="353"/>
      <c r="BL68" s="344"/>
      <c r="BM68" s="344"/>
      <c r="BN68" s="344"/>
      <c r="BO68" s="353"/>
      <c r="BP68" s="344"/>
      <c r="BQ68" s="344"/>
      <c r="BR68" s="344"/>
      <c r="BS68" s="346"/>
      <c r="BT68" s="344"/>
    </row>
    <row r="69" spans="15:107" ht="8.25" customHeight="1">
      <c r="O69" s="360"/>
      <c r="P69" s="361"/>
      <c r="Q69" s="362"/>
      <c r="R69" s="346"/>
      <c r="S69" s="344"/>
      <c r="T69" s="344"/>
      <c r="U69" s="353"/>
      <c r="V69" s="344"/>
      <c r="W69" s="344"/>
      <c r="X69" s="344"/>
      <c r="Y69" s="353"/>
      <c r="Z69" s="354"/>
      <c r="AA69" s="354"/>
      <c r="AB69" s="355"/>
      <c r="AC69" s="346"/>
      <c r="AD69" s="344"/>
      <c r="AE69" s="344"/>
      <c r="AF69" s="346"/>
      <c r="AG69" s="344"/>
      <c r="AH69" s="344"/>
      <c r="AI69" s="353"/>
      <c r="AJ69" s="344"/>
      <c r="AK69" s="344"/>
      <c r="AL69" s="344"/>
      <c r="AM69" s="353"/>
      <c r="AN69" s="344"/>
      <c r="AO69" s="344"/>
      <c r="AP69" s="353"/>
      <c r="AQ69" s="346"/>
      <c r="AR69" s="344"/>
      <c r="AS69" s="344"/>
      <c r="AT69" s="346"/>
      <c r="AU69" s="344"/>
      <c r="AV69" s="344"/>
      <c r="AW69" s="353"/>
      <c r="AX69" s="344"/>
      <c r="AY69" s="344"/>
      <c r="AZ69" s="344"/>
      <c r="BA69" s="353"/>
      <c r="BB69" s="344"/>
      <c r="BC69" s="344"/>
      <c r="BD69" s="353"/>
      <c r="BE69" s="346"/>
      <c r="BF69" s="344"/>
      <c r="BG69" s="344"/>
      <c r="BH69" s="346"/>
      <c r="BI69" s="344"/>
      <c r="BJ69" s="344"/>
      <c r="BK69" s="353"/>
      <c r="BL69" s="344"/>
      <c r="BM69" s="344"/>
      <c r="BN69" s="344"/>
      <c r="BO69" s="353"/>
      <c r="BP69" s="344"/>
      <c r="BQ69" s="344"/>
      <c r="BR69" s="344"/>
      <c r="BS69" s="346"/>
      <c r="BT69" s="344"/>
    </row>
    <row r="70" spans="15:107" ht="8.25" customHeight="1">
      <c r="O70" s="360"/>
      <c r="P70" s="361"/>
      <c r="Q70" s="362"/>
      <c r="R70" s="346"/>
      <c r="S70" s="344"/>
      <c r="T70" s="348"/>
      <c r="U70" s="349"/>
      <c r="V70" s="348"/>
      <c r="W70" s="348"/>
      <c r="X70" s="344"/>
      <c r="Y70" s="353"/>
      <c r="Z70" s="354"/>
      <c r="AA70" s="354"/>
      <c r="AB70" s="355"/>
      <c r="AC70" s="346"/>
      <c r="AD70" s="344"/>
      <c r="AE70" s="344"/>
      <c r="AF70" s="346"/>
      <c r="AG70" s="344"/>
      <c r="AH70" s="348"/>
      <c r="AI70" s="349"/>
      <c r="AJ70" s="348"/>
      <c r="AK70" s="348"/>
      <c r="AL70" s="344"/>
      <c r="AM70" s="353"/>
      <c r="AN70" s="344"/>
      <c r="AO70" s="344"/>
      <c r="AP70" s="353"/>
      <c r="AQ70" s="346"/>
      <c r="AR70" s="344"/>
      <c r="AS70" s="344"/>
      <c r="AT70" s="346"/>
      <c r="AU70" s="344"/>
      <c r="AV70" s="348"/>
      <c r="AW70" s="349"/>
      <c r="AX70" s="348"/>
      <c r="AY70" s="348"/>
      <c r="AZ70" s="344"/>
      <c r="BA70" s="353"/>
      <c r="BB70" s="344"/>
      <c r="BC70" s="344"/>
      <c r="BD70" s="353"/>
      <c r="BE70" s="346"/>
      <c r="BF70" s="344"/>
      <c r="BG70" s="344"/>
      <c r="BH70" s="346"/>
      <c r="BI70" s="344"/>
      <c r="BJ70" s="348"/>
      <c r="BK70" s="349"/>
      <c r="BL70" s="348"/>
      <c r="BM70" s="348"/>
      <c r="BN70" s="344"/>
      <c r="BO70" s="353"/>
      <c r="BP70" s="344"/>
      <c r="BQ70" s="344"/>
      <c r="BR70" s="344"/>
      <c r="BS70" s="346"/>
      <c r="BT70" s="344"/>
    </row>
    <row r="71" spans="15:107" ht="8.25" customHeight="1">
      <c r="O71" s="346"/>
      <c r="P71" s="344"/>
      <c r="Q71" s="344"/>
      <c r="R71" s="346"/>
      <c r="S71" s="344"/>
      <c r="T71" s="344"/>
      <c r="U71" s="353"/>
      <c r="V71" s="344"/>
      <c r="W71" s="344"/>
      <c r="X71" s="344"/>
      <c r="Y71" s="353"/>
      <c r="Z71" s="344"/>
      <c r="AA71" s="344"/>
      <c r="AB71" s="353"/>
      <c r="AC71" s="346"/>
      <c r="AD71" s="344"/>
      <c r="AE71" s="344"/>
      <c r="AF71" s="346"/>
      <c r="AG71" s="344"/>
      <c r="AH71" s="344"/>
      <c r="AI71" s="353"/>
      <c r="AJ71" s="344"/>
      <c r="AK71" s="344"/>
      <c r="AL71" s="344"/>
      <c r="AM71" s="353"/>
      <c r="AN71" s="344"/>
      <c r="AO71" s="344"/>
      <c r="AP71" s="353"/>
      <c r="AQ71" s="346"/>
      <c r="AR71" s="344"/>
      <c r="AS71" s="344"/>
      <c r="AT71" s="346"/>
      <c r="AU71" s="344"/>
      <c r="AV71" s="344"/>
      <c r="AW71" s="353"/>
      <c r="AX71" s="344"/>
      <c r="AY71" s="344"/>
      <c r="AZ71" s="344"/>
      <c r="BA71" s="353"/>
      <c r="BB71" s="344"/>
      <c r="BC71" s="344"/>
      <c r="BD71" s="353"/>
      <c r="BE71" s="346"/>
      <c r="BF71" s="344"/>
      <c r="BG71" s="344"/>
      <c r="BH71" s="346"/>
      <c r="BI71" s="344"/>
      <c r="BJ71" s="344"/>
      <c r="BK71" s="353"/>
      <c r="BL71" s="344"/>
      <c r="BM71" s="344"/>
      <c r="BN71" s="344"/>
      <c r="BO71" s="353"/>
      <c r="BP71" s="344"/>
      <c r="BQ71" s="344"/>
      <c r="BR71" s="344"/>
      <c r="BS71" s="346"/>
      <c r="BT71" s="344"/>
    </row>
    <row r="72" spans="15:107" ht="8.25" customHeight="1">
      <c r="O72" s="363"/>
      <c r="P72" s="364"/>
      <c r="Q72" s="364"/>
      <c r="R72" s="365"/>
      <c r="S72" s="366"/>
      <c r="T72" s="344"/>
      <c r="U72" s="344"/>
      <c r="V72" s="344"/>
      <c r="W72" s="344"/>
      <c r="X72" s="344"/>
      <c r="Y72" s="367"/>
      <c r="Z72" s="364"/>
      <c r="AA72" s="364"/>
      <c r="AB72" s="368"/>
      <c r="AC72" s="346"/>
      <c r="AD72" s="344"/>
      <c r="AE72" s="344"/>
      <c r="AF72" s="346"/>
      <c r="AG72" s="344"/>
      <c r="AH72" s="344"/>
      <c r="AI72" s="344"/>
      <c r="AJ72" s="344"/>
      <c r="AK72" s="344"/>
      <c r="AL72" s="344"/>
      <c r="AM72" s="353"/>
      <c r="AN72" s="344"/>
      <c r="AO72" s="344"/>
      <c r="AP72" s="353"/>
      <c r="AQ72" s="346"/>
      <c r="AR72" s="344"/>
      <c r="AS72" s="344"/>
      <c r="AT72" s="346"/>
      <c r="AU72" s="344"/>
      <c r="AV72" s="344"/>
      <c r="AW72" s="344"/>
      <c r="AX72" s="344"/>
      <c r="AY72" s="344"/>
      <c r="AZ72" s="344"/>
      <c r="BA72" s="353"/>
      <c r="BB72" s="344"/>
      <c r="BC72" s="344"/>
      <c r="BD72" s="353"/>
      <c r="BE72" s="346"/>
      <c r="BF72" s="344"/>
      <c r="BG72" s="344"/>
      <c r="BH72" s="346"/>
      <c r="BI72" s="344"/>
      <c r="BJ72" s="344"/>
      <c r="BK72" s="344"/>
      <c r="BL72" s="344"/>
      <c r="BM72" s="344"/>
      <c r="BN72" s="344"/>
      <c r="BO72" s="353"/>
      <c r="BP72" s="344"/>
      <c r="BQ72" s="344"/>
      <c r="BR72" s="344"/>
      <c r="BS72" s="346"/>
      <c r="BT72" s="344"/>
    </row>
    <row r="73" spans="15:107" ht="8.25" customHeight="1">
      <c r="O73" s="365"/>
      <c r="P73" s="364"/>
      <c r="Q73" s="364"/>
      <c r="R73" s="369"/>
      <c r="S73" s="370"/>
      <c r="T73" s="371"/>
      <c r="U73" s="371"/>
      <c r="V73" s="371"/>
      <c r="W73" s="371"/>
      <c r="X73" s="371"/>
      <c r="Y73" s="372"/>
      <c r="Z73" s="364"/>
      <c r="AA73" s="364"/>
      <c r="AB73" s="368"/>
      <c r="AC73" s="346"/>
      <c r="AD73" s="344"/>
      <c r="AE73" s="344"/>
      <c r="AF73" s="373"/>
      <c r="AG73" s="371"/>
      <c r="AH73" s="371"/>
      <c r="AI73" s="371"/>
      <c r="AJ73" s="371"/>
      <c r="AK73" s="371"/>
      <c r="AL73" s="371"/>
      <c r="AM73" s="374"/>
      <c r="AN73" s="344"/>
      <c r="AO73" s="344"/>
      <c r="AP73" s="353"/>
      <c r="AQ73" s="346"/>
      <c r="AR73" s="344"/>
      <c r="AS73" s="344"/>
      <c r="AT73" s="373"/>
      <c r="AU73" s="371"/>
      <c r="AV73" s="371"/>
      <c r="AW73" s="371"/>
      <c r="AX73" s="371"/>
      <c r="AY73" s="371"/>
      <c r="AZ73" s="371"/>
      <c r="BA73" s="374"/>
      <c r="BB73" s="344"/>
      <c r="BC73" s="344"/>
      <c r="BD73" s="353"/>
      <c r="BE73" s="346"/>
      <c r="BF73" s="344"/>
      <c r="BG73" s="344"/>
      <c r="BH73" s="373"/>
      <c r="BI73" s="371"/>
      <c r="BJ73" s="371"/>
      <c r="BK73" s="371"/>
      <c r="BL73" s="371"/>
      <c r="BM73" s="371"/>
      <c r="BN73" s="371"/>
      <c r="BO73" s="374"/>
      <c r="BP73" s="344"/>
      <c r="BQ73" s="344"/>
      <c r="BR73" s="344"/>
      <c r="BS73" s="346"/>
      <c r="BT73" s="344"/>
    </row>
    <row r="74" spans="15:107" ht="8.25" customHeight="1">
      <c r="O74" s="346"/>
      <c r="P74" s="344"/>
      <c r="Q74" s="375"/>
      <c r="R74" s="375"/>
      <c r="S74" s="778"/>
      <c r="T74" s="779"/>
      <c r="U74" s="779"/>
      <c r="V74" s="779"/>
      <c r="W74" s="779"/>
      <c r="X74" s="779"/>
      <c r="Y74" s="779"/>
      <c r="Z74" s="375"/>
      <c r="AA74" s="375"/>
      <c r="AB74" s="376"/>
      <c r="AC74" s="377"/>
      <c r="AD74" s="378"/>
      <c r="AE74" s="375"/>
      <c r="AF74" s="375"/>
      <c r="AG74" s="375"/>
      <c r="AH74" s="375"/>
      <c r="AI74" s="375"/>
      <c r="AJ74" s="375"/>
      <c r="AK74" s="375"/>
      <c r="AL74" s="375"/>
      <c r="AM74" s="375"/>
      <c r="AN74" s="375"/>
      <c r="AO74" s="375"/>
      <c r="AP74" s="376"/>
      <c r="AQ74" s="346"/>
      <c r="AR74" s="344"/>
      <c r="AS74" s="344"/>
      <c r="AT74" s="344"/>
      <c r="AU74" s="344"/>
      <c r="AV74" s="344"/>
      <c r="AW74" s="344"/>
      <c r="AX74" s="344"/>
      <c r="AY74" s="344"/>
      <c r="AZ74" s="344"/>
      <c r="BA74" s="344"/>
      <c r="BB74" s="344"/>
      <c r="BC74" s="344"/>
      <c r="BD74" s="353"/>
      <c r="BE74" s="346"/>
      <c r="BF74" s="344"/>
      <c r="BG74" s="344"/>
      <c r="BH74" s="344"/>
      <c r="BI74" s="344"/>
      <c r="BJ74" s="344"/>
      <c r="BK74" s="344"/>
      <c r="BL74" s="344"/>
      <c r="BM74" s="344"/>
      <c r="BN74" s="344"/>
      <c r="BO74" s="344"/>
      <c r="BP74" s="344"/>
      <c r="BQ74" s="344"/>
      <c r="BR74" s="344"/>
      <c r="BS74" s="346"/>
      <c r="BT74" s="344"/>
    </row>
    <row r="75" spans="15:107" ht="8.25" customHeight="1">
      <c r="O75" s="379"/>
      <c r="P75" s="354"/>
      <c r="Q75" s="354"/>
      <c r="R75" s="354"/>
      <c r="S75" s="780"/>
      <c r="T75" s="780"/>
      <c r="U75" s="780"/>
      <c r="V75" s="780"/>
      <c r="W75" s="780"/>
      <c r="X75" s="780"/>
      <c r="Y75" s="780"/>
      <c r="Z75" s="354"/>
      <c r="AA75" s="354"/>
      <c r="AB75" s="355"/>
      <c r="AC75" s="379"/>
      <c r="AD75" s="354"/>
      <c r="AE75" s="375"/>
      <c r="AF75" s="782"/>
      <c r="AG75" s="780"/>
      <c r="AH75" s="780"/>
      <c r="AI75" s="780"/>
      <c r="AJ75" s="780"/>
      <c r="AK75" s="780"/>
      <c r="AL75" s="780"/>
      <c r="AM75" s="354"/>
      <c r="AN75" s="354"/>
      <c r="AO75" s="354"/>
      <c r="AP75" s="355"/>
      <c r="AQ75" s="346"/>
      <c r="AR75" s="344"/>
      <c r="AS75" s="344"/>
      <c r="AT75" s="783"/>
      <c r="AU75" s="780"/>
      <c r="AV75" s="780"/>
      <c r="AW75" s="780"/>
      <c r="AX75" s="780"/>
      <c r="AY75" s="780"/>
      <c r="AZ75" s="780"/>
      <c r="BA75" s="780"/>
      <c r="BB75" s="354"/>
      <c r="BC75" s="354"/>
      <c r="BD75" s="355"/>
      <c r="BE75" s="346"/>
      <c r="BF75" s="344"/>
      <c r="BG75" s="344"/>
      <c r="BH75" s="344"/>
      <c r="BI75" s="344"/>
      <c r="BJ75" s="344"/>
      <c r="BK75" s="344"/>
      <c r="BL75" s="344"/>
      <c r="BM75" s="344"/>
      <c r="BN75" s="344"/>
      <c r="BO75" s="344"/>
      <c r="BP75" s="344"/>
      <c r="BQ75" s="344"/>
      <c r="BR75" s="344"/>
      <c r="BS75" s="346"/>
      <c r="BT75" s="344"/>
    </row>
    <row r="76" spans="15:107" ht="8.25" customHeight="1">
      <c r="O76" s="379"/>
      <c r="P76" s="354"/>
      <c r="R76" s="354"/>
      <c r="S76" s="781"/>
      <c r="T76" s="781"/>
      <c r="U76" s="781"/>
      <c r="V76" s="781"/>
      <c r="W76" s="781"/>
      <c r="X76" s="781"/>
      <c r="Y76" s="781"/>
      <c r="Z76" s="354"/>
      <c r="AA76" s="354"/>
      <c r="AB76" s="355"/>
      <c r="AC76" s="379"/>
      <c r="AD76" s="354"/>
      <c r="AE76" s="375"/>
      <c r="AF76" s="781"/>
      <c r="AG76" s="781"/>
      <c r="AH76" s="781"/>
      <c r="AI76" s="781"/>
      <c r="AJ76" s="781"/>
      <c r="AK76" s="781"/>
      <c r="AL76" s="781"/>
      <c r="AM76" s="354"/>
      <c r="AN76" s="354"/>
      <c r="AO76" s="354"/>
      <c r="AP76" s="355"/>
      <c r="AQ76" s="346"/>
      <c r="AR76" s="344"/>
      <c r="AS76" s="344"/>
      <c r="AT76" s="781"/>
      <c r="AU76" s="781"/>
      <c r="AV76" s="781"/>
      <c r="AW76" s="781"/>
      <c r="AX76" s="781"/>
      <c r="AY76" s="781"/>
      <c r="AZ76" s="781"/>
      <c r="BA76" s="781"/>
      <c r="BB76" s="354"/>
      <c r="BC76" s="354"/>
      <c r="BD76" s="355"/>
      <c r="BE76" s="346"/>
      <c r="BF76" s="344"/>
      <c r="BG76" s="344"/>
      <c r="BH76" s="344"/>
      <c r="BI76" s="344"/>
      <c r="BJ76" s="344"/>
      <c r="BK76" s="344"/>
      <c r="BL76" s="344"/>
      <c r="BM76" s="344"/>
      <c r="BN76" s="344"/>
      <c r="BO76" s="344"/>
      <c r="BP76" s="344"/>
      <c r="BQ76" s="344"/>
      <c r="BR76" s="344"/>
      <c r="BS76" s="346"/>
      <c r="BT76" s="344"/>
      <c r="DC76" s="380"/>
    </row>
    <row r="77" spans="15:107" ht="8.25" customHeight="1">
      <c r="O77" s="381"/>
      <c r="P77" s="348"/>
      <c r="Q77" s="348"/>
      <c r="R77" s="348"/>
      <c r="S77" s="348"/>
      <c r="T77" s="348"/>
      <c r="U77" s="348"/>
      <c r="V77" s="348"/>
      <c r="W77" s="348"/>
      <c r="X77" s="348"/>
      <c r="Y77" s="348"/>
      <c r="Z77" s="348"/>
      <c r="AA77" s="348"/>
      <c r="AB77" s="349"/>
      <c r="AC77" s="381"/>
      <c r="AD77" s="348"/>
      <c r="AE77" s="348"/>
      <c r="AF77" s="348"/>
      <c r="AG77" s="348"/>
      <c r="AH77" s="348"/>
      <c r="AI77" s="348"/>
      <c r="AJ77" s="348"/>
      <c r="AK77" s="348"/>
      <c r="AL77" s="348"/>
      <c r="AM77" s="348"/>
      <c r="AN77" s="348"/>
      <c r="AO77" s="348"/>
      <c r="AP77" s="349"/>
      <c r="AQ77" s="381"/>
      <c r="AR77" s="348"/>
      <c r="AS77" s="348"/>
      <c r="AT77" s="348"/>
      <c r="AU77" s="348"/>
      <c r="AV77" s="348"/>
      <c r="AW77" s="348"/>
      <c r="AX77" s="348"/>
      <c r="AY77" s="348"/>
      <c r="AZ77" s="348"/>
      <c r="BA77" s="348"/>
      <c r="BB77" s="348"/>
      <c r="BC77" s="348"/>
      <c r="BD77" s="349"/>
      <c r="BE77" s="381"/>
      <c r="BF77" s="348"/>
      <c r="BG77" s="348"/>
      <c r="BH77" s="348"/>
      <c r="BI77" s="348"/>
      <c r="BJ77" s="348"/>
      <c r="BK77" s="348"/>
      <c r="BL77" s="348"/>
      <c r="BM77" s="348"/>
      <c r="BN77" s="348"/>
      <c r="BO77" s="348"/>
      <c r="BP77" s="348"/>
      <c r="BQ77" s="348"/>
      <c r="BR77" s="348"/>
      <c r="BS77" s="346"/>
      <c r="BT77" s="344"/>
    </row>
    <row r="78" spans="15:107" ht="8.25" customHeight="1">
      <c r="O78" s="346"/>
      <c r="P78" s="344"/>
      <c r="Q78" s="344"/>
      <c r="R78" s="344"/>
      <c r="S78" s="344"/>
      <c r="T78" s="344"/>
      <c r="U78" s="344"/>
      <c r="V78" s="344"/>
      <c r="W78" s="344"/>
      <c r="X78" s="344"/>
      <c r="Y78" s="344"/>
      <c r="Z78" s="344"/>
      <c r="AA78" s="344"/>
      <c r="AB78" s="353"/>
      <c r="AC78" s="346"/>
      <c r="AD78" s="344"/>
      <c r="AE78" s="344"/>
      <c r="AF78" s="344"/>
      <c r="AG78" s="344"/>
      <c r="AH78" s="344"/>
      <c r="AI78" s="344"/>
      <c r="AJ78" s="344"/>
      <c r="AK78" s="344"/>
      <c r="AL78" s="344"/>
      <c r="AM78" s="344"/>
      <c r="AN78" s="344"/>
      <c r="AO78" s="344"/>
      <c r="AP78" s="353"/>
      <c r="AQ78" s="346"/>
      <c r="AR78" s="344"/>
      <c r="AS78" s="344"/>
      <c r="AT78" s="344"/>
      <c r="AU78" s="344"/>
      <c r="AV78" s="344"/>
      <c r="AW78" s="344"/>
      <c r="AX78" s="344"/>
      <c r="AY78" s="344"/>
      <c r="AZ78" s="344"/>
      <c r="BA78" s="344"/>
      <c r="BB78" s="344"/>
      <c r="BC78" s="344"/>
      <c r="BD78" s="353"/>
      <c r="BE78" s="346"/>
      <c r="BF78" s="344"/>
      <c r="BG78" s="344"/>
      <c r="BH78" s="344"/>
      <c r="BI78" s="344"/>
      <c r="BJ78" s="344"/>
      <c r="BK78" s="344"/>
      <c r="BL78" s="344"/>
      <c r="BM78" s="344"/>
      <c r="BN78" s="344"/>
      <c r="BO78" s="344"/>
      <c r="BP78" s="344"/>
      <c r="BQ78" s="344"/>
      <c r="BR78" s="344"/>
      <c r="BS78" s="346"/>
      <c r="BT78" s="344"/>
    </row>
    <row r="79" spans="15:107" ht="8.25" customHeight="1">
      <c r="O79" s="346"/>
      <c r="P79" s="344"/>
      <c r="Q79" s="344"/>
      <c r="R79" s="344"/>
      <c r="S79" s="344"/>
      <c r="T79" s="344"/>
      <c r="U79" s="344"/>
      <c r="V79" s="344"/>
      <c r="W79" s="344"/>
      <c r="X79" s="344"/>
      <c r="Y79" s="344"/>
      <c r="Z79" s="344"/>
      <c r="AA79" s="344"/>
      <c r="AB79" s="353"/>
      <c r="AC79" s="346"/>
      <c r="AD79" s="344"/>
      <c r="AE79" s="344"/>
      <c r="AF79" s="344"/>
      <c r="AG79" s="344"/>
      <c r="AH79" s="344"/>
      <c r="AI79" s="344"/>
      <c r="AJ79" s="344"/>
      <c r="AK79" s="344"/>
      <c r="AL79" s="344"/>
      <c r="AM79" s="344"/>
      <c r="AN79" s="344"/>
      <c r="AO79" s="344"/>
      <c r="AP79" s="353"/>
      <c r="AQ79" s="346"/>
      <c r="AR79" s="344"/>
      <c r="AS79" s="344"/>
      <c r="AT79" s="344"/>
      <c r="AU79" s="344"/>
      <c r="AV79" s="344"/>
      <c r="AW79" s="344"/>
      <c r="AX79" s="344"/>
      <c r="AY79" s="344"/>
      <c r="AZ79" s="344"/>
      <c r="BA79" s="344"/>
      <c r="BB79" s="344"/>
      <c r="BC79" s="344"/>
      <c r="BD79" s="353"/>
      <c r="BE79" s="346"/>
      <c r="BF79" s="344"/>
      <c r="BG79" s="344"/>
      <c r="BH79" s="344"/>
      <c r="BI79" s="344"/>
      <c r="BJ79" s="344"/>
      <c r="BK79" s="344"/>
      <c r="BL79" s="344"/>
      <c r="BM79" s="344"/>
      <c r="BN79" s="344"/>
      <c r="BO79" s="344"/>
      <c r="BP79" s="344"/>
      <c r="BQ79" s="344"/>
      <c r="BR79" s="344"/>
      <c r="BS79" s="346"/>
      <c r="BT79" s="344"/>
    </row>
    <row r="80" spans="15:107" ht="8.25" customHeight="1">
      <c r="O80" s="346"/>
      <c r="P80" s="344"/>
      <c r="Q80" s="344"/>
      <c r="R80" s="764" t="s">
        <v>536</v>
      </c>
      <c r="S80" s="765"/>
      <c r="T80" s="348"/>
      <c r="U80" s="348"/>
      <c r="V80" s="348"/>
      <c r="W80" s="348"/>
      <c r="X80" s="348"/>
      <c r="Y80" s="349"/>
      <c r="Z80" s="344"/>
      <c r="AA80" s="344"/>
      <c r="AB80" s="353"/>
      <c r="AC80" s="346"/>
      <c r="AD80" s="344"/>
      <c r="AE80" s="344"/>
      <c r="AF80" s="764" t="s">
        <v>536</v>
      </c>
      <c r="AG80" s="765"/>
      <c r="AH80" s="348"/>
      <c r="AI80" s="348"/>
      <c r="AJ80" s="348"/>
      <c r="AK80" s="348"/>
      <c r="AL80" s="348"/>
      <c r="AM80" s="349"/>
      <c r="AN80" s="344"/>
      <c r="AO80" s="344"/>
      <c r="AP80" s="353"/>
      <c r="AQ80" s="346"/>
      <c r="AR80" s="344"/>
      <c r="AS80" s="344"/>
      <c r="AT80" s="764" t="s">
        <v>536</v>
      </c>
      <c r="AU80" s="765"/>
      <c r="AV80" s="348"/>
      <c r="AW80" s="348"/>
      <c r="AX80" s="348"/>
      <c r="AY80" s="348"/>
      <c r="AZ80" s="348"/>
      <c r="BA80" s="349"/>
      <c r="BB80" s="344"/>
      <c r="BC80" s="344"/>
      <c r="BD80" s="353"/>
      <c r="BE80" s="346"/>
      <c r="BF80" s="344"/>
      <c r="BG80" s="344"/>
      <c r="BH80" s="764" t="s">
        <v>536</v>
      </c>
      <c r="BI80" s="765"/>
      <c r="BJ80" s="348"/>
      <c r="BK80" s="348"/>
      <c r="BL80" s="348"/>
      <c r="BM80" s="348"/>
      <c r="BN80" s="348"/>
      <c r="BO80" s="349"/>
      <c r="BP80" s="344"/>
      <c r="BQ80" s="344"/>
      <c r="BR80" s="344"/>
      <c r="BS80" s="346"/>
      <c r="BT80" s="344"/>
    </row>
    <row r="81" spans="6:114" ht="8.25" customHeight="1">
      <c r="O81" s="346"/>
      <c r="P81" s="344"/>
      <c r="Q81" s="344"/>
      <c r="R81" s="766"/>
      <c r="S81" s="767"/>
      <c r="T81" s="344"/>
      <c r="U81" s="344"/>
      <c r="V81" s="344"/>
      <c r="W81" s="344"/>
      <c r="X81" s="344"/>
      <c r="Y81" s="353"/>
      <c r="Z81" s="344"/>
      <c r="AA81" s="344"/>
      <c r="AB81" s="353"/>
      <c r="AC81" s="346"/>
      <c r="AD81" s="344"/>
      <c r="AE81" s="344"/>
      <c r="AF81" s="766"/>
      <c r="AG81" s="767"/>
      <c r="AH81" s="344"/>
      <c r="AI81" s="344"/>
      <c r="AJ81" s="344"/>
      <c r="AK81" s="344"/>
      <c r="AL81" s="344"/>
      <c r="AM81" s="353"/>
      <c r="AN81" s="344"/>
      <c r="AO81" s="344"/>
      <c r="AP81" s="353"/>
      <c r="AQ81" s="346"/>
      <c r="AR81" s="344"/>
      <c r="AS81" s="344"/>
      <c r="AT81" s="766"/>
      <c r="AU81" s="767"/>
      <c r="AV81" s="344"/>
      <c r="AW81" s="344"/>
      <c r="AX81" s="344"/>
      <c r="AY81" s="344"/>
      <c r="AZ81" s="344"/>
      <c r="BA81" s="353"/>
      <c r="BB81" s="344"/>
      <c r="BC81" s="344"/>
      <c r="BD81" s="353"/>
      <c r="BE81" s="346"/>
      <c r="BF81" s="344"/>
      <c r="BG81" s="344"/>
      <c r="BH81" s="766"/>
      <c r="BI81" s="767"/>
      <c r="BJ81" s="344"/>
      <c r="BK81" s="344"/>
      <c r="BL81" s="344"/>
      <c r="BM81" s="344"/>
      <c r="BN81" s="344"/>
      <c r="BO81" s="353"/>
      <c r="BP81" s="344"/>
      <c r="BQ81" s="344"/>
      <c r="BR81" s="344"/>
      <c r="BS81" s="346"/>
      <c r="BT81" s="344"/>
    </row>
    <row r="82" spans="6:114" ht="8.25" customHeight="1">
      <c r="O82" s="346"/>
      <c r="P82" s="344"/>
      <c r="Q82" s="344"/>
      <c r="R82" s="346"/>
      <c r="S82" s="382"/>
      <c r="T82" s="344"/>
      <c r="U82" s="353"/>
      <c r="V82" s="344"/>
      <c r="W82" s="344"/>
      <c r="X82" s="383"/>
      <c r="Y82" s="353"/>
      <c r="Z82" s="344"/>
      <c r="AA82" s="344"/>
      <c r="AB82" s="353"/>
      <c r="AC82" s="346"/>
      <c r="AD82" s="344"/>
      <c r="AE82" s="344"/>
      <c r="AF82" s="346"/>
      <c r="AG82" s="382"/>
      <c r="AH82" s="344"/>
      <c r="AI82" s="353"/>
      <c r="AJ82" s="344"/>
      <c r="AK82" s="344"/>
      <c r="AL82" s="383"/>
      <c r="AM82" s="353"/>
      <c r="AN82" s="344"/>
      <c r="AO82" s="344"/>
      <c r="AP82" s="353"/>
      <c r="AQ82" s="346"/>
      <c r="AR82" s="344"/>
      <c r="AS82" s="344"/>
      <c r="AT82" s="346"/>
      <c r="AU82" s="344"/>
      <c r="AV82" s="344"/>
      <c r="AW82" s="353"/>
      <c r="AX82" s="344"/>
      <c r="AY82" s="344"/>
      <c r="AZ82" s="344"/>
      <c r="BA82" s="353"/>
      <c r="BB82" s="344"/>
      <c r="BC82" s="344"/>
      <c r="BD82" s="353"/>
      <c r="BE82" s="346"/>
      <c r="BF82" s="344"/>
      <c r="BG82" s="344"/>
      <c r="BH82" s="346"/>
      <c r="BI82" s="344"/>
      <c r="BJ82" s="344"/>
      <c r="BK82" s="353"/>
      <c r="BL82" s="344"/>
      <c r="BM82" s="344"/>
      <c r="BN82" s="344"/>
      <c r="BO82" s="353"/>
      <c r="BP82" s="344"/>
      <c r="BQ82" s="344"/>
      <c r="BR82" s="344"/>
      <c r="BS82" s="346"/>
      <c r="BT82" s="344"/>
    </row>
    <row r="83" spans="6:114" ht="8.25" customHeight="1">
      <c r="O83" s="346"/>
      <c r="P83" s="344"/>
      <c r="Q83" s="344"/>
      <c r="R83" s="346"/>
      <c r="S83" s="383"/>
      <c r="T83" s="344"/>
      <c r="U83" s="353"/>
      <c r="V83" s="344"/>
      <c r="W83" s="344"/>
      <c r="X83" s="383"/>
      <c r="Y83" s="353"/>
      <c r="Z83" s="344"/>
      <c r="AA83" s="344"/>
      <c r="AB83" s="353"/>
      <c r="AC83" s="346"/>
      <c r="AD83" s="344"/>
      <c r="AE83" s="344"/>
      <c r="AF83" s="346"/>
      <c r="AG83" s="383"/>
      <c r="AH83" s="344"/>
      <c r="AI83" s="353"/>
      <c r="AJ83" s="344"/>
      <c r="AK83" s="344"/>
      <c r="AL83" s="383"/>
      <c r="AM83" s="353"/>
      <c r="AN83" s="344"/>
      <c r="AO83" s="344"/>
      <c r="AP83" s="353"/>
      <c r="AQ83" s="346"/>
      <c r="AR83" s="344"/>
      <c r="AS83" s="344"/>
      <c r="AT83" s="346"/>
      <c r="AU83" s="344"/>
      <c r="AV83" s="344"/>
      <c r="AW83" s="353"/>
      <c r="AX83" s="344"/>
      <c r="AY83" s="344"/>
      <c r="AZ83" s="344"/>
      <c r="BA83" s="353"/>
      <c r="BB83" s="344"/>
      <c r="BC83" s="344"/>
      <c r="BD83" s="353"/>
      <c r="BE83" s="346"/>
      <c r="BF83" s="344"/>
      <c r="BG83" s="344"/>
      <c r="BH83" s="346"/>
      <c r="BI83" s="344"/>
      <c r="BJ83" s="344"/>
      <c r="BK83" s="353"/>
      <c r="BL83" s="344"/>
      <c r="BM83" s="344"/>
      <c r="BN83" s="344"/>
      <c r="BO83" s="353"/>
      <c r="BP83" s="344"/>
      <c r="BQ83" s="344"/>
      <c r="BR83" s="344"/>
      <c r="BS83" s="346"/>
      <c r="BT83" s="344"/>
    </row>
    <row r="84" spans="6:114" ht="8.25" customHeight="1">
      <c r="O84" s="346"/>
      <c r="P84" s="344"/>
      <c r="Q84" s="344"/>
      <c r="R84" s="346"/>
      <c r="S84" s="383"/>
      <c r="T84" s="348"/>
      <c r="U84" s="349"/>
      <c r="V84" s="348"/>
      <c r="W84" s="348"/>
      <c r="X84" s="383"/>
      <c r="Y84" s="353"/>
      <c r="Z84" s="344"/>
      <c r="AA84" s="344"/>
      <c r="AB84" s="353"/>
      <c r="AC84" s="346"/>
      <c r="AD84" s="344"/>
      <c r="AE84" s="344"/>
      <c r="AF84" s="346"/>
      <c r="AG84" s="383"/>
      <c r="AH84" s="348"/>
      <c r="AI84" s="349"/>
      <c r="AJ84" s="348"/>
      <c r="AK84" s="348"/>
      <c r="AL84" s="383"/>
      <c r="AM84" s="353"/>
      <c r="AN84" s="344"/>
      <c r="AO84" s="344"/>
      <c r="AP84" s="353"/>
      <c r="AQ84" s="346"/>
      <c r="AR84" s="344"/>
      <c r="AS84" s="344"/>
      <c r="AT84" s="346"/>
      <c r="AU84" s="344"/>
      <c r="AV84" s="348"/>
      <c r="AW84" s="349"/>
      <c r="AX84" s="348"/>
      <c r="AY84" s="348"/>
      <c r="AZ84" s="344"/>
      <c r="BA84" s="353"/>
      <c r="BB84" s="344"/>
      <c r="BC84" s="344"/>
      <c r="BD84" s="353"/>
      <c r="BE84" s="346"/>
      <c r="BF84" s="344"/>
      <c r="BG84" s="344"/>
      <c r="BH84" s="346"/>
      <c r="BI84" s="344"/>
      <c r="BJ84" s="348"/>
      <c r="BK84" s="349"/>
      <c r="BL84" s="348"/>
      <c r="BM84" s="348"/>
      <c r="BN84" s="344"/>
      <c r="BO84" s="353"/>
      <c r="BP84" s="344"/>
      <c r="BQ84" s="344"/>
      <c r="BR84" s="344"/>
      <c r="BS84" s="346"/>
      <c r="BT84" s="344"/>
    </row>
    <row r="85" spans="6:114" ht="8.25" customHeight="1">
      <c r="O85" s="346"/>
      <c r="P85" s="344"/>
      <c r="Q85" s="344"/>
      <c r="R85" s="346"/>
      <c r="S85" s="344"/>
      <c r="T85" s="344"/>
      <c r="U85" s="353"/>
      <c r="V85" s="344"/>
      <c r="W85" s="344"/>
      <c r="X85" s="344"/>
      <c r="Y85" s="353"/>
      <c r="Z85" s="344"/>
      <c r="AA85" s="344"/>
      <c r="AB85" s="353"/>
      <c r="AC85" s="346"/>
      <c r="AD85" s="344"/>
      <c r="AE85" s="344"/>
      <c r="AF85" s="346"/>
      <c r="AG85" s="344"/>
      <c r="AH85" s="344"/>
      <c r="AI85" s="353"/>
      <c r="AJ85" s="344"/>
      <c r="AK85" s="344"/>
      <c r="AL85" s="344"/>
      <c r="AM85" s="353"/>
      <c r="AN85" s="344"/>
      <c r="AO85" s="344"/>
      <c r="AP85" s="353"/>
      <c r="AQ85" s="346"/>
      <c r="AR85" s="344"/>
      <c r="AS85" s="344"/>
      <c r="AT85" s="346"/>
      <c r="AU85" s="344"/>
      <c r="AV85" s="344"/>
      <c r="AW85" s="353"/>
      <c r="AX85" s="344"/>
      <c r="AY85" s="344"/>
      <c r="AZ85" s="344"/>
      <c r="BA85" s="353"/>
      <c r="BB85" s="344"/>
      <c r="BC85" s="344"/>
      <c r="BD85" s="353"/>
      <c r="BE85" s="346"/>
      <c r="BF85" s="344"/>
      <c r="BG85" s="344"/>
      <c r="BH85" s="346"/>
      <c r="BI85" s="344"/>
      <c r="BJ85" s="344"/>
      <c r="BK85" s="353"/>
      <c r="BL85" s="344"/>
      <c r="BM85" s="344"/>
      <c r="BN85" s="344"/>
      <c r="BO85" s="353"/>
      <c r="BP85" s="344"/>
      <c r="BQ85" s="344"/>
      <c r="BR85" s="344"/>
      <c r="BS85" s="346"/>
      <c r="BT85" s="344"/>
    </row>
    <row r="86" spans="6:114" ht="8.25" customHeight="1">
      <c r="O86" s="346"/>
      <c r="P86" s="344"/>
      <c r="Q86" s="344"/>
      <c r="R86" s="346"/>
      <c r="S86" s="344"/>
      <c r="T86" s="344"/>
      <c r="U86" s="344"/>
      <c r="V86" s="344"/>
      <c r="W86" s="344"/>
      <c r="X86" s="344"/>
      <c r="Y86" s="353"/>
      <c r="Z86" s="344"/>
      <c r="AA86" s="344"/>
      <c r="AB86" s="353"/>
      <c r="AC86" s="346"/>
      <c r="AD86" s="344"/>
      <c r="AE86" s="344"/>
      <c r="AF86" s="346"/>
      <c r="AG86" s="344"/>
      <c r="AH86" s="344"/>
      <c r="AI86" s="344"/>
      <c r="AJ86" s="344"/>
      <c r="AK86" s="344"/>
      <c r="AL86" s="344"/>
      <c r="AM86" s="353"/>
      <c r="AN86" s="344"/>
      <c r="AO86" s="344"/>
      <c r="AP86" s="353"/>
      <c r="AQ86" s="346"/>
      <c r="AR86" s="344"/>
      <c r="AS86" s="344"/>
      <c r="AT86" s="346"/>
      <c r="AU86" s="344"/>
      <c r="AV86" s="344"/>
      <c r="AW86" s="344"/>
      <c r="AX86" s="344"/>
      <c r="AY86" s="344"/>
      <c r="AZ86" s="344"/>
      <c r="BA86" s="353"/>
      <c r="BB86" s="344"/>
      <c r="BC86" s="344"/>
      <c r="BD86" s="353"/>
      <c r="BE86" s="346"/>
      <c r="BF86" s="344"/>
      <c r="BG86" s="344"/>
      <c r="BH86" s="346"/>
      <c r="BI86" s="344"/>
      <c r="BJ86" s="344"/>
      <c r="BK86" s="344"/>
      <c r="BL86" s="344"/>
      <c r="BM86" s="344"/>
      <c r="BN86" s="344"/>
      <c r="BO86" s="353"/>
      <c r="BP86" s="344"/>
      <c r="BQ86" s="344"/>
      <c r="BR86" s="344"/>
      <c r="BS86" s="346"/>
      <c r="BT86" s="344"/>
    </row>
    <row r="87" spans="6:114" ht="8.25" customHeight="1">
      <c r="O87" s="346"/>
      <c r="P87" s="344"/>
      <c r="Q87" s="344"/>
      <c r="R87" s="373"/>
      <c r="S87" s="371"/>
      <c r="T87" s="371"/>
      <c r="U87" s="371"/>
      <c r="V87" s="371"/>
      <c r="W87" s="371"/>
      <c r="X87" s="371"/>
      <c r="Y87" s="374"/>
      <c r="Z87" s="344"/>
      <c r="AA87" s="344"/>
      <c r="AB87" s="353"/>
      <c r="AC87" s="346"/>
      <c r="AD87" s="344"/>
      <c r="AE87" s="344"/>
      <c r="AF87" s="373"/>
      <c r="AG87" s="371"/>
      <c r="AH87" s="371"/>
      <c r="AI87" s="371"/>
      <c r="AJ87" s="371"/>
      <c r="AK87" s="371"/>
      <c r="AL87" s="371"/>
      <c r="AM87" s="374"/>
      <c r="AN87" s="344"/>
      <c r="AO87" s="344"/>
      <c r="AP87" s="353"/>
      <c r="AQ87" s="346"/>
      <c r="AR87" s="344"/>
      <c r="AS87" s="344"/>
      <c r="AT87" s="373"/>
      <c r="AU87" s="371"/>
      <c r="AV87" s="371"/>
      <c r="AW87" s="371"/>
      <c r="AX87" s="371"/>
      <c r="AY87" s="371"/>
      <c r="AZ87" s="371"/>
      <c r="BA87" s="374"/>
      <c r="BB87" s="344"/>
      <c r="BC87" s="344"/>
      <c r="BD87" s="353"/>
      <c r="BE87" s="346"/>
      <c r="BF87" s="344"/>
      <c r="BG87" s="344"/>
      <c r="BH87" s="373"/>
      <c r="BI87" s="371"/>
      <c r="BJ87" s="371"/>
      <c r="BK87" s="371"/>
      <c r="BL87" s="371"/>
      <c r="BM87" s="371"/>
      <c r="BN87" s="371"/>
      <c r="BO87" s="374"/>
      <c r="BP87" s="344"/>
      <c r="BQ87" s="344"/>
      <c r="BR87" s="344"/>
      <c r="BS87" s="346"/>
      <c r="BT87" s="344"/>
    </row>
    <row r="88" spans="6:114" ht="8.25" customHeight="1">
      <c r="O88" s="346"/>
      <c r="P88" s="344"/>
      <c r="Q88" s="344"/>
      <c r="R88" s="344"/>
      <c r="S88" s="344"/>
      <c r="T88" s="344"/>
      <c r="U88" s="344"/>
      <c r="V88" s="344"/>
      <c r="W88" s="344"/>
      <c r="X88" s="344"/>
      <c r="Y88" s="344"/>
      <c r="Z88" s="344"/>
      <c r="AA88" s="344"/>
      <c r="AB88" s="353"/>
      <c r="AC88" s="346"/>
      <c r="AD88" s="344"/>
      <c r="AE88" s="344"/>
      <c r="AF88" s="344"/>
      <c r="AG88" s="344"/>
      <c r="AH88" s="344"/>
      <c r="AI88" s="344"/>
      <c r="AJ88" s="344"/>
      <c r="AK88" s="344"/>
      <c r="AL88" s="344"/>
      <c r="AM88" s="344"/>
      <c r="AN88" s="344"/>
      <c r="AO88" s="344"/>
      <c r="AP88" s="353"/>
      <c r="AQ88" s="346"/>
      <c r="AR88" s="344"/>
      <c r="AS88" s="344"/>
      <c r="AT88" s="344"/>
      <c r="AU88" s="344"/>
      <c r="AV88" s="344"/>
      <c r="AW88" s="344"/>
      <c r="AX88" s="344"/>
      <c r="AY88" s="344"/>
      <c r="AZ88" s="344"/>
      <c r="BA88" s="344"/>
      <c r="BB88" s="344"/>
      <c r="BC88" s="344"/>
      <c r="BD88" s="353"/>
      <c r="BE88" s="346"/>
      <c r="BF88" s="344"/>
      <c r="BG88" s="344"/>
      <c r="BH88" s="344"/>
      <c r="BI88" s="344"/>
      <c r="BJ88" s="344"/>
      <c r="BK88" s="344"/>
      <c r="BL88" s="344"/>
      <c r="BM88" s="344"/>
      <c r="BN88" s="344"/>
      <c r="BO88" s="344"/>
      <c r="BP88" s="344"/>
      <c r="BQ88" s="344"/>
      <c r="BR88" s="344"/>
      <c r="BS88" s="346"/>
      <c r="BT88" s="344"/>
    </row>
    <row r="89" spans="6:114" ht="8.25" customHeight="1">
      <c r="O89" s="768" t="s">
        <v>537</v>
      </c>
      <c r="P89" s="769"/>
      <c r="Q89" s="352"/>
      <c r="R89" s="344"/>
      <c r="S89" s="344"/>
      <c r="T89" s="344"/>
      <c r="U89" s="344"/>
      <c r="V89" s="344"/>
      <c r="W89" s="344"/>
      <c r="X89" s="344"/>
      <c r="Y89" s="344"/>
      <c r="Z89" s="344"/>
      <c r="AA89" s="344"/>
      <c r="AB89" s="353"/>
      <c r="AC89" s="768" t="s">
        <v>538</v>
      </c>
      <c r="AD89" s="769"/>
      <c r="AE89" s="352"/>
      <c r="AF89" s="344"/>
      <c r="AG89" s="344"/>
      <c r="AH89" s="344"/>
      <c r="AI89" s="344"/>
      <c r="AJ89" s="344"/>
      <c r="AK89" s="344"/>
      <c r="AL89" s="344"/>
      <c r="AM89" s="344"/>
      <c r="AN89" s="344"/>
      <c r="AO89" s="344"/>
      <c r="AP89" s="353"/>
      <c r="AQ89" s="768" t="s">
        <v>539</v>
      </c>
      <c r="AR89" s="769"/>
      <c r="AS89" s="352"/>
      <c r="AT89" s="344"/>
      <c r="AU89" s="344"/>
      <c r="AV89" s="344"/>
      <c r="AW89" s="344"/>
      <c r="AX89" s="344"/>
      <c r="AY89" s="344"/>
      <c r="AZ89" s="344"/>
      <c r="BA89" s="344"/>
      <c r="BB89" s="344"/>
      <c r="BC89" s="344"/>
      <c r="BD89" s="353"/>
      <c r="BE89" s="768" t="s">
        <v>540</v>
      </c>
      <c r="BF89" s="769"/>
      <c r="BG89" s="352"/>
      <c r="BH89" s="344"/>
      <c r="BI89" s="344"/>
      <c r="BJ89" s="344"/>
      <c r="BK89" s="344"/>
      <c r="BL89" s="344"/>
      <c r="BM89" s="344"/>
      <c r="BN89" s="344"/>
      <c r="BO89" s="344"/>
      <c r="BP89" s="344"/>
      <c r="BQ89" s="344"/>
      <c r="BR89" s="344"/>
      <c r="BS89" s="346"/>
      <c r="BT89" s="344"/>
    </row>
    <row r="90" spans="6:114" ht="8.25" customHeight="1">
      <c r="O90" s="770"/>
      <c r="P90" s="771"/>
      <c r="Q90" s="384"/>
      <c r="R90" s="371"/>
      <c r="S90" s="371"/>
      <c r="T90" s="371"/>
      <c r="U90" s="371"/>
      <c r="V90" s="371"/>
      <c r="W90" s="371"/>
      <c r="X90" s="371"/>
      <c r="Y90" s="371"/>
      <c r="Z90" s="371"/>
      <c r="AA90" s="371"/>
      <c r="AB90" s="374"/>
      <c r="AC90" s="770"/>
      <c r="AD90" s="771"/>
      <c r="AE90" s="384"/>
      <c r="AF90" s="371"/>
      <c r="AG90" s="371"/>
      <c r="AH90" s="371"/>
      <c r="AI90" s="371"/>
      <c r="AJ90" s="371"/>
      <c r="AK90" s="371"/>
      <c r="AL90" s="371"/>
      <c r="AM90" s="371"/>
      <c r="AN90" s="371"/>
      <c r="AO90" s="371"/>
      <c r="AP90" s="374"/>
      <c r="AQ90" s="770"/>
      <c r="AR90" s="771"/>
      <c r="AS90" s="384"/>
      <c r="AT90" s="371"/>
      <c r="AU90" s="371"/>
      <c r="AV90" s="371"/>
      <c r="AW90" s="371"/>
      <c r="AX90" s="371"/>
      <c r="AY90" s="371"/>
      <c r="AZ90" s="371"/>
      <c r="BA90" s="371"/>
      <c r="BB90" s="371"/>
      <c r="BC90" s="371"/>
      <c r="BD90" s="374"/>
      <c r="BE90" s="770"/>
      <c r="BF90" s="771"/>
      <c r="BG90" s="384"/>
      <c r="BH90" s="371"/>
      <c r="BI90" s="371"/>
      <c r="BJ90" s="371"/>
      <c r="BK90" s="371"/>
      <c r="BL90" s="371"/>
      <c r="BM90" s="371"/>
      <c r="BN90" s="371"/>
      <c r="BO90" s="371"/>
      <c r="BP90" s="371"/>
      <c r="BQ90" s="371"/>
      <c r="BR90" s="371"/>
      <c r="BS90" s="346"/>
      <c r="BT90" s="344"/>
    </row>
    <row r="91" spans="6:114" ht="8.25" customHeight="1">
      <c r="O91" s="381"/>
      <c r="P91" s="348"/>
      <c r="Q91" s="344"/>
      <c r="AC91" s="381"/>
      <c r="AD91" s="348"/>
      <c r="AE91" s="344"/>
      <c r="AQ91" s="381"/>
      <c r="AR91" s="348"/>
      <c r="AS91" s="344"/>
      <c r="BE91" s="381"/>
      <c r="BF91" s="348"/>
      <c r="BG91" s="344"/>
      <c r="BS91" s="346"/>
      <c r="BT91" s="344"/>
    </row>
    <row r="92" spans="6:114" ht="8.25" customHeight="1">
      <c r="O92" s="346"/>
      <c r="P92" s="344"/>
      <c r="Q92" s="344"/>
      <c r="AB92" s="344"/>
      <c r="AC92" s="344"/>
      <c r="AD92" s="344"/>
      <c r="AE92" s="344"/>
      <c r="BS92" s="346"/>
      <c r="BT92" s="344"/>
    </row>
    <row r="94" spans="6:114" ht="8.25" customHeight="1">
      <c r="CR94" s="432"/>
      <c r="CS94" s="432"/>
      <c r="CT94" s="432"/>
      <c r="CU94" s="432"/>
      <c r="CV94" s="432"/>
      <c r="CW94" s="432"/>
      <c r="CX94" s="432"/>
      <c r="CY94" s="432"/>
      <c r="CZ94" s="432"/>
      <c r="DA94" s="432"/>
      <c r="DB94" s="432"/>
      <c r="DC94" s="432"/>
      <c r="DD94" s="432"/>
      <c r="DE94" s="432"/>
      <c r="DF94" s="432"/>
      <c r="DG94" s="432"/>
      <c r="DH94" s="432"/>
      <c r="DI94" s="432"/>
      <c r="DJ94" s="432"/>
    </row>
    <row r="95" spans="6:114" ht="8.25" customHeight="1">
      <c r="F95" s="760" t="s">
        <v>541</v>
      </c>
      <c r="G95" s="760"/>
      <c r="H95" s="760"/>
      <c r="I95" s="760"/>
      <c r="J95" s="760"/>
      <c r="K95" s="760"/>
      <c r="L95" s="760"/>
      <c r="M95" s="760"/>
      <c r="N95" s="760"/>
      <c r="O95" s="760"/>
      <c r="P95" s="760"/>
      <c r="Q95" s="760"/>
      <c r="R95" s="760"/>
      <c r="S95" s="760"/>
      <c r="T95" s="760"/>
      <c r="U95" s="760"/>
      <c r="V95" s="760"/>
      <c r="W95" s="760"/>
      <c r="X95" s="760"/>
      <c r="Y95" s="760"/>
      <c r="Z95" s="760"/>
      <c r="AA95" s="760"/>
      <c r="AB95" s="760"/>
      <c r="AC95" s="760"/>
      <c r="AD95" s="760"/>
      <c r="AE95" s="760"/>
      <c r="AF95" s="760"/>
      <c r="AG95" s="760"/>
      <c r="AH95" s="760"/>
      <c r="AI95" s="760"/>
      <c r="AJ95" s="760"/>
      <c r="AK95" s="760"/>
      <c r="AL95" s="760"/>
      <c r="CP95" s="871"/>
      <c r="CQ95" s="871"/>
      <c r="CR95" s="871"/>
      <c r="CS95" s="871"/>
      <c r="CT95" s="871"/>
      <c r="CU95" s="871"/>
      <c r="CV95" s="871"/>
      <c r="CW95" s="871"/>
      <c r="CX95" s="871"/>
      <c r="CY95" s="871"/>
      <c r="CZ95" s="871"/>
      <c r="DA95" s="871"/>
      <c r="DB95" s="432"/>
      <c r="DC95" s="432"/>
      <c r="DD95" s="432"/>
      <c r="DE95" s="432"/>
      <c r="DF95" s="432"/>
      <c r="DG95" s="432"/>
      <c r="DH95" s="432"/>
      <c r="DI95" s="432"/>
      <c r="DJ95" s="432"/>
    </row>
    <row r="96" spans="6:114" ht="8.25" customHeight="1">
      <c r="F96" s="760"/>
      <c r="G96" s="760"/>
      <c r="H96" s="760"/>
      <c r="I96" s="760"/>
      <c r="J96" s="760"/>
      <c r="K96" s="760"/>
      <c r="L96" s="760"/>
      <c r="M96" s="760"/>
      <c r="N96" s="760"/>
      <c r="O96" s="760"/>
      <c r="P96" s="760"/>
      <c r="Q96" s="760"/>
      <c r="R96" s="760"/>
      <c r="S96" s="760"/>
      <c r="T96" s="760"/>
      <c r="U96" s="760"/>
      <c r="V96" s="760"/>
      <c r="W96" s="760"/>
      <c r="X96" s="760"/>
      <c r="Y96" s="760"/>
      <c r="Z96" s="760"/>
      <c r="AA96" s="760"/>
      <c r="AB96" s="760"/>
      <c r="AC96" s="760"/>
      <c r="AD96" s="760"/>
      <c r="AE96" s="760"/>
      <c r="AF96" s="760"/>
      <c r="AG96" s="760"/>
      <c r="AH96" s="760"/>
      <c r="AI96" s="760"/>
      <c r="AJ96" s="760"/>
      <c r="AK96" s="760"/>
      <c r="AL96" s="760"/>
      <c r="CP96" s="871"/>
      <c r="CQ96" s="871"/>
      <c r="CR96" s="871"/>
      <c r="CS96" s="871"/>
      <c r="CT96" s="871"/>
      <c r="CU96" s="871"/>
      <c r="CV96" s="871"/>
      <c r="CW96" s="871"/>
      <c r="CX96" s="871"/>
      <c r="CY96" s="871"/>
      <c r="CZ96" s="871"/>
      <c r="DA96" s="871"/>
      <c r="DB96" s="432"/>
      <c r="DC96" s="432"/>
      <c r="DD96" s="432"/>
      <c r="DE96" s="432"/>
      <c r="DF96" s="432"/>
      <c r="DG96" s="432"/>
      <c r="DH96" s="432"/>
      <c r="DI96" s="432"/>
      <c r="DJ96" s="432"/>
    </row>
    <row r="97" spans="6:114" ht="8.25" customHeight="1">
      <c r="CP97" s="871"/>
      <c r="CQ97" s="871"/>
      <c r="CR97" s="871"/>
      <c r="CS97" s="871"/>
      <c r="CT97" s="871"/>
      <c r="CU97" s="871"/>
      <c r="CV97" s="871"/>
      <c r="CW97" s="871"/>
      <c r="CX97" s="871"/>
      <c r="CY97" s="871"/>
      <c r="CZ97" s="871"/>
      <c r="DA97" s="871"/>
      <c r="DB97" s="432"/>
      <c r="DC97" s="432"/>
      <c r="DD97" s="432"/>
      <c r="DE97" s="432"/>
      <c r="DF97" s="432"/>
      <c r="DG97" s="432"/>
      <c r="DH97" s="432"/>
      <c r="DI97" s="432"/>
      <c r="DJ97" s="432"/>
    </row>
    <row r="98" spans="6:114" ht="8.25" customHeight="1">
      <c r="CR98" s="432"/>
      <c r="CS98" s="432"/>
      <c r="CT98" s="432"/>
      <c r="CU98" s="432"/>
      <c r="CV98" s="432"/>
      <c r="CW98" s="432"/>
      <c r="CX98" s="432"/>
      <c r="CY98" s="432"/>
      <c r="CZ98" s="432"/>
      <c r="DA98" s="432"/>
      <c r="DB98" s="432"/>
      <c r="DC98" s="432"/>
      <c r="DD98" s="432"/>
      <c r="DE98" s="432"/>
      <c r="DF98" s="432"/>
      <c r="DG98" s="432"/>
      <c r="DH98" s="432"/>
      <c r="DI98" s="432"/>
      <c r="DJ98" s="432"/>
    </row>
    <row r="99" spans="6:114" ht="8.25" customHeight="1">
      <c r="F99" s="346"/>
      <c r="P99" s="346"/>
      <c r="Z99" s="346"/>
      <c r="AJ99" s="346"/>
      <c r="AT99" s="346"/>
      <c r="BD99" s="346"/>
      <c r="BN99" s="346"/>
      <c r="BX99" s="346"/>
      <c r="CH99" s="346"/>
      <c r="CR99" s="432"/>
      <c r="CS99" s="432"/>
      <c r="CT99" s="432"/>
      <c r="CU99" s="432"/>
      <c r="CV99" s="432"/>
      <c r="CW99" s="432"/>
      <c r="CX99" s="432"/>
      <c r="CY99" s="432"/>
      <c r="CZ99" s="432"/>
      <c r="DA99" s="432"/>
      <c r="DB99" s="432"/>
      <c r="DC99" s="432"/>
      <c r="DD99" s="432"/>
      <c r="DE99" s="432"/>
      <c r="DF99" s="432"/>
      <c r="DG99" s="432"/>
      <c r="DH99" s="432"/>
      <c r="DI99" s="432"/>
      <c r="DJ99" s="432"/>
    </row>
    <row r="100" spans="6:114" ht="8.25" customHeight="1">
      <c r="F100" s="346"/>
      <c r="H100" s="672" t="str">
        <f>IF(G103="A",' S+R'!B17,"")</f>
        <v/>
      </c>
      <c r="I100" s="672"/>
      <c r="J100" s="672"/>
      <c r="K100" s="672"/>
      <c r="L100" s="672"/>
      <c r="M100" s="672"/>
      <c r="P100" s="346"/>
      <c r="R100" s="672" t="str">
        <f>IF(Q103="A",' S+R'!B17,"")</f>
        <v/>
      </c>
      <c r="S100" s="672"/>
      <c r="T100" s="672"/>
      <c r="U100" s="672"/>
      <c r="V100" s="672"/>
      <c r="W100" s="672"/>
      <c r="Z100" s="346"/>
      <c r="AB100" s="672" t="str">
        <f>IF(AA103="A",' S+R'!B17,"")</f>
        <v/>
      </c>
      <c r="AC100" s="672"/>
      <c r="AD100" s="672"/>
      <c r="AE100" s="672"/>
      <c r="AF100" s="672"/>
      <c r="AG100" s="672"/>
      <c r="AJ100" s="346"/>
      <c r="AL100" s="672" t="str">
        <f>IF(AK103="A",' S+R'!B17,"")</f>
        <v/>
      </c>
      <c r="AM100" s="672"/>
      <c r="AN100" s="672"/>
      <c r="AO100" s="672"/>
      <c r="AP100" s="672"/>
      <c r="AQ100" s="672"/>
      <c r="AT100" s="346"/>
      <c r="AV100" s="672" t="str">
        <f>IF(AU103="A",' S+R'!B17,"")</f>
        <v/>
      </c>
      <c r="AW100" s="672"/>
      <c r="AX100" s="672"/>
      <c r="AY100" s="672"/>
      <c r="AZ100" s="672"/>
      <c r="BA100" s="672"/>
      <c r="BD100" s="346"/>
      <c r="BF100" s="672" t="str">
        <f>IF(BE103="A",' S+R'!B17,"")</f>
        <v/>
      </c>
      <c r="BG100" s="672"/>
      <c r="BH100" s="672"/>
      <c r="BI100" s="672"/>
      <c r="BJ100" s="672"/>
      <c r="BK100" s="672"/>
      <c r="BN100" s="346"/>
      <c r="BP100" s="672" t="str">
        <f>IF(BO103="A",' S+R'!B17,"")</f>
        <v/>
      </c>
      <c r="BQ100" s="672"/>
      <c r="BR100" s="672"/>
      <c r="BS100" s="672"/>
      <c r="BT100" s="672"/>
      <c r="BU100" s="672"/>
      <c r="BX100" s="346"/>
      <c r="BZ100" s="672" t="str">
        <f>IF(BY103="A",' S+R'!B17,"")</f>
        <v/>
      </c>
      <c r="CA100" s="672"/>
      <c r="CB100" s="672"/>
      <c r="CC100" s="672"/>
      <c r="CD100" s="672"/>
      <c r="CE100" s="672"/>
      <c r="CH100" s="346"/>
      <c r="CR100" s="432"/>
      <c r="CS100" s="432"/>
      <c r="CT100" s="432"/>
      <c r="CU100" s="432"/>
      <c r="CV100" s="432"/>
      <c r="CW100" s="432"/>
      <c r="CX100" s="432"/>
      <c r="CY100" s="432"/>
      <c r="CZ100" s="432"/>
      <c r="DA100" s="432"/>
      <c r="DB100" s="432"/>
      <c r="DC100" s="432"/>
      <c r="DD100" s="432"/>
      <c r="DE100" s="432"/>
      <c r="DF100" s="432"/>
      <c r="DG100" s="432"/>
      <c r="DH100" s="432"/>
      <c r="DI100" s="432"/>
      <c r="DJ100" s="432"/>
    </row>
    <row r="101" spans="6:114" ht="8.25" customHeight="1">
      <c r="F101" s="346"/>
      <c r="H101" s="672"/>
      <c r="I101" s="672"/>
      <c r="J101" s="672"/>
      <c r="K101" s="672"/>
      <c r="L101" s="672"/>
      <c r="M101" s="672"/>
      <c r="P101" s="346"/>
      <c r="R101" s="672"/>
      <c r="S101" s="672"/>
      <c r="T101" s="672"/>
      <c r="U101" s="672"/>
      <c r="V101" s="672"/>
      <c r="W101" s="672"/>
      <c r="Z101" s="346"/>
      <c r="AB101" s="672"/>
      <c r="AC101" s="672"/>
      <c r="AD101" s="672"/>
      <c r="AE101" s="672"/>
      <c r="AF101" s="672"/>
      <c r="AG101" s="672"/>
      <c r="AJ101" s="346"/>
      <c r="AL101" s="672"/>
      <c r="AM101" s="672"/>
      <c r="AN101" s="672"/>
      <c r="AO101" s="672"/>
      <c r="AP101" s="672"/>
      <c r="AQ101" s="672"/>
      <c r="AT101" s="346"/>
      <c r="AV101" s="672"/>
      <c r="AW101" s="672"/>
      <c r="AX101" s="672"/>
      <c r="AY101" s="672"/>
      <c r="AZ101" s="672"/>
      <c r="BA101" s="672"/>
      <c r="BD101" s="346"/>
      <c r="BF101" s="672"/>
      <c r="BG101" s="672"/>
      <c r="BH101" s="672"/>
      <c r="BI101" s="672"/>
      <c r="BJ101" s="672"/>
      <c r="BK101" s="672"/>
      <c r="BN101" s="346"/>
      <c r="BP101" s="672"/>
      <c r="BQ101" s="672"/>
      <c r="BR101" s="672"/>
      <c r="BS101" s="672"/>
      <c r="BT101" s="672"/>
      <c r="BU101" s="672"/>
      <c r="BX101" s="346"/>
      <c r="BZ101" s="672"/>
      <c r="CA101" s="672"/>
      <c r="CB101" s="672"/>
      <c r="CC101" s="672"/>
      <c r="CD101" s="672"/>
      <c r="CE101" s="672"/>
      <c r="CH101" s="346"/>
      <c r="CR101" s="432"/>
      <c r="CS101" s="432"/>
      <c r="CT101" s="432"/>
      <c r="CU101" s="432"/>
      <c r="CV101" s="432"/>
      <c r="CW101" s="432"/>
      <c r="CX101" s="432"/>
      <c r="CY101" s="432"/>
      <c r="CZ101" s="432"/>
      <c r="DA101" s="432"/>
      <c r="DB101" s="432"/>
      <c r="DC101" s="432"/>
      <c r="DD101" s="432"/>
      <c r="DE101" s="432"/>
      <c r="DF101" s="432"/>
      <c r="DG101" s="432"/>
      <c r="DH101" s="432"/>
      <c r="DI101" s="432"/>
      <c r="DJ101" s="432"/>
    </row>
    <row r="102" spans="6:114" ht="3.75" customHeight="1">
      <c r="F102" s="346"/>
      <c r="P102" s="346"/>
      <c r="Z102" s="346"/>
      <c r="AJ102" s="346"/>
      <c r="AT102" s="346"/>
      <c r="BD102" s="346"/>
      <c r="BN102" s="346"/>
      <c r="BX102" s="346"/>
      <c r="CH102" s="346"/>
      <c r="CR102" s="432"/>
      <c r="CS102" s="432"/>
      <c r="CT102" s="432"/>
      <c r="CU102" s="432"/>
      <c r="CV102" s="432"/>
      <c r="CW102" s="432"/>
      <c r="CX102" s="432"/>
      <c r="CY102" s="432"/>
      <c r="CZ102" s="432"/>
      <c r="DA102" s="432"/>
      <c r="DB102" s="432"/>
      <c r="DC102" s="432"/>
      <c r="DD102" s="432"/>
      <c r="DE102" s="432"/>
      <c r="DF102" s="432"/>
      <c r="DG102" s="432"/>
      <c r="DH102" s="432"/>
      <c r="DI102" s="432"/>
      <c r="DJ102" s="432"/>
    </row>
    <row r="103" spans="6:114" ht="8.25" customHeight="1">
      <c r="F103" s="346"/>
      <c r="G103" s="710" t="str">
        <f>IF(OR(' S+R'!F17=1,' S+R'!F17&gt;1),"A","")</f>
        <v/>
      </c>
      <c r="H103" s="710"/>
      <c r="I103" s="710"/>
      <c r="J103" s="710"/>
      <c r="K103" s="710" t="str">
        <f>IF(' S+R'!F17=1,ICM!B29,IF(' S+R'!F17=2,ICM!B29,IF(' S+R'!F17=3,ICM!B29,IF(' S+R'!F17=4,ICM!B29,IF(' S+R'!F17=5,ICM!B29,IF(' S+R'!F17=6,ICM!B29,IF(' S+R'!F17=7,ICM!B29,IF(' S+R'!F17=8,ICM!B29,""))))))))</f>
        <v/>
      </c>
      <c r="L103" s="710"/>
      <c r="M103" s="710"/>
      <c r="N103" s="710"/>
      <c r="O103" s="385"/>
      <c r="P103" s="386"/>
      <c r="Q103" s="710" t="str">
        <f>IF(OR(' S+R'!F17=2,' S+R'!F17&gt;2),"A","")</f>
        <v/>
      </c>
      <c r="R103" s="710"/>
      <c r="S103" s="710"/>
      <c r="T103" s="710"/>
      <c r="U103" s="710" t="str">
        <f>IF(' S+R'!F17=2,ICM!B29,IF(' S+R'!F17=3,ICM!B29,IF(' S+R'!F17=4,ICM!B29,IF(' S+R'!F17=5,ICM!B29,IF(' S+R'!F17=6,ICM!B29,IF(' S+R'!F17=7,ICM!B29,IF(' S+R'!F17=8,ICM!B29,"")))))))</f>
        <v/>
      </c>
      <c r="V103" s="710"/>
      <c r="W103" s="710"/>
      <c r="X103" s="710"/>
      <c r="Y103" s="385"/>
      <c r="Z103" s="386"/>
      <c r="AA103" s="762" t="str">
        <f>IF(OR(' S+R'!F17=3,' S+R'!F17&gt;3),"A","")</f>
        <v/>
      </c>
      <c r="AB103" s="762"/>
      <c r="AC103" s="762"/>
      <c r="AD103" s="762"/>
      <c r="AE103" s="710" t="str">
        <f>IF(' S+R'!F17=3,ICM!B29,IF(' S+R'!F17=4,ICM!B29,IF(' S+R'!F17=5,ICM!B29,IF(' S+R'!F17=6,ICM!B29,IF(' S+R'!F17=7,ICM!B29,IF(' S+R'!F17=8,ICM!B29,""))))))</f>
        <v/>
      </c>
      <c r="AF103" s="710"/>
      <c r="AG103" s="710"/>
      <c r="AH103" s="710"/>
      <c r="AI103" s="385"/>
      <c r="AJ103" s="386"/>
      <c r="AK103" s="710" t="str">
        <f>IF(OR(' S+R'!F17=4,' S+R'!F17&gt;4),"A","")</f>
        <v/>
      </c>
      <c r="AL103" s="710"/>
      <c r="AM103" s="710"/>
      <c r="AN103" s="710"/>
      <c r="AO103" s="710" t="str">
        <f>IF(' S+R'!F17=4,ICM!B29,IF(' S+R'!F17=5,ICM!B29,IF(' S+R'!F17=6,ICM!B29,IF(' S+R'!F17=7,ICM!B29,IF(' S+R'!F17=8,ICM!B29,"")))))</f>
        <v/>
      </c>
      <c r="AP103" s="710"/>
      <c r="AQ103" s="710"/>
      <c r="AR103" s="710"/>
      <c r="AS103" s="385"/>
      <c r="AT103" s="386"/>
      <c r="AU103" s="710" t="str">
        <f>IF(OR(' S+R'!F17=5,' S+R'!F17&gt;5),"A","")</f>
        <v/>
      </c>
      <c r="AV103" s="710"/>
      <c r="AW103" s="710"/>
      <c r="AX103" s="710"/>
      <c r="AY103" s="710" t="str">
        <f>IF(' S+R'!F17=5,ICM!B29,IF(' S+R'!F17=6,ICM!B29,IF(' S+R'!F17=7,ICM!B29,IF(' S+R'!F17=8,ICM!B29,""))))</f>
        <v/>
      </c>
      <c r="AZ103" s="710"/>
      <c r="BA103" s="710"/>
      <c r="BB103" s="710"/>
      <c r="BC103" s="385"/>
      <c r="BD103" s="386"/>
      <c r="BE103" s="710" t="str">
        <f>IF(OR(' S+R'!F17=6,' S+R'!F17&gt;6),"A","")</f>
        <v/>
      </c>
      <c r="BF103" s="710"/>
      <c r="BG103" s="710"/>
      <c r="BH103" s="710"/>
      <c r="BI103" s="710" t="str">
        <f>IF(' S+R'!F17=6,ICM!B29,IF(' S+R'!F17=7,ICM!B29,IF(' S+R'!F17=8,ICM!B29,"")))</f>
        <v/>
      </c>
      <c r="BJ103" s="710"/>
      <c r="BK103" s="710"/>
      <c r="BL103" s="710"/>
      <c r="BM103" s="385"/>
      <c r="BN103" s="386"/>
      <c r="BO103" s="710" t="str">
        <f>IF(OR(' S+R'!F17=7,' S+R'!F17&gt;7),"A","")</f>
        <v/>
      </c>
      <c r="BP103" s="710"/>
      <c r="BQ103" s="710"/>
      <c r="BR103" s="710"/>
      <c r="BS103" s="710" t="str">
        <f>IF(' S+R'!F17=7,ICM!B29,IF(' S+R'!F17=8,ICM!B29,""))</f>
        <v/>
      </c>
      <c r="BT103" s="710"/>
      <c r="BU103" s="710"/>
      <c r="BV103" s="710"/>
      <c r="BW103" s="385"/>
      <c r="BX103" s="386"/>
      <c r="BY103" s="710" t="str">
        <f>IF(OR(' S+R'!F17=8,' S+R'!F17&gt;8),"A","")</f>
        <v/>
      </c>
      <c r="BZ103" s="710"/>
      <c r="CA103" s="710"/>
      <c r="CB103" s="710"/>
      <c r="CC103" s="710" t="str">
        <f>IF(' S+R'!F17=8,ICM!B29,"")</f>
        <v/>
      </c>
      <c r="CD103" s="710"/>
      <c r="CE103" s="710"/>
      <c r="CF103" s="710"/>
      <c r="CH103" s="346"/>
      <c r="CR103" s="432"/>
      <c r="CS103" s="432"/>
      <c r="CT103" s="432"/>
      <c r="CU103" s="432"/>
      <c r="CV103" s="432"/>
      <c r="CW103" s="432"/>
      <c r="CX103" s="432"/>
      <c r="CY103" s="432"/>
      <c r="CZ103" s="432"/>
      <c r="DA103" s="432"/>
      <c r="DB103" s="432"/>
      <c r="DC103" s="432"/>
      <c r="DD103" s="432"/>
      <c r="DE103" s="432"/>
      <c r="DF103" s="432"/>
      <c r="DG103" s="432"/>
      <c r="DH103" s="432"/>
      <c r="DI103" s="432"/>
      <c r="DJ103" s="432"/>
    </row>
    <row r="104" spans="6:114" ht="8.25" customHeight="1">
      <c r="F104" s="346"/>
      <c r="G104" s="710"/>
      <c r="H104" s="710"/>
      <c r="I104" s="710"/>
      <c r="J104" s="710"/>
      <c r="K104" s="710"/>
      <c r="L104" s="710"/>
      <c r="M104" s="710"/>
      <c r="N104" s="710"/>
      <c r="O104" s="385"/>
      <c r="P104" s="386"/>
      <c r="Q104" s="710"/>
      <c r="R104" s="710"/>
      <c r="S104" s="710"/>
      <c r="T104" s="710"/>
      <c r="U104" s="710"/>
      <c r="V104" s="710"/>
      <c r="W104" s="710"/>
      <c r="X104" s="710"/>
      <c r="Y104" s="385"/>
      <c r="Z104" s="386"/>
      <c r="AA104" s="762"/>
      <c r="AB104" s="762"/>
      <c r="AC104" s="762"/>
      <c r="AD104" s="762"/>
      <c r="AE104" s="710"/>
      <c r="AF104" s="710"/>
      <c r="AG104" s="710"/>
      <c r="AH104" s="710"/>
      <c r="AI104" s="385"/>
      <c r="AJ104" s="386"/>
      <c r="AK104" s="710"/>
      <c r="AL104" s="710"/>
      <c r="AM104" s="710"/>
      <c r="AN104" s="710"/>
      <c r="AO104" s="710"/>
      <c r="AP104" s="710"/>
      <c r="AQ104" s="710"/>
      <c r="AR104" s="710"/>
      <c r="AS104" s="385"/>
      <c r="AT104" s="386"/>
      <c r="AU104" s="710"/>
      <c r="AV104" s="710"/>
      <c r="AW104" s="710"/>
      <c r="AX104" s="710"/>
      <c r="AY104" s="710"/>
      <c r="AZ104" s="710"/>
      <c r="BA104" s="710"/>
      <c r="BB104" s="710"/>
      <c r="BC104" s="385"/>
      <c r="BD104" s="386"/>
      <c r="BE104" s="710"/>
      <c r="BF104" s="710"/>
      <c r="BG104" s="710"/>
      <c r="BH104" s="710"/>
      <c r="BI104" s="710"/>
      <c r="BJ104" s="710"/>
      <c r="BK104" s="710"/>
      <c r="BL104" s="710"/>
      <c r="BM104" s="385"/>
      <c r="BN104" s="386"/>
      <c r="BO104" s="710"/>
      <c r="BP104" s="710"/>
      <c r="BQ104" s="710"/>
      <c r="BR104" s="710"/>
      <c r="BS104" s="710"/>
      <c r="BT104" s="710"/>
      <c r="BU104" s="710"/>
      <c r="BV104" s="710"/>
      <c r="BW104" s="385"/>
      <c r="BX104" s="386"/>
      <c r="BY104" s="710"/>
      <c r="BZ104" s="710"/>
      <c r="CA104" s="710"/>
      <c r="CB104" s="710"/>
      <c r="CC104" s="710"/>
      <c r="CD104" s="710"/>
      <c r="CE104" s="710"/>
      <c r="CF104" s="710"/>
      <c r="CH104" s="346"/>
      <c r="CR104" s="432"/>
      <c r="CS104" s="432"/>
      <c r="CT104" s="432"/>
      <c r="CU104" s="432"/>
      <c r="CV104" s="432"/>
      <c r="CW104" s="432"/>
      <c r="CX104" s="432"/>
      <c r="CY104" s="432"/>
      <c r="CZ104" s="432"/>
      <c r="DA104" s="432"/>
      <c r="DB104" s="432"/>
      <c r="DC104" s="432"/>
      <c r="DD104" s="432"/>
      <c r="DE104" s="432"/>
      <c r="DF104" s="432"/>
      <c r="DG104" s="432"/>
      <c r="DH104" s="432"/>
      <c r="DI104" s="432"/>
      <c r="DJ104" s="432"/>
    </row>
    <row r="105" spans="6:114" ht="8.25" customHeight="1">
      <c r="F105" s="346"/>
      <c r="G105" s="710"/>
      <c r="H105" s="710"/>
      <c r="I105" s="710"/>
      <c r="J105" s="710"/>
      <c r="K105" s="710"/>
      <c r="L105" s="710"/>
      <c r="M105" s="710"/>
      <c r="N105" s="710"/>
      <c r="O105" s="385"/>
      <c r="P105" s="386"/>
      <c r="Q105" s="710"/>
      <c r="R105" s="710"/>
      <c r="S105" s="710"/>
      <c r="T105" s="710"/>
      <c r="U105" s="710"/>
      <c r="V105" s="710"/>
      <c r="W105" s="710"/>
      <c r="X105" s="710"/>
      <c r="Y105" s="385"/>
      <c r="Z105" s="386"/>
      <c r="AA105" s="762"/>
      <c r="AB105" s="762"/>
      <c r="AC105" s="762"/>
      <c r="AD105" s="762"/>
      <c r="AE105" s="710"/>
      <c r="AF105" s="710"/>
      <c r="AG105" s="710"/>
      <c r="AH105" s="710"/>
      <c r="AI105" s="385"/>
      <c r="AJ105" s="386"/>
      <c r="AK105" s="710"/>
      <c r="AL105" s="710"/>
      <c r="AM105" s="710"/>
      <c r="AN105" s="710"/>
      <c r="AO105" s="710"/>
      <c r="AP105" s="710"/>
      <c r="AQ105" s="710"/>
      <c r="AR105" s="710"/>
      <c r="AS105" s="385"/>
      <c r="AT105" s="386"/>
      <c r="AU105" s="710"/>
      <c r="AV105" s="710"/>
      <c r="AW105" s="710"/>
      <c r="AX105" s="710"/>
      <c r="AY105" s="710"/>
      <c r="AZ105" s="710"/>
      <c r="BA105" s="710"/>
      <c r="BB105" s="710"/>
      <c r="BC105" s="385"/>
      <c r="BD105" s="386"/>
      <c r="BE105" s="710"/>
      <c r="BF105" s="710"/>
      <c r="BG105" s="710"/>
      <c r="BH105" s="710"/>
      <c r="BI105" s="710"/>
      <c r="BJ105" s="710"/>
      <c r="BK105" s="710"/>
      <c r="BL105" s="710"/>
      <c r="BM105" s="385"/>
      <c r="BN105" s="386"/>
      <c r="BO105" s="710"/>
      <c r="BP105" s="710"/>
      <c r="BQ105" s="710"/>
      <c r="BR105" s="710"/>
      <c r="BS105" s="710"/>
      <c r="BT105" s="710"/>
      <c r="BU105" s="710"/>
      <c r="BV105" s="710"/>
      <c r="BW105" s="385"/>
      <c r="BX105" s="386"/>
      <c r="BY105" s="710"/>
      <c r="BZ105" s="710"/>
      <c r="CA105" s="710"/>
      <c r="CB105" s="710"/>
      <c r="CC105" s="710"/>
      <c r="CD105" s="710"/>
      <c r="CE105" s="710"/>
      <c r="CF105" s="710"/>
      <c r="CH105" s="346"/>
      <c r="CR105" s="432"/>
      <c r="CS105" s="432"/>
      <c r="CT105" s="432"/>
      <c r="CU105" s="432"/>
      <c r="CV105" s="432"/>
      <c r="CW105" s="432"/>
      <c r="CX105" s="432"/>
      <c r="CY105" s="432"/>
      <c r="CZ105" s="432"/>
      <c r="DA105" s="432"/>
      <c r="DB105" s="432"/>
      <c r="DC105" s="432"/>
      <c r="DD105" s="432"/>
      <c r="DE105" s="432"/>
      <c r="DF105" s="432"/>
      <c r="DG105" s="432"/>
      <c r="DH105" s="432"/>
      <c r="DI105" s="432"/>
      <c r="DJ105" s="432"/>
    </row>
    <row r="106" spans="6:114" ht="8.25" customHeight="1">
      <c r="F106" s="346"/>
      <c r="G106" s="761"/>
      <c r="H106" s="761"/>
      <c r="I106" s="761"/>
      <c r="J106" s="761"/>
      <c r="K106" s="710"/>
      <c r="L106" s="710"/>
      <c r="M106" s="710"/>
      <c r="N106" s="710"/>
      <c r="O106" s="385"/>
      <c r="P106" s="386"/>
      <c r="Q106" s="761"/>
      <c r="R106" s="761"/>
      <c r="S106" s="761"/>
      <c r="T106" s="761"/>
      <c r="U106" s="710"/>
      <c r="V106" s="710"/>
      <c r="W106" s="710"/>
      <c r="X106" s="710"/>
      <c r="Y106" s="385"/>
      <c r="Z106" s="386"/>
      <c r="AA106" s="763"/>
      <c r="AB106" s="763"/>
      <c r="AC106" s="763"/>
      <c r="AD106" s="763"/>
      <c r="AE106" s="710"/>
      <c r="AF106" s="710"/>
      <c r="AG106" s="710"/>
      <c r="AH106" s="710"/>
      <c r="AI106" s="385"/>
      <c r="AJ106" s="386"/>
      <c r="AK106" s="710"/>
      <c r="AL106" s="710"/>
      <c r="AM106" s="710"/>
      <c r="AN106" s="710"/>
      <c r="AO106" s="710"/>
      <c r="AP106" s="710"/>
      <c r="AQ106" s="710"/>
      <c r="AR106" s="710"/>
      <c r="AS106" s="385"/>
      <c r="AT106" s="386"/>
      <c r="AU106" s="710"/>
      <c r="AV106" s="710"/>
      <c r="AW106" s="710"/>
      <c r="AX106" s="710"/>
      <c r="AY106" s="710"/>
      <c r="AZ106" s="710"/>
      <c r="BA106" s="710"/>
      <c r="BB106" s="710"/>
      <c r="BC106" s="385"/>
      <c r="BD106" s="386"/>
      <c r="BE106" s="710"/>
      <c r="BF106" s="710"/>
      <c r="BG106" s="710"/>
      <c r="BH106" s="710"/>
      <c r="BI106" s="710"/>
      <c r="BJ106" s="710"/>
      <c r="BK106" s="710"/>
      <c r="BL106" s="710"/>
      <c r="BM106" s="385"/>
      <c r="BN106" s="386"/>
      <c r="BO106" s="710"/>
      <c r="BP106" s="710"/>
      <c r="BQ106" s="710"/>
      <c r="BR106" s="710"/>
      <c r="BS106" s="710"/>
      <c r="BT106" s="710"/>
      <c r="BU106" s="710"/>
      <c r="BV106" s="710"/>
      <c r="BW106" s="385"/>
      <c r="BX106" s="386"/>
      <c r="BY106" s="710"/>
      <c r="BZ106" s="710"/>
      <c r="CA106" s="710"/>
      <c r="CB106" s="710"/>
      <c r="CC106" s="710"/>
      <c r="CD106" s="710"/>
      <c r="CE106" s="710"/>
      <c r="CF106" s="710"/>
      <c r="CH106" s="346"/>
      <c r="CR106" s="432"/>
      <c r="CS106" s="432"/>
      <c r="CT106" s="432"/>
      <c r="CU106" s="432"/>
      <c r="CV106" s="432"/>
      <c r="CW106" s="432"/>
      <c r="CX106" s="432"/>
      <c r="CY106" s="432"/>
      <c r="CZ106" s="432"/>
      <c r="DA106" s="432"/>
      <c r="DB106" s="432"/>
      <c r="DC106" s="432"/>
      <c r="DD106" s="432"/>
      <c r="DE106" s="432"/>
      <c r="DF106" s="432"/>
      <c r="DG106" s="432"/>
      <c r="DH106" s="432"/>
      <c r="DI106" s="432"/>
      <c r="DJ106" s="432"/>
    </row>
    <row r="107" spans="6:114" ht="8.25" customHeight="1">
      <c r="F107" s="346"/>
      <c r="G107" s="752" t="str">
        <f>IF(G103="A",' S+R'!F19,"")</f>
        <v/>
      </c>
      <c r="H107" s="753"/>
      <c r="I107" s="753"/>
      <c r="J107" s="753"/>
      <c r="K107" s="756" t="str">
        <f>IFERROR(G107*K103,"")</f>
        <v/>
      </c>
      <c r="L107" s="757"/>
      <c r="M107" s="757"/>
      <c r="N107" s="757"/>
      <c r="O107" s="385"/>
      <c r="P107" s="386"/>
      <c r="Q107" s="752" t="str">
        <f>IF(Q103="A",' S+R'!F19,"")</f>
        <v/>
      </c>
      <c r="R107" s="753"/>
      <c r="S107" s="753"/>
      <c r="T107" s="753"/>
      <c r="U107" s="756" t="str">
        <f>IFERROR(Q107*U103,"")</f>
        <v/>
      </c>
      <c r="V107" s="757"/>
      <c r="W107" s="757"/>
      <c r="X107" s="757"/>
      <c r="Y107" s="387"/>
      <c r="Z107" s="386"/>
      <c r="AA107" s="710" t="str">
        <f>IF(AA103="A",' S+R'!F19,"")</f>
        <v/>
      </c>
      <c r="AB107" s="710"/>
      <c r="AC107" s="710"/>
      <c r="AD107" s="710"/>
      <c r="AE107" s="756" t="str">
        <f>IFERROR(AA107*AE103,"")</f>
        <v/>
      </c>
      <c r="AF107" s="757"/>
      <c r="AG107" s="757"/>
      <c r="AH107" s="757"/>
      <c r="AI107" s="385"/>
      <c r="AJ107" s="386"/>
      <c r="AK107" s="710" t="str">
        <f>IF(AK103="A",' S+R'!F19,"")</f>
        <v/>
      </c>
      <c r="AL107" s="710"/>
      <c r="AM107" s="710"/>
      <c r="AN107" s="710"/>
      <c r="AO107" s="709" t="str">
        <f>IFERROR(AK107*AO103,"")</f>
        <v/>
      </c>
      <c r="AP107" s="709"/>
      <c r="AQ107" s="709"/>
      <c r="AR107" s="709"/>
      <c r="AS107" s="385"/>
      <c r="AT107" s="386"/>
      <c r="AU107" s="710" t="str">
        <f>IF(AU103="A",' S+R'!F19,"")</f>
        <v/>
      </c>
      <c r="AV107" s="710"/>
      <c r="AW107" s="710"/>
      <c r="AX107" s="710"/>
      <c r="AY107" s="709" t="str">
        <f>IFERROR(AU107*AY103,"")</f>
        <v/>
      </c>
      <c r="AZ107" s="709"/>
      <c r="BA107" s="709"/>
      <c r="BB107" s="709"/>
      <c r="BC107" s="385"/>
      <c r="BD107" s="386"/>
      <c r="BE107" s="710" t="str">
        <f>IF(BE103="A",' S+R'!F19,"")</f>
        <v/>
      </c>
      <c r="BF107" s="710"/>
      <c r="BG107" s="710"/>
      <c r="BH107" s="710"/>
      <c r="BI107" s="709" t="str">
        <f>IFERROR(BE107*BI103,"")</f>
        <v/>
      </c>
      <c r="BJ107" s="709"/>
      <c r="BK107" s="709"/>
      <c r="BL107" s="709"/>
      <c r="BM107" s="385"/>
      <c r="BN107" s="386"/>
      <c r="BO107" s="710" t="str">
        <f>IF(BO103="A",' S+R'!F19,"")</f>
        <v/>
      </c>
      <c r="BP107" s="710"/>
      <c r="BQ107" s="710"/>
      <c r="BR107" s="710"/>
      <c r="BS107" s="709" t="str">
        <f>IFERROR(BO107*BS103,"")</f>
        <v/>
      </c>
      <c r="BT107" s="709"/>
      <c r="BU107" s="709"/>
      <c r="BV107" s="709"/>
      <c r="BW107" s="385"/>
      <c r="BX107" s="386"/>
      <c r="BY107" s="710" t="str">
        <f>IF(BY103="A",' S+R'!F19,"")</f>
        <v/>
      </c>
      <c r="BZ107" s="710"/>
      <c r="CA107" s="710"/>
      <c r="CB107" s="710"/>
      <c r="CC107" s="709" t="str">
        <f>IFERROR(BY107*CC103,"")</f>
        <v/>
      </c>
      <c r="CD107" s="709"/>
      <c r="CE107" s="709"/>
      <c r="CF107" s="709"/>
      <c r="CH107" s="346"/>
      <c r="CR107" s="432"/>
      <c r="CS107" s="432"/>
      <c r="CT107" s="432"/>
      <c r="CU107" s="432"/>
      <c r="CV107" s="432"/>
      <c r="CW107" s="432"/>
      <c r="CX107" s="432"/>
      <c r="CY107" s="432"/>
      <c r="CZ107" s="432"/>
      <c r="DA107" s="432"/>
      <c r="DB107" s="432"/>
      <c r="DC107" s="432"/>
      <c r="DD107" s="432"/>
      <c r="DE107" s="432"/>
      <c r="DF107" s="432"/>
      <c r="DG107" s="432"/>
      <c r="DH107" s="432"/>
      <c r="DI107" s="432"/>
      <c r="DJ107" s="432"/>
    </row>
    <row r="108" spans="6:114" ht="8.25" customHeight="1">
      <c r="F108" s="346"/>
      <c r="G108" s="754"/>
      <c r="H108" s="755"/>
      <c r="I108" s="755"/>
      <c r="J108" s="755"/>
      <c r="K108" s="758"/>
      <c r="L108" s="759"/>
      <c r="M108" s="759"/>
      <c r="N108" s="759"/>
      <c r="O108" s="385"/>
      <c r="P108" s="386" t="s">
        <v>484</v>
      </c>
      <c r="Q108" s="754"/>
      <c r="R108" s="755"/>
      <c r="S108" s="755"/>
      <c r="T108" s="755"/>
      <c r="U108" s="758"/>
      <c r="V108" s="759"/>
      <c r="W108" s="759"/>
      <c r="X108" s="759"/>
      <c r="Y108" s="387"/>
      <c r="Z108" s="386"/>
      <c r="AA108" s="710"/>
      <c r="AB108" s="710"/>
      <c r="AC108" s="710"/>
      <c r="AD108" s="710"/>
      <c r="AE108" s="758"/>
      <c r="AF108" s="759"/>
      <c r="AG108" s="759"/>
      <c r="AH108" s="759"/>
      <c r="AI108" s="385"/>
      <c r="AJ108" s="386"/>
      <c r="AK108" s="710"/>
      <c r="AL108" s="710"/>
      <c r="AM108" s="710"/>
      <c r="AN108" s="710"/>
      <c r="AO108" s="709"/>
      <c r="AP108" s="709"/>
      <c r="AQ108" s="709"/>
      <c r="AR108" s="709"/>
      <c r="AS108" s="385"/>
      <c r="AT108" s="386"/>
      <c r="AU108" s="710"/>
      <c r="AV108" s="710"/>
      <c r="AW108" s="710"/>
      <c r="AX108" s="710"/>
      <c r="AY108" s="709"/>
      <c r="AZ108" s="709"/>
      <c r="BA108" s="709"/>
      <c r="BB108" s="709"/>
      <c r="BC108" s="385"/>
      <c r="BD108" s="386"/>
      <c r="BE108" s="710"/>
      <c r="BF108" s="710"/>
      <c r="BG108" s="710"/>
      <c r="BH108" s="710"/>
      <c r="BI108" s="709"/>
      <c r="BJ108" s="709"/>
      <c r="BK108" s="709"/>
      <c r="BL108" s="709"/>
      <c r="BM108" s="385"/>
      <c r="BN108" s="386"/>
      <c r="BO108" s="710"/>
      <c r="BP108" s="710"/>
      <c r="BQ108" s="710"/>
      <c r="BR108" s="710"/>
      <c r="BS108" s="709"/>
      <c r="BT108" s="709"/>
      <c r="BU108" s="709"/>
      <c r="BV108" s="709"/>
      <c r="BW108" s="385"/>
      <c r="BX108" s="386"/>
      <c r="BY108" s="710"/>
      <c r="BZ108" s="710"/>
      <c r="CA108" s="710"/>
      <c r="CB108" s="710"/>
      <c r="CC108" s="709"/>
      <c r="CD108" s="709"/>
      <c r="CE108" s="709"/>
      <c r="CF108" s="709"/>
      <c r="CH108" s="346"/>
      <c r="CR108" s="432"/>
      <c r="CS108" s="432"/>
      <c r="CT108" s="432"/>
      <c r="CU108" s="432"/>
      <c r="CV108" s="432"/>
      <c r="CW108" s="432"/>
      <c r="CX108" s="432"/>
      <c r="CY108" s="432"/>
      <c r="CZ108" s="432"/>
      <c r="DA108" s="432"/>
      <c r="DB108" s="432"/>
      <c r="DC108" s="432"/>
      <c r="DD108" s="432"/>
      <c r="DE108" s="432"/>
      <c r="DF108" s="432"/>
      <c r="DG108" s="432"/>
      <c r="DH108" s="432"/>
      <c r="DI108" s="432"/>
      <c r="DJ108" s="432"/>
    </row>
    <row r="109" spans="6:114" ht="8.25" customHeight="1">
      <c r="F109" s="346"/>
      <c r="G109" s="754"/>
      <c r="H109" s="755"/>
      <c r="I109" s="755"/>
      <c r="J109" s="755"/>
      <c r="K109" s="758"/>
      <c r="L109" s="759"/>
      <c r="M109" s="759"/>
      <c r="N109" s="759"/>
      <c r="O109" s="385"/>
      <c r="P109" s="386"/>
      <c r="Q109" s="754"/>
      <c r="R109" s="755"/>
      <c r="S109" s="755"/>
      <c r="T109" s="755"/>
      <c r="U109" s="758"/>
      <c r="V109" s="759"/>
      <c r="W109" s="759"/>
      <c r="X109" s="759"/>
      <c r="Y109" s="387"/>
      <c r="Z109" s="386"/>
      <c r="AA109" s="710"/>
      <c r="AB109" s="710"/>
      <c r="AC109" s="710"/>
      <c r="AD109" s="710"/>
      <c r="AE109" s="758"/>
      <c r="AF109" s="759"/>
      <c r="AG109" s="759"/>
      <c r="AH109" s="759"/>
      <c r="AI109" s="385"/>
      <c r="AJ109" s="386"/>
      <c r="AK109" s="710"/>
      <c r="AL109" s="710"/>
      <c r="AM109" s="710"/>
      <c r="AN109" s="710"/>
      <c r="AO109" s="709"/>
      <c r="AP109" s="709"/>
      <c r="AQ109" s="709"/>
      <c r="AR109" s="709"/>
      <c r="AS109" s="385"/>
      <c r="AT109" s="386"/>
      <c r="AU109" s="710"/>
      <c r="AV109" s="710"/>
      <c r="AW109" s="710"/>
      <c r="AX109" s="710"/>
      <c r="AY109" s="709"/>
      <c r="AZ109" s="709"/>
      <c r="BA109" s="709"/>
      <c r="BB109" s="709"/>
      <c r="BC109" s="385"/>
      <c r="BD109" s="386"/>
      <c r="BE109" s="710"/>
      <c r="BF109" s="710"/>
      <c r="BG109" s="710"/>
      <c r="BH109" s="710"/>
      <c r="BI109" s="709"/>
      <c r="BJ109" s="709"/>
      <c r="BK109" s="709"/>
      <c r="BL109" s="709"/>
      <c r="BM109" s="385"/>
      <c r="BN109" s="386"/>
      <c r="BO109" s="710"/>
      <c r="BP109" s="710"/>
      <c r="BQ109" s="710"/>
      <c r="BR109" s="710"/>
      <c r="BS109" s="709"/>
      <c r="BT109" s="709"/>
      <c r="BU109" s="709"/>
      <c r="BV109" s="709"/>
      <c r="BW109" s="385"/>
      <c r="BX109" s="386"/>
      <c r="BY109" s="710"/>
      <c r="BZ109" s="710"/>
      <c r="CA109" s="710"/>
      <c r="CB109" s="710"/>
      <c r="CC109" s="709"/>
      <c r="CD109" s="709"/>
      <c r="CE109" s="709"/>
      <c r="CF109" s="709"/>
      <c r="CH109" s="346"/>
      <c r="CR109" s="432"/>
      <c r="CS109" s="432"/>
      <c r="CT109" s="432"/>
      <c r="CU109" s="432"/>
      <c r="CV109" s="432"/>
      <c r="CW109" s="432"/>
      <c r="CX109" s="432"/>
      <c r="CY109" s="432"/>
      <c r="CZ109" s="432"/>
      <c r="DA109" s="432"/>
      <c r="DB109" s="432"/>
      <c r="DC109" s="432"/>
      <c r="DD109" s="432"/>
      <c r="DE109" s="432"/>
      <c r="DF109" s="432"/>
      <c r="DG109" s="432"/>
      <c r="DH109" s="432"/>
      <c r="DI109" s="432"/>
      <c r="DJ109" s="432"/>
    </row>
    <row r="110" spans="6:114" ht="8.25" customHeight="1">
      <c r="F110" s="388"/>
      <c r="G110" s="754"/>
      <c r="H110" s="755"/>
      <c r="I110" s="755"/>
      <c r="J110" s="755"/>
      <c r="K110" s="758"/>
      <c r="L110" s="759"/>
      <c r="M110" s="759"/>
      <c r="N110" s="759"/>
      <c r="O110" s="385"/>
      <c r="P110" s="389"/>
      <c r="Q110" s="754"/>
      <c r="R110" s="755"/>
      <c r="S110" s="755"/>
      <c r="T110" s="755"/>
      <c r="U110" s="758"/>
      <c r="V110" s="759"/>
      <c r="W110" s="759"/>
      <c r="X110" s="759"/>
      <c r="Y110" s="387"/>
      <c r="Z110" s="389"/>
      <c r="AA110" s="710"/>
      <c r="AB110" s="710"/>
      <c r="AC110" s="710"/>
      <c r="AD110" s="710"/>
      <c r="AE110" s="758"/>
      <c r="AF110" s="759"/>
      <c r="AG110" s="759"/>
      <c r="AH110" s="759"/>
      <c r="AI110" s="385"/>
      <c r="AJ110" s="389"/>
      <c r="AK110" s="710"/>
      <c r="AL110" s="710"/>
      <c r="AM110" s="710"/>
      <c r="AN110" s="710"/>
      <c r="AO110" s="709"/>
      <c r="AP110" s="709"/>
      <c r="AQ110" s="709"/>
      <c r="AR110" s="709"/>
      <c r="AS110" s="385"/>
      <c r="AT110" s="389"/>
      <c r="AU110" s="710"/>
      <c r="AV110" s="710"/>
      <c r="AW110" s="710"/>
      <c r="AX110" s="710"/>
      <c r="AY110" s="709"/>
      <c r="AZ110" s="709"/>
      <c r="BA110" s="709"/>
      <c r="BB110" s="709"/>
      <c r="BC110" s="385"/>
      <c r="BD110" s="389"/>
      <c r="BE110" s="710"/>
      <c r="BF110" s="710"/>
      <c r="BG110" s="710"/>
      <c r="BH110" s="710"/>
      <c r="BI110" s="709"/>
      <c r="BJ110" s="709"/>
      <c r="BK110" s="709"/>
      <c r="BL110" s="709"/>
      <c r="BM110" s="385"/>
      <c r="BN110" s="389"/>
      <c r="BO110" s="710"/>
      <c r="BP110" s="710"/>
      <c r="BQ110" s="710"/>
      <c r="BR110" s="710"/>
      <c r="BS110" s="709"/>
      <c r="BT110" s="709"/>
      <c r="BU110" s="709"/>
      <c r="BV110" s="709"/>
      <c r="BW110" s="385"/>
      <c r="BX110" s="389"/>
      <c r="BY110" s="710"/>
      <c r="BZ110" s="710"/>
      <c r="CA110" s="710"/>
      <c r="CB110" s="710"/>
      <c r="CC110" s="709"/>
      <c r="CD110" s="709"/>
      <c r="CE110" s="709"/>
      <c r="CF110" s="709"/>
      <c r="CH110" s="346"/>
      <c r="CR110" s="432"/>
      <c r="CS110" s="432"/>
      <c r="CT110" s="432"/>
      <c r="CU110" s="432"/>
      <c r="CV110" s="432"/>
      <c r="CW110" s="432"/>
      <c r="CX110" s="432"/>
      <c r="CY110" s="432"/>
      <c r="CZ110" s="432"/>
      <c r="DA110" s="432"/>
      <c r="DB110" s="432"/>
      <c r="DC110" s="432"/>
      <c r="DD110" s="432"/>
      <c r="DE110" s="432"/>
      <c r="DF110" s="432"/>
      <c r="DG110" s="432"/>
      <c r="DH110" s="432"/>
      <c r="DI110" s="432"/>
      <c r="DJ110" s="432"/>
    </row>
    <row r="111" spans="6:114" ht="8.25" customHeight="1">
      <c r="F111" s="707" t="s">
        <v>531</v>
      </c>
      <c r="G111" s="708"/>
      <c r="P111" s="707" t="s">
        <v>532</v>
      </c>
      <c r="Q111" s="708"/>
      <c r="Z111" s="707" t="s">
        <v>533</v>
      </c>
      <c r="AA111" s="708"/>
      <c r="AJ111" s="707" t="s">
        <v>534</v>
      </c>
      <c r="AK111" s="708"/>
      <c r="AT111" s="707" t="s">
        <v>537</v>
      </c>
      <c r="AU111" s="708"/>
      <c r="BD111" s="707" t="s">
        <v>538</v>
      </c>
      <c r="BE111" s="708"/>
      <c r="BN111" s="707" t="s">
        <v>539</v>
      </c>
      <c r="BO111" s="708"/>
      <c r="BX111" s="707" t="s">
        <v>540</v>
      </c>
      <c r="BY111" s="708"/>
      <c r="CH111" s="346"/>
      <c r="CR111" s="432"/>
      <c r="CS111" s="432"/>
      <c r="CT111" s="432"/>
      <c r="CU111" s="432"/>
      <c r="CV111" s="432"/>
      <c r="CW111" s="432"/>
      <c r="CX111" s="432"/>
      <c r="CY111" s="432"/>
      <c r="CZ111" s="432"/>
      <c r="DA111" s="432"/>
      <c r="DB111" s="432"/>
      <c r="DC111" s="432"/>
      <c r="DD111" s="432"/>
      <c r="DE111" s="432"/>
      <c r="DF111" s="432"/>
      <c r="DG111" s="432"/>
      <c r="DH111" s="432"/>
      <c r="DI111" s="432"/>
      <c r="DJ111" s="432"/>
    </row>
    <row r="112" spans="6:114" ht="8.25" customHeight="1">
      <c r="F112" s="707"/>
      <c r="G112" s="708"/>
      <c r="P112" s="707"/>
      <c r="Q112" s="708"/>
      <c r="Z112" s="707"/>
      <c r="AA112" s="708"/>
      <c r="AJ112" s="707"/>
      <c r="AK112" s="708"/>
      <c r="AT112" s="707"/>
      <c r="AU112" s="708"/>
      <c r="BD112" s="707"/>
      <c r="BE112" s="708"/>
      <c r="BN112" s="707"/>
      <c r="BO112" s="708"/>
      <c r="BX112" s="707"/>
      <c r="BY112" s="708"/>
      <c r="CR112" s="432"/>
      <c r="CS112" s="432"/>
      <c r="CT112" s="432"/>
      <c r="CU112" s="432"/>
      <c r="CV112" s="432"/>
      <c r="CW112" s="432"/>
      <c r="CX112" s="432"/>
      <c r="CY112" s="432"/>
      <c r="CZ112" s="432"/>
      <c r="DA112" s="432"/>
      <c r="DB112" s="432"/>
      <c r="DC112" s="432"/>
      <c r="DD112" s="432"/>
      <c r="DE112" s="432"/>
      <c r="DF112" s="432"/>
      <c r="DG112" s="432"/>
      <c r="DH112" s="432"/>
      <c r="DI112" s="432"/>
      <c r="DJ112" s="432"/>
    </row>
    <row r="113" spans="2:114" ht="8.25" customHeight="1">
      <c r="CR113" s="432"/>
      <c r="CS113" s="432"/>
      <c r="CT113" s="432"/>
      <c r="CU113" s="432"/>
      <c r="CV113" s="432"/>
      <c r="CW113" s="432"/>
      <c r="CX113" s="432"/>
      <c r="CY113" s="432"/>
      <c r="CZ113" s="432"/>
      <c r="DA113" s="432"/>
      <c r="DB113" s="432"/>
      <c r="DC113" s="432"/>
      <c r="DD113" s="432"/>
      <c r="DE113" s="432"/>
      <c r="DF113" s="432"/>
      <c r="DG113" s="432"/>
      <c r="DH113" s="432"/>
      <c r="DI113" s="432"/>
      <c r="DJ113" s="432"/>
    </row>
    <row r="114" spans="2:114" ht="8.25" customHeight="1">
      <c r="CR114" s="432"/>
      <c r="CS114" s="432"/>
      <c r="CT114" s="432"/>
      <c r="CU114" s="432"/>
      <c r="CV114" s="432"/>
      <c r="CW114" s="432"/>
      <c r="CX114" s="432"/>
      <c r="CY114" s="432"/>
      <c r="CZ114" s="432"/>
      <c r="DA114" s="432"/>
      <c r="DB114" s="432"/>
      <c r="DC114" s="432"/>
      <c r="DD114" s="432"/>
      <c r="DE114" s="432"/>
      <c r="DF114" s="432"/>
      <c r="DG114" s="432"/>
      <c r="DH114" s="432"/>
      <c r="DI114" s="432"/>
      <c r="DJ114" s="432"/>
    </row>
    <row r="115" spans="2:114" ht="8.25" customHeight="1">
      <c r="BB115" s="677">
        <f>' S+R'!F23</f>
        <v>0</v>
      </c>
      <c r="BC115" s="678"/>
      <c r="BD115" s="678"/>
      <c r="BE115" s="678"/>
      <c r="BF115" s="678"/>
      <c r="BG115" s="678"/>
      <c r="BH115" s="678"/>
      <c r="BI115" s="678"/>
      <c r="BJ115" s="678"/>
      <c r="BK115" s="678"/>
      <c r="BL115" s="678"/>
      <c r="BM115" s="678"/>
      <c r="BN115" s="678"/>
      <c r="BO115" s="678"/>
      <c r="BP115" s="679"/>
    </row>
    <row r="116" spans="2:114" ht="8.25" customHeight="1">
      <c r="AP116" s="738" t="s">
        <v>542</v>
      </c>
      <c r="AQ116" s="739"/>
      <c r="AR116" s="739"/>
      <c r="AS116" s="739"/>
      <c r="AT116" s="739"/>
      <c r="AU116" s="739"/>
      <c r="AV116" s="739"/>
      <c r="AW116" s="739"/>
      <c r="AX116" s="739"/>
      <c r="AY116" s="739"/>
      <c r="AZ116" s="739"/>
      <c r="BA116" s="739"/>
      <c r="BB116" s="680"/>
      <c r="BC116" s="681"/>
      <c r="BD116" s="681"/>
      <c r="BE116" s="681"/>
      <c r="BF116" s="681"/>
      <c r="BG116" s="681"/>
      <c r="BH116" s="681"/>
      <c r="BI116" s="681"/>
      <c r="BJ116" s="681"/>
      <c r="BK116" s="681"/>
      <c r="BL116" s="681"/>
      <c r="BM116" s="681"/>
      <c r="BN116" s="681"/>
      <c r="BO116" s="681"/>
      <c r="BP116" s="682"/>
    </row>
    <row r="117" spans="2:114" ht="8.25" customHeight="1">
      <c r="Q117" s="677">
        <f>' S+R'!I23</f>
        <v>0</v>
      </c>
      <c r="R117" s="678"/>
      <c r="S117" s="678"/>
      <c r="T117" s="678"/>
      <c r="U117" s="678"/>
      <c r="V117" s="678"/>
      <c r="W117" s="678"/>
      <c r="X117" s="678"/>
      <c r="Y117" s="678"/>
      <c r="Z117" s="678"/>
      <c r="AA117" s="678"/>
      <c r="AB117" s="678"/>
      <c r="AC117" s="678"/>
      <c r="AD117" s="678"/>
      <c r="AE117" s="678"/>
      <c r="AF117" s="678"/>
      <c r="AG117" s="678"/>
      <c r="AH117" s="678"/>
      <c r="AI117" s="678"/>
      <c r="AJ117" s="678"/>
      <c r="AK117" s="678"/>
      <c r="AL117" s="679"/>
      <c r="AP117" s="739"/>
      <c r="AQ117" s="739"/>
      <c r="AR117" s="739"/>
      <c r="AS117" s="739"/>
      <c r="AT117" s="739"/>
      <c r="AU117" s="739"/>
      <c r="AV117" s="739"/>
      <c r="AW117" s="739"/>
      <c r="AX117" s="739"/>
      <c r="AY117" s="739"/>
      <c r="AZ117" s="739"/>
      <c r="BA117" s="739"/>
      <c r="BB117" s="680"/>
      <c r="BC117" s="681"/>
      <c r="BD117" s="681"/>
      <c r="BE117" s="681"/>
      <c r="BF117" s="681"/>
      <c r="BG117" s="681"/>
      <c r="BH117" s="681"/>
      <c r="BI117" s="681"/>
      <c r="BJ117" s="681"/>
      <c r="BK117" s="681"/>
      <c r="BL117" s="681"/>
      <c r="BM117" s="681"/>
      <c r="BN117" s="681"/>
      <c r="BO117" s="681"/>
      <c r="BP117" s="682"/>
    </row>
    <row r="118" spans="2:114" ht="8.25" customHeight="1">
      <c r="C118" s="711" t="s">
        <v>544</v>
      </c>
      <c r="D118" s="711"/>
      <c r="E118" s="711"/>
      <c r="F118" s="711"/>
      <c r="G118" s="711"/>
      <c r="H118" s="711"/>
      <c r="I118" s="711"/>
      <c r="J118" s="711"/>
      <c r="K118" s="711"/>
      <c r="L118" s="711"/>
      <c r="M118" s="711"/>
      <c r="N118" s="711"/>
      <c r="O118" s="711"/>
      <c r="P118" s="712"/>
      <c r="Q118" s="680"/>
      <c r="R118" s="681"/>
      <c r="S118" s="681"/>
      <c r="T118" s="681"/>
      <c r="U118" s="681"/>
      <c r="V118" s="681"/>
      <c r="W118" s="681"/>
      <c r="X118" s="681"/>
      <c r="Y118" s="681"/>
      <c r="Z118" s="681"/>
      <c r="AA118" s="681"/>
      <c r="AB118" s="681"/>
      <c r="AC118" s="681"/>
      <c r="AD118" s="681"/>
      <c r="AE118" s="681"/>
      <c r="AF118" s="681"/>
      <c r="AG118" s="681"/>
      <c r="AH118" s="681"/>
      <c r="AI118" s="681"/>
      <c r="AJ118" s="681"/>
      <c r="AK118" s="681"/>
      <c r="AL118" s="682"/>
      <c r="AP118" s="739"/>
      <c r="AQ118" s="739"/>
      <c r="AR118" s="739"/>
      <c r="AS118" s="739"/>
      <c r="AT118" s="739"/>
      <c r="AU118" s="739"/>
      <c r="AV118" s="739"/>
      <c r="AW118" s="739"/>
      <c r="AX118" s="739"/>
      <c r="AY118" s="739"/>
      <c r="AZ118" s="739"/>
      <c r="BA118" s="739"/>
      <c r="BB118" s="680"/>
      <c r="BC118" s="681"/>
      <c r="BD118" s="681"/>
      <c r="BE118" s="681"/>
      <c r="BF118" s="681"/>
      <c r="BG118" s="681"/>
      <c r="BH118" s="681"/>
      <c r="BI118" s="681"/>
      <c r="BJ118" s="681"/>
      <c r="BK118" s="681"/>
      <c r="BL118" s="681"/>
      <c r="BM118" s="681"/>
      <c r="BN118" s="681"/>
      <c r="BO118" s="681"/>
      <c r="BP118" s="682"/>
    </row>
    <row r="119" spans="2:114" ht="8.25" customHeight="1">
      <c r="C119" s="711"/>
      <c r="D119" s="711"/>
      <c r="E119" s="711"/>
      <c r="F119" s="711"/>
      <c r="G119" s="711"/>
      <c r="H119" s="711"/>
      <c r="I119" s="711"/>
      <c r="J119" s="711"/>
      <c r="K119" s="711"/>
      <c r="L119" s="711"/>
      <c r="M119" s="711"/>
      <c r="N119" s="711"/>
      <c r="O119" s="711"/>
      <c r="P119" s="712"/>
      <c r="Q119" s="680"/>
      <c r="R119" s="681"/>
      <c r="S119" s="681"/>
      <c r="T119" s="681"/>
      <c r="U119" s="681"/>
      <c r="V119" s="681"/>
      <c r="W119" s="681"/>
      <c r="X119" s="681"/>
      <c r="Y119" s="681"/>
      <c r="Z119" s="681"/>
      <c r="AA119" s="681"/>
      <c r="AB119" s="681"/>
      <c r="AC119" s="681"/>
      <c r="AD119" s="681"/>
      <c r="AE119" s="681"/>
      <c r="AF119" s="681"/>
      <c r="AG119" s="681"/>
      <c r="AH119" s="681"/>
      <c r="AI119" s="681"/>
      <c r="AJ119" s="681"/>
      <c r="AK119" s="681"/>
      <c r="AL119" s="682"/>
      <c r="AP119" s="739"/>
      <c r="AQ119" s="739"/>
      <c r="AR119" s="739"/>
      <c r="AS119" s="739"/>
      <c r="AT119" s="739"/>
      <c r="AU119" s="739"/>
      <c r="AV119" s="739"/>
      <c r="AW119" s="739"/>
      <c r="AX119" s="739"/>
      <c r="AY119" s="739"/>
      <c r="AZ119" s="739"/>
      <c r="BA119" s="739"/>
      <c r="BB119" s="713">
        <f>' S+R'!B33</f>
        <v>0</v>
      </c>
      <c r="BC119" s="714"/>
      <c r="BD119" s="714"/>
      <c r="BE119" s="714"/>
      <c r="BF119" s="714"/>
      <c r="BG119" s="714"/>
      <c r="BH119" s="714"/>
      <c r="BI119" s="714"/>
      <c r="BJ119" s="714"/>
      <c r="BK119" s="714"/>
      <c r="BL119" s="714"/>
      <c r="BM119" s="714"/>
      <c r="BN119" s="714"/>
      <c r="BO119" s="714"/>
      <c r="BP119" s="715"/>
    </row>
    <row r="120" spans="2:114" ht="8.25" customHeight="1">
      <c r="C120" s="711"/>
      <c r="D120" s="711"/>
      <c r="E120" s="711"/>
      <c r="F120" s="711"/>
      <c r="G120" s="711"/>
      <c r="H120" s="711"/>
      <c r="I120" s="711"/>
      <c r="J120" s="711"/>
      <c r="K120" s="711"/>
      <c r="L120" s="711"/>
      <c r="M120" s="711"/>
      <c r="N120" s="711"/>
      <c r="O120" s="711"/>
      <c r="P120" s="712"/>
      <c r="Q120" s="683"/>
      <c r="R120" s="684"/>
      <c r="S120" s="684"/>
      <c r="T120" s="684"/>
      <c r="U120" s="684"/>
      <c r="V120" s="684"/>
      <c r="W120" s="684"/>
      <c r="X120" s="684"/>
      <c r="Y120" s="684"/>
      <c r="Z120" s="684"/>
      <c r="AA120" s="684"/>
      <c r="AB120" s="684"/>
      <c r="AC120" s="684"/>
      <c r="AD120" s="684"/>
      <c r="AE120" s="684"/>
      <c r="AF120" s="684"/>
      <c r="AG120" s="684"/>
      <c r="AH120" s="684"/>
      <c r="AI120" s="684"/>
      <c r="AJ120" s="684"/>
      <c r="AK120" s="684"/>
      <c r="AL120" s="685"/>
      <c r="AP120" s="739"/>
      <c r="AQ120" s="739"/>
      <c r="AR120" s="739"/>
      <c r="AS120" s="739"/>
      <c r="AT120" s="739"/>
      <c r="AU120" s="739"/>
      <c r="AV120" s="739"/>
      <c r="AW120" s="739"/>
      <c r="AX120" s="739"/>
      <c r="AY120" s="739"/>
      <c r="AZ120" s="739"/>
      <c r="BA120" s="739"/>
      <c r="BB120" s="713"/>
      <c r="BC120" s="714"/>
      <c r="BD120" s="714"/>
      <c r="BE120" s="714"/>
      <c r="BF120" s="714"/>
      <c r="BG120" s="714"/>
      <c r="BH120" s="714"/>
      <c r="BI120" s="714"/>
      <c r="BJ120" s="714"/>
      <c r="BK120" s="714"/>
      <c r="BL120" s="714"/>
      <c r="BM120" s="714"/>
      <c r="BN120" s="714"/>
      <c r="BO120" s="714"/>
      <c r="BP120" s="715"/>
    </row>
    <row r="121" spans="2:114" ht="8.25" customHeight="1">
      <c r="U121" s="335" t="s">
        <v>484</v>
      </c>
      <c r="AP121" s="739"/>
      <c r="AQ121" s="739"/>
      <c r="AR121" s="739"/>
      <c r="AS121" s="739"/>
      <c r="AT121" s="739"/>
      <c r="AU121" s="739"/>
      <c r="AV121" s="739"/>
      <c r="AW121" s="739"/>
      <c r="AX121" s="739"/>
      <c r="AY121" s="739"/>
      <c r="AZ121" s="739"/>
      <c r="BA121" s="739"/>
      <c r="BB121" s="713"/>
      <c r="BC121" s="714"/>
      <c r="BD121" s="714"/>
      <c r="BE121" s="714"/>
      <c r="BF121" s="714"/>
      <c r="BG121" s="714"/>
      <c r="BH121" s="714"/>
      <c r="BI121" s="714"/>
      <c r="BJ121" s="714"/>
      <c r="BK121" s="714"/>
      <c r="BL121" s="714"/>
      <c r="BM121" s="714"/>
      <c r="BN121" s="714"/>
      <c r="BO121" s="714"/>
      <c r="BP121" s="715"/>
    </row>
    <row r="122" spans="2:114" ht="8.25" customHeight="1">
      <c r="BB122" s="716"/>
      <c r="BC122" s="717"/>
      <c r="BD122" s="717"/>
      <c r="BE122" s="717"/>
      <c r="BF122" s="717"/>
      <c r="BG122" s="717"/>
      <c r="BH122" s="717"/>
      <c r="BI122" s="717"/>
      <c r="BJ122" s="717"/>
      <c r="BK122" s="717"/>
      <c r="BL122" s="717"/>
      <c r="BM122" s="717"/>
      <c r="BN122" s="717"/>
      <c r="BO122" s="717"/>
      <c r="BP122" s="718"/>
    </row>
    <row r="124" spans="2:114" ht="8.25" customHeight="1">
      <c r="CZ124" s="335" t="s">
        <v>484</v>
      </c>
    </row>
    <row r="125" spans="2:114" ht="8.25" customHeight="1">
      <c r="B125" s="719" t="s">
        <v>545</v>
      </c>
      <c r="C125" s="719"/>
      <c r="D125" s="719"/>
      <c r="E125" s="719"/>
      <c r="F125" s="719"/>
      <c r="G125" s="719"/>
      <c r="H125" s="719"/>
      <c r="I125" s="719"/>
      <c r="J125" s="719"/>
      <c r="K125" s="719"/>
      <c r="L125" s="719"/>
      <c r="M125" s="719"/>
      <c r="N125" s="719"/>
      <c r="O125" s="719"/>
      <c r="P125" s="719"/>
      <c r="Q125" s="720"/>
      <c r="R125" s="721">
        <f>' S+R'!B29</f>
        <v>0</v>
      </c>
      <c r="S125" s="722"/>
      <c r="T125" s="722"/>
      <c r="U125" s="722"/>
      <c r="V125" s="722"/>
      <c r="W125" s="722"/>
      <c r="X125" s="722"/>
      <c r="Y125" s="722"/>
      <c r="Z125" s="723"/>
      <c r="AA125" s="724" t="s">
        <v>546</v>
      </c>
      <c r="AB125" s="724"/>
      <c r="AC125" s="724"/>
      <c r="AD125" s="724"/>
      <c r="AE125" s="724"/>
      <c r="AF125" s="724"/>
      <c r="AG125" s="724"/>
      <c r="AH125" s="724"/>
      <c r="AI125" s="724"/>
      <c r="AJ125" s="724"/>
      <c r="AK125" s="724"/>
      <c r="AL125" s="724"/>
      <c r="AM125" s="724"/>
      <c r="AN125" s="725" t="s">
        <v>547</v>
      </c>
      <c r="AO125" s="725"/>
      <c r="AP125" s="725"/>
      <c r="AQ125" s="725"/>
      <c r="AR125" s="725"/>
      <c r="AS125" s="725"/>
      <c r="AT125" s="725"/>
      <c r="AU125" s="725"/>
      <c r="AV125" s="725"/>
      <c r="AW125" s="725"/>
      <c r="AX125" s="725"/>
      <c r="AY125" s="725"/>
      <c r="AZ125" s="725"/>
      <c r="BA125" s="725"/>
      <c r="BB125" s="725"/>
      <c r="BC125" s="725"/>
      <c r="BD125" s="725"/>
      <c r="BE125" s="725"/>
      <c r="BF125" s="725"/>
      <c r="BG125" s="726"/>
      <c r="BH125" s="727">
        <f>' S+R'!F29</f>
        <v>0</v>
      </c>
      <c r="BI125" s="728"/>
      <c r="BJ125" s="728"/>
      <c r="BK125" s="728"/>
      <c r="BL125" s="728"/>
      <c r="BM125" s="728"/>
      <c r="BN125" s="728"/>
      <c r="BO125" s="729"/>
      <c r="BP125" s="736" t="s">
        <v>548</v>
      </c>
      <c r="BQ125" s="737"/>
      <c r="BR125" s="737"/>
      <c r="BS125" s="737"/>
      <c r="BT125" s="737"/>
      <c r="BU125" s="737"/>
      <c r="BV125" s="737"/>
      <c r="BW125" s="737"/>
      <c r="BX125" s="737"/>
      <c r="BY125" s="737"/>
      <c r="BZ125" s="737"/>
      <c r="CA125" s="737"/>
      <c r="CB125" s="737"/>
      <c r="CC125" s="737"/>
      <c r="CD125" s="737"/>
      <c r="CE125" s="737"/>
      <c r="CF125" s="737"/>
    </row>
    <row r="126" spans="2:114" ht="12.75" customHeight="1">
      <c r="B126" s="719"/>
      <c r="C126" s="719"/>
      <c r="D126" s="719"/>
      <c r="E126" s="719"/>
      <c r="F126" s="719"/>
      <c r="G126" s="719"/>
      <c r="H126" s="719"/>
      <c r="I126" s="719"/>
      <c r="J126" s="719"/>
      <c r="K126" s="719"/>
      <c r="L126" s="719"/>
      <c r="M126" s="719"/>
      <c r="N126" s="719"/>
      <c r="O126" s="719"/>
      <c r="P126" s="719"/>
      <c r="Q126" s="720"/>
      <c r="R126" s="713"/>
      <c r="S126" s="714"/>
      <c r="T126" s="714"/>
      <c r="U126" s="714"/>
      <c r="V126" s="714"/>
      <c r="W126" s="714"/>
      <c r="X126" s="714"/>
      <c r="Y126" s="714"/>
      <c r="Z126" s="715"/>
      <c r="AA126" s="724"/>
      <c r="AB126" s="724"/>
      <c r="AC126" s="724"/>
      <c r="AD126" s="724"/>
      <c r="AE126" s="724"/>
      <c r="AF126" s="724"/>
      <c r="AG126" s="724"/>
      <c r="AH126" s="724"/>
      <c r="AI126" s="724"/>
      <c r="AJ126" s="724"/>
      <c r="AK126" s="724"/>
      <c r="AL126" s="724"/>
      <c r="AM126" s="724"/>
      <c r="AN126" s="725"/>
      <c r="AO126" s="725"/>
      <c r="AP126" s="725"/>
      <c r="AQ126" s="725"/>
      <c r="AR126" s="725"/>
      <c r="AS126" s="725"/>
      <c r="AT126" s="725"/>
      <c r="AU126" s="725"/>
      <c r="AV126" s="725"/>
      <c r="AW126" s="725"/>
      <c r="AX126" s="725"/>
      <c r="AY126" s="725"/>
      <c r="AZ126" s="725"/>
      <c r="BA126" s="725"/>
      <c r="BB126" s="725"/>
      <c r="BC126" s="725"/>
      <c r="BD126" s="725"/>
      <c r="BE126" s="725"/>
      <c r="BF126" s="725"/>
      <c r="BG126" s="726"/>
      <c r="BH126" s="730"/>
      <c r="BI126" s="731"/>
      <c r="BJ126" s="731"/>
      <c r="BK126" s="731"/>
      <c r="BL126" s="731"/>
      <c r="BM126" s="731"/>
      <c r="BN126" s="731"/>
      <c r="BO126" s="732"/>
      <c r="BP126" s="736"/>
      <c r="BQ126" s="737"/>
      <c r="BR126" s="737"/>
      <c r="BS126" s="737"/>
      <c r="BT126" s="737"/>
      <c r="BU126" s="737"/>
      <c r="BV126" s="737"/>
      <c r="BW126" s="737"/>
      <c r="BX126" s="737"/>
      <c r="BY126" s="737"/>
      <c r="BZ126" s="737"/>
      <c r="CA126" s="737"/>
      <c r="CB126" s="737"/>
      <c r="CC126" s="737"/>
      <c r="CD126" s="737"/>
      <c r="CE126" s="737"/>
      <c r="CF126" s="737"/>
    </row>
    <row r="127" spans="2:114" ht="8.25" customHeight="1">
      <c r="B127" s="719"/>
      <c r="C127" s="719"/>
      <c r="D127" s="719"/>
      <c r="E127" s="719"/>
      <c r="F127" s="719"/>
      <c r="G127" s="719"/>
      <c r="H127" s="719"/>
      <c r="I127" s="719"/>
      <c r="J127" s="719"/>
      <c r="K127" s="719"/>
      <c r="L127" s="719"/>
      <c r="M127" s="719"/>
      <c r="N127" s="719"/>
      <c r="O127" s="719"/>
      <c r="P127" s="719"/>
      <c r="Q127" s="720"/>
      <c r="R127" s="716"/>
      <c r="S127" s="717"/>
      <c r="T127" s="717"/>
      <c r="U127" s="717"/>
      <c r="V127" s="717"/>
      <c r="W127" s="717"/>
      <c r="X127" s="717"/>
      <c r="Y127" s="717"/>
      <c r="Z127" s="718"/>
      <c r="AA127" s="724"/>
      <c r="AB127" s="724"/>
      <c r="AC127" s="724"/>
      <c r="AD127" s="724"/>
      <c r="AE127" s="724"/>
      <c r="AF127" s="724"/>
      <c r="AG127" s="724"/>
      <c r="AH127" s="724"/>
      <c r="AI127" s="724"/>
      <c r="AJ127" s="724"/>
      <c r="AK127" s="724"/>
      <c r="AL127" s="724"/>
      <c r="AM127" s="724"/>
      <c r="AN127" s="725"/>
      <c r="AO127" s="725"/>
      <c r="AP127" s="725"/>
      <c r="AQ127" s="725"/>
      <c r="AR127" s="725"/>
      <c r="AS127" s="725"/>
      <c r="AT127" s="725"/>
      <c r="AU127" s="725"/>
      <c r="AV127" s="725"/>
      <c r="AW127" s="725"/>
      <c r="AX127" s="725"/>
      <c r="AY127" s="725"/>
      <c r="AZ127" s="725"/>
      <c r="BA127" s="725"/>
      <c r="BB127" s="725"/>
      <c r="BC127" s="725"/>
      <c r="BD127" s="725"/>
      <c r="BE127" s="725"/>
      <c r="BF127" s="725"/>
      <c r="BG127" s="726"/>
      <c r="BH127" s="733"/>
      <c r="BI127" s="734"/>
      <c r="BJ127" s="734"/>
      <c r="BK127" s="734"/>
      <c r="BL127" s="734"/>
      <c r="BM127" s="734"/>
      <c r="BN127" s="734"/>
      <c r="BO127" s="735"/>
      <c r="BP127" s="736"/>
      <c r="BQ127" s="737"/>
      <c r="BR127" s="737"/>
      <c r="BS127" s="737"/>
      <c r="BT127" s="737"/>
      <c r="BU127" s="737"/>
      <c r="BV127" s="737"/>
      <c r="BW127" s="737"/>
      <c r="BX127" s="737"/>
      <c r="BY127" s="737"/>
      <c r="BZ127" s="737"/>
      <c r="CA127" s="737"/>
      <c r="CB127" s="737"/>
      <c r="CC127" s="737"/>
      <c r="CD127" s="737"/>
      <c r="CE127" s="737"/>
      <c r="CF127" s="737"/>
    </row>
    <row r="129" spans="3:85" ht="8.25" customHeight="1">
      <c r="E129" s="751" t="s">
        <v>549</v>
      </c>
      <c r="F129" s="751"/>
      <c r="G129" s="751"/>
      <c r="H129" s="751"/>
      <c r="I129" s="751"/>
      <c r="J129" s="751"/>
      <c r="K129" s="751"/>
      <c r="L129" s="751"/>
      <c r="M129" s="751"/>
      <c r="N129" s="751"/>
      <c r="O129" s="751"/>
      <c r="P129" s="751"/>
      <c r="Q129" s="751"/>
    </row>
    <row r="130" spans="3:85" ht="8.25" customHeight="1">
      <c r="E130" s="751"/>
      <c r="F130" s="751"/>
      <c r="G130" s="751"/>
      <c r="H130" s="751"/>
      <c r="I130" s="751"/>
      <c r="J130" s="751"/>
      <c r="K130" s="751"/>
      <c r="L130" s="751"/>
      <c r="M130" s="751"/>
      <c r="N130" s="751"/>
      <c r="O130" s="751"/>
      <c r="P130" s="751"/>
      <c r="Q130" s="751"/>
    </row>
    <row r="131" spans="3:85" ht="8.25" customHeight="1">
      <c r="E131" s="751"/>
      <c r="F131" s="751"/>
      <c r="G131" s="751"/>
      <c r="H131" s="751"/>
      <c r="I131" s="751"/>
      <c r="J131" s="751"/>
      <c r="K131" s="751"/>
      <c r="L131" s="751"/>
      <c r="M131" s="751"/>
      <c r="N131" s="751"/>
      <c r="O131" s="751"/>
      <c r="P131" s="751"/>
      <c r="Q131" s="751"/>
    </row>
    <row r="132" spans="3:85" ht="11.25" customHeight="1">
      <c r="C132" s="698" t="s">
        <v>550</v>
      </c>
      <c r="D132" s="699"/>
      <c r="E132" s="699"/>
      <c r="F132" s="699"/>
      <c r="G132" s="699"/>
      <c r="H132" s="699"/>
      <c r="I132" s="699"/>
      <c r="J132" s="699"/>
      <c r="K132" s="699"/>
      <c r="L132" s="699"/>
      <c r="M132" s="699"/>
      <c r="N132" s="699"/>
      <c r="O132" s="699"/>
      <c r="P132" s="699"/>
      <c r="Q132" s="699"/>
      <c r="R132" s="699"/>
      <c r="S132" s="699"/>
      <c r="T132" s="699"/>
      <c r="U132" s="699"/>
      <c r="V132" s="699"/>
      <c r="W132" s="699"/>
      <c r="X132" s="699"/>
      <c r="Y132" s="699"/>
      <c r="Z132" s="699"/>
      <c r="AA132" s="699"/>
      <c r="AB132" s="699"/>
      <c r="AC132" s="699"/>
      <c r="AD132" s="699"/>
      <c r="AE132" s="699"/>
      <c r="AF132" s="699"/>
      <c r="AG132" s="699"/>
      <c r="AH132" s="699"/>
      <c r="AI132" s="699"/>
      <c r="AJ132" s="699"/>
      <c r="AK132" s="699"/>
      <c r="AL132" s="699"/>
      <c r="AM132" s="699"/>
      <c r="AN132" s="699"/>
      <c r="AO132" s="699"/>
      <c r="AP132" s="699"/>
      <c r="AQ132" s="699"/>
      <c r="AR132" s="699"/>
      <c r="AS132" s="699"/>
      <c r="AT132" s="699"/>
      <c r="AU132" s="699"/>
      <c r="AV132" s="699"/>
      <c r="AW132" s="699"/>
      <c r="AX132" s="699"/>
      <c r="AY132" s="699"/>
      <c r="AZ132" s="699"/>
      <c r="BA132" s="699"/>
      <c r="BB132" s="699"/>
      <c r="BC132" s="699"/>
      <c r="BD132" s="699"/>
      <c r="BE132" s="699"/>
      <c r="BF132" s="699"/>
      <c r="BG132" s="699"/>
      <c r="BH132" s="699"/>
      <c r="BI132" s="699"/>
      <c r="BJ132" s="699"/>
      <c r="BK132" s="699"/>
      <c r="BL132" s="699"/>
      <c r="BM132" s="699"/>
      <c r="BN132" s="699"/>
      <c r="BO132" s="699"/>
      <c r="BP132" s="699"/>
      <c r="BQ132" s="699"/>
      <c r="BR132" s="699"/>
      <c r="BS132" s="699"/>
      <c r="BT132" s="699"/>
      <c r="BU132" s="699"/>
      <c r="BV132" s="699"/>
      <c r="BW132" s="699"/>
      <c r="BX132" s="699"/>
      <c r="BY132" s="699"/>
      <c r="BZ132" s="699"/>
      <c r="CA132" s="699"/>
      <c r="CB132" s="699"/>
      <c r="CC132" s="699"/>
      <c r="CD132" s="699"/>
      <c r="CE132" s="699"/>
      <c r="CF132" s="699"/>
      <c r="CG132" s="700"/>
    </row>
    <row r="133" spans="3:85" ht="11.25" customHeight="1">
      <c r="C133" s="701"/>
      <c r="D133" s="702"/>
      <c r="E133" s="702"/>
      <c r="F133" s="702"/>
      <c r="G133" s="702"/>
      <c r="H133" s="702"/>
      <c r="I133" s="702"/>
      <c r="J133" s="702"/>
      <c r="K133" s="702"/>
      <c r="L133" s="702"/>
      <c r="M133" s="702"/>
      <c r="N133" s="702"/>
      <c r="O133" s="702"/>
      <c r="P133" s="702"/>
      <c r="Q133" s="702"/>
      <c r="R133" s="702"/>
      <c r="S133" s="702"/>
      <c r="T133" s="702"/>
      <c r="U133" s="702"/>
      <c r="V133" s="702"/>
      <c r="W133" s="702"/>
      <c r="X133" s="702"/>
      <c r="Y133" s="702"/>
      <c r="Z133" s="702"/>
      <c r="AA133" s="702"/>
      <c r="AB133" s="702"/>
      <c r="AC133" s="702"/>
      <c r="AD133" s="702"/>
      <c r="AE133" s="702"/>
      <c r="AF133" s="702"/>
      <c r="AG133" s="702"/>
      <c r="AH133" s="702"/>
      <c r="AI133" s="702"/>
      <c r="AJ133" s="702"/>
      <c r="AK133" s="702"/>
      <c r="AL133" s="702"/>
      <c r="AM133" s="702"/>
      <c r="AN133" s="702"/>
      <c r="AO133" s="702"/>
      <c r="AP133" s="702"/>
      <c r="AQ133" s="702"/>
      <c r="AR133" s="702"/>
      <c r="AS133" s="702"/>
      <c r="AT133" s="702"/>
      <c r="AU133" s="702"/>
      <c r="AV133" s="702"/>
      <c r="AW133" s="702"/>
      <c r="AX133" s="702"/>
      <c r="AY133" s="702"/>
      <c r="AZ133" s="702"/>
      <c r="BA133" s="702"/>
      <c r="BB133" s="702"/>
      <c r="BC133" s="702"/>
      <c r="BD133" s="702"/>
      <c r="BE133" s="702"/>
      <c r="BF133" s="702"/>
      <c r="BG133" s="702"/>
      <c r="BH133" s="702"/>
      <c r="BI133" s="702"/>
      <c r="BJ133" s="702"/>
      <c r="BK133" s="702"/>
      <c r="BL133" s="702"/>
      <c r="BM133" s="702"/>
      <c r="BN133" s="702"/>
      <c r="BO133" s="702"/>
      <c r="BP133" s="702"/>
      <c r="BQ133" s="702"/>
      <c r="BR133" s="702"/>
      <c r="BS133" s="702"/>
      <c r="BT133" s="702"/>
      <c r="BU133" s="702"/>
      <c r="BV133" s="702"/>
      <c r="BW133" s="702"/>
      <c r="BX133" s="702"/>
      <c r="BY133" s="702"/>
      <c r="BZ133" s="702"/>
      <c r="CA133" s="702"/>
      <c r="CB133" s="702"/>
      <c r="CC133" s="702"/>
      <c r="CD133" s="702"/>
      <c r="CE133" s="702"/>
      <c r="CF133" s="702"/>
      <c r="CG133" s="703"/>
    </row>
    <row r="134" spans="3:85" ht="11.25" customHeight="1">
      <c r="C134" s="704"/>
      <c r="D134" s="705"/>
      <c r="E134" s="705"/>
      <c r="F134" s="705"/>
      <c r="G134" s="705"/>
      <c r="H134" s="705"/>
      <c r="I134" s="705"/>
      <c r="J134" s="705"/>
      <c r="K134" s="705"/>
      <c r="L134" s="705"/>
      <c r="M134" s="705"/>
      <c r="N134" s="705"/>
      <c r="O134" s="705"/>
      <c r="P134" s="705"/>
      <c r="Q134" s="705"/>
      <c r="R134" s="705"/>
      <c r="S134" s="705"/>
      <c r="T134" s="705"/>
      <c r="U134" s="705"/>
      <c r="V134" s="705"/>
      <c r="W134" s="705"/>
      <c r="X134" s="705"/>
      <c r="Y134" s="705"/>
      <c r="Z134" s="705"/>
      <c r="AA134" s="705"/>
      <c r="AB134" s="705"/>
      <c r="AC134" s="705"/>
      <c r="AD134" s="705"/>
      <c r="AE134" s="705"/>
      <c r="AF134" s="705"/>
      <c r="AG134" s="705"/>
      <c r="AH134" s="705"/>
      <c r="AI134" s="705"/>
      <c r="AJ134" s="705"/>
      <c r="AK134" s="705"/>
      <c r="AL134" s="705"/>
      <c r="AM134" s="705"/>
      <c r="AN134" s="705"/>
      <c r="AO134" s="705"/>
      <c r="AP134" s="705"/>
      <c r="AQ134" s="705"/>
      <c r="AR134" s="705"/>
      <c r="AS134" s="705"/>
      <c r="AT134" s="705"/>
      <c r="AU134" s="705"/>
      <c r="AV134" s="705"/>
      <c r="AW134" s="705"/>
      <c r="AX134" s="705"/>
      <c r="AY134" s="705"/>
      <c r="AZ134" s="705"/>
      <c r="BA134" s="705"/>
      <c r="BB134" s="705"/>
      <c r="BC134" s="705"/>
      <c r="BD134" s="705"/>
      <c r="BE134" s="705"/>
      <c r="BF134" s="705"/>
      <c r="BG134" s="705"/>
      <c r="BH134" s="705"/>
      <c r="BI134" s="705"/>
      <c r="BJ134" s="705"/>
      <c r="BK134" s="705"/>
      <c r="BL134" s="705"/>
      <c r="BM134" s="705"/>
      <c r="BN134" s="705"/>
      <c r="BO134" s="705"/>
      <c r="BP134" s="705"/>
      <c r="BQ134" s="705"/>
      <c r="BR134" s="705"/>
      <c r="BS134" s="705"/>
      <c r="BT134" s="705"/>
      <c r="BU134" s="705"/>
      <c r="BV134" s="705"/>
      <c r="BW134" s="705"/>
      <c r="BX134" s="705"/>
      <c r="BY134" s="705"/>
      <c r="BZ134" s="705"/>
      <c r="CA134" s="705"/>
      <c r="CB134" s="705"/>
      <c r="CC134" s="705"/>
      <c r="CD134" s="705"/>
      <c r="CE134" s="705"/>
      <c r="CF134" s="705"/>
      <c r="CG134" s="706"/>
    </row>
    <row r="135" spans="3:85" ht="11.25" customHeight="1">
      <c r="C135" s="698" t="s">
        <v>484</v>
      </c>
      <c r="D135" s="699"/>
      <c r="E135" s="699"/>
      <c r="F135" s="699"/>
      <c r="G135" s="699"/>
      <c r="H135" s="699"/>
      <c r="I135" s="699"/>
      <c r="J135" s="699"/>
      <c r="K135" s="699"/>
      <c r="L135" s="699"/>
      <c r="M135" s="699"/>
      <c r="N135" s="699"/>
      <c r="O135" s="699"/>
      <c r="P135" s="699"/>
      <c r="Q135" s="699"/>
      <c r="R135" s="699"/>
      <c r="S135" s="699"/>
      <c r="T135" s="699"/>
      <c r="U135" s="699"/>
      <c r="V135" s="699"/>
      <c r="W135" s="699"/>
      <c r="X135" s="699"/>
      <c r="Y135" s="699"/>
      <c r="Z135" s="699"/>
      <c r="AA135" s="699"/>
      <c r="AB135" s="699"/>
      <c r="AC135" s="699"/>
      <c r="AD135" s="699"/>
      <c r="AE135" s="699"/>
      <c r="AF135" s="699"/>
      <c r="AG135" s="699"/>
      <c r="AH135" s="699"/>
      <c r="AI135" s="699"/>
      <c r="AJ135" s="699"/>
      <c r="AK135" s="699"/>
      <c r="AL135" s="699"/>
      <c r="AM135" s="699"/>
      <c r="AN135" s="699"/>
      <c r="AO135" s="699"/>
      <c r="AP135" s="699"/>
      <c r="AQ135" s="699"/>
      <c r="AR135" s="699"/>
      <c r="AS135" s="699"/>
      <c r="AT135" s="699"/>
      <c r="AU135" s="699"/>
      <c r="AV135" s="699"/>
      <c r="AW135" s="699"/>
      <c r="AX135" s="699"/>
      <c r="AY135" s="699"/>
      <c r="AZ135" s="699"/>
      <c r="BA135" s="699"/>
      <c r="BB135" s="699"/>
      <c r="BC135" s="699"/>
      <c r="BD135" s="699"/>
      <c r="BE135" s="699"/>
      <c r="BF135" s="699"/>
      <c r="BG135" s="699"/>
      <c r="BH135" s="699"/>
      <c r="BI135" s="699"/>
      <c r="BJ135" s="699"/>
      <c r="BK135" s="699"/>
      <c r="BL135" s="699"/>
      <c r="BM135" s="699"/>
      <c r="BN135" s="699"/>
      <c r="BO135" s="699"/>
      <c r="BP135" s="699"/>
      <c r="BQ135" s="699"/>
      <c r="BR135" s="699"/>
      <c r="BS135" s="699"/>
      <c r="BT135" s="699"/>
      <c r="BU135" s="699"/>
      <c r="BV135" s="699"/>
      <c r="BW135" s="699"/>
      <c r="BX135" s="699"/>
      <c r="BY135" s="699"/>
      <c r="BZ135" s="699"/>
      <c r="CA135" s="699"/>
      <c r="CB135" s="699"/>
      <c r="CC135" s="699"/>
      <c r="CD135" s="699"/>
      <c r="CE135" s="699"/>
      <c r="CF135" s="699"/>
      <c r="CG135" s="700"/>
    </row>
    <row r="136" spans="3:85" ht="11.25" customHeight="1">
      <c r="C136" s="701"/>
      <c r="D136" s="702"/>
      <c r="E136" s="702"/>
      <c r="F136" s="702"/>
      <c r="G136" s="702"/>
      <c r="H136" s="702"/>
      <c r="I136" s="702"/>
      <c r="J136" s="702"/>
      <c r="K136" s="702"/>
      <c r="L136" s="702"/>
      <c r="M136" s="702"/>
      <c r="N136" s="702"/>
      <c r="O136" s="702"/>
      <c r="P136" s="702"/>
      <c r="Q136" s="702"/>
      <c r="R136" s="702"/>
      <c r="S136" s="702"/>
      <c r="T136" s="702"/>
      <c r="U136" s="702"/>
      <c r="V136" s="702"/>
      <c r="W136" s="702"/>
      <c r="X136" s="702"/>
      <c r="Y136" s="702"/>
      <c r="Z136" s="702"/>
      <c r="AA136" s="702"/>
      <c r="AB136" s="702"/>
      <c r="AC136" s="702"/>
      <c r="AD136" s="702"/>
      <c r="AE136" s="702"/>
      <c r="AF136" s="702"/>
      <c r="AG136" s="702"/>
      <c r="AH136" s="702"/>
      <c r="AI136" s="702"/>
      <c r="AJ136" s="702"/>
      <c r="AK136" s="702"/>
      <c r="AL136" s="702"/>
      <c r="AM136" s="702"/>
      <c r="AN136" s="702"/>
      <c r="AO136" s="702"/>
      <c r="AP136" s="702"/>
      <c r="AQ136" s="702"/>
      <c r="AR136" s="702"/>
      <c r="AS136" s="702"/>
      <c r="AT136" s="702"/>
      <c r="AU136" s="702"/>
      <c r="AV136" s="702"/>
      <c r="AW136" s="702"/>
      <c r="AX136" s="702"/>
      <c r="AY136" s="702"/>
      <c r="AZ136" s="702"/>
      <c r="BA136" s="702"/>
      <c r="BB136" s="702"/>
      <c r="BC136" s="702"/>
      <c r="BD136" s="702"/>
      <c r="BE136" s="702"/>
      <c r="BF136" s="702"/>
      <c r="BG136" s="702"/>
      <c r="BH136" s="702"/>
      <c r="BI136" s="702"/>
      <c r="BJ136" s="702"/>
      <c r="BK136" s="702"/>
      <c r="BL136" s="702"/>
      <c r="BM136" s="702"/>
      <c r="BN136" s="702"/>
      <c r="BO136" s="702"/>
      <c r="BP136" s="702"/>
      <c r="BQ136" s="702"/>
      <c r="BR136" s="702"/>
      <c r="BS136" s="702"/>
      <c r="BT136" s="702"/>
      <c r="BU136" s="702"/>
      <c r="BV136" s="702"/>
      <c r="BW136" s="702"/>
      <c r="BX136" s="702"/>
      <c r="BY136" s="702"/>
      <c r="BZ136" s="702"/>
      <c r="CA136" s="702"/>
      <c r="CB136" s="702"/>
      <c r="CC136" s="702"/>
      <c r="CD136" s="702"/>
      <c r="CE136" s="702"/>
      <c r="CF136" s="702"/>
      <c r="CG136" s="703"/>
    </row>
    <row r="137" spans="3:85" ht="11.25" customHeight="1">
      <c r="C137" s="704"/>
      <c r="D137" s="705"/>
      <c r="E137" s="705"/>
      <c r="F137" s="705"/>
      <c r="G137" s="705"/>
      <c r="H137" s="705"/>
      <c r="I137" s="705"/>
      <c r="J137" s="705"/>
      <c r="K137" s="705"/>
      <c r="L137" s="705"/>
      <c r="M137" s="705"/>
      <c r="N137" s="705"/>
      <c r="O137" s="705"/>
      <c r="P137" s="705"/>
      <c r="Q137" s="705"/>
      <c r="R137" s="705"/>
      <c r="S137" s="705"/>
      <c r="T137" s="705"/>
      <c r="U137" s="705"/>
      <c r="V137" s="705"/>
      <c r="W137" s="705"/>
      <c r="X137" s="705"/>
      <c r="Y137" s="705"/>
      <c r="Z137" s="705"/>
      <c r="AA137" s="705"/>
      <c r="AB137" s="705"/>
      <c r="AC137" s="705"/>
      <c r="AD137" s="705"/>
      <c r="AE137" s="705"/>
      <c r="AF137" s="705"/>
      <c r="AG137" s="705"/>
      <c r="AH137" s="705"/>
      <c r="AI137" s="705"/>
      <c r="AJ137" s="705"/>
      <c r="AK137" s="705"/>
      <c r="AL137" s="705"/>
      <c r="AM137" s="705"/>
      <c r="AN137" s="705"/>
      <c r="AO137" s="705"/>
      <c r="AP137" s="705"/>
      <c r="AQ137" s="705"/>
      <c r="AR137" s="705"/>
      <c r="AS137" s="705"/>
      <c r="AT137" s="705"/>
      <c r="AU137" s="705"/>
      <c r="AV137" s="705"/>
      <c r="AW137" s="705"/>
      <c r="AX137" s="705"/>
      <c r="AY137" s="705"/>
      <c r="AZ137" s="705"/>
      <c r="BA137" s="705"/>
      <c r="BB137" s="705"/>
      <c r="BC137" s="705"/>
      <c r="BD137" s="705"/>
      <c r="BE137" s="705"/>
      <c r="BF137" s="705"/>
      <c r="BG137" s="705"/>
      <c r="BH137" s="705"/>
      <c r="BI137" s="705"/>
      <c r="BJ137" s="705"/>
      <c r="BK137" s="705"/>
      <c r="BL137" s="705"/>
      <c r="BM137" s="705"/>
      <c r="BN137" s="705"/>
      <c r="BO137" s="705"/>
      <c r="BP137" s="705"/>
      <c r="BQ137" s="705"/>
      <c r="BR137" s="705"/>
      <c r="BS137" s="705"/>
      <c r="BT137" s="705"/>
      <c r="BU137" s="705"/>
      <c r="BV137" s="705"/>
      <c r="BW137" s="705"/>
      <c r="BX137" s="705"/>
      <c r="BY137" s="705"/>
      <c r="BZ137" s="705"/>
      <c r="CA137" s="705"/>
      <c r="CB137" s="705"/>
      <c r="CC137" s="705"/>
      <c r="CD137" s="705"/>
      <c r="CE137" s="705"/>
      <c r="CF137" s="705"/>
      <c r="CG137" s="706"/>
    </row>
    <row r="138" spans="3:85" ht="11.25" customHeight="1">
      <c r="C138" s="698" t="s">
        <v>484</v>
      </c>
      <c r="D138" s="699"/>
      <c r="E138" s="699"/>
      <c r="F138" s="699"/>
      <c r="G138" s="699"/>
      <c r="H138" s="699"/>
      <c r="I138" s="699"/>
      <c r="J138" s="699"/>
      <c r="K138" s="699"/>
      <c r="L138" s="699"/>
      <c r="M138" s="699"/>
      <c r="N138" s="699"/>
      <c r="O138" s="699"/>
      <c r="P138" s="699"/>
      <c r="Q138" s="699"/>
      <c r="R138" s="699"/>
      <c r="S138" s="699"/>
      <c r="T138" s="699"/>
      <c r="U138" s="699"/>
      <c r="V138" s="699"/>
      <c r="W138" s="699"/>
      <c r="X138" s="699"/>
      <c r="Y138" s="699"/>
      <c r="Z138" s="699"/>
      <c r="AA138" s="699"/>
      <c r="AB138" s="699"/>
      <c r="AC138" s="699"/>
      <c r="AD138" s="699"/>
      <c r="AE138" s="699"/>
      <c r="AF138" s="699"/>
      <c r="AG138" s="699"/>
      <c r="AH138" s="699"/>
      <c r="AI138" s="699"/>
      <c r="AJ138" s="699"/>
      <c r="AK138" s="699"/>
      <c r="AL138" s="699"/>
      <c r="AM138" s="699"/>
      <c r="AN138" s="699"/>
      <c r="AO138" s="699"/>
      <c r="AP138" s="699"/>
      <c r="AQ138" s="699"/>
      <c r="AR138" s="699"/>
      <c r="AS138" s="699"/>
      <c r="AT138" s="699"/>
      <c r="AU138" s="699"/>
      <c r="AV138" s="699"/>
      <c r="AW138" s="699"/>
      <c r="AX138" s="699"/>
      <c r="AY138" s="699"/>
      <c r="AZ138" s="699"/>
      <c r="BA138" s="699"/>
      <c r="BB138" s="699"/>
      <c r="BC138" s="699"/>
      <c r="BD138" s="699"/>
      <c r="BE138" s="699"/>
      <c r="BF138" s="699"/>
      <c r="BG138" s="699"/>
      <c r="BH138" s="699"/>
      <c r="BI138" s="699"/>
      <c r="BJ138" s="699"/>
      <c r="BK138" s="699"/>
      <c r="BL138" s="699"/>
      <c r="BM138" s="699"/>
      <c r="BN138" s="699"/>
      <c r="BO138" s="699"/>
      <c r="BP138" s="699"/>
      <c r="BQ138" s="699"/>
      <c r="BR138" s="699"/>
      <c r="BS138" s="699"/>
      <c r="BT138" s="699"/>
      <c r="BU138" s="699"/>
      <c r="BV138" s="699"/>
      <c r="BW138" s="699"/>
      <c r="BX138" s="699"/>
      <c r="BY138" s="699"/>
      <c r="BZ138" s="699"/>
      <c r="CA138" s="699"/>
      <c r="CB138" s="699"/>
      <c r="CC138" s="699"/>
      <c r="CD138" s="699"/>
      <c r="CE138" s="699"/>
      <c r="CF138" s="699"/>
      <c r="CG138" s="700"/>
    </row>
    <row r="139" spans="3:85" ht="11.25" customHeight="1">
      <c r="C139" s="701"/>
      <c r="D139" s="702"/>
      <c r="E139" s="702"/>
      <c r="F139" s="702"/>
      <c r="G139" s="702"/>
      <c r="H139" s="702"/>
      <c r="I139" s="702"/>
      <c r="J139" s="702"/>
      <c r="K139" s="702"/>
      <c r="L139" s="702"/>
      <c r="M139" s="702"/>
      <c r="N139" s="702"/>
      <c r="O139" s="702"/>
      <c r="P139" s="702"/>
      <c r="Q139" s="702"/>
      <c r="R139" s="702"/>
      <c r="S139" s="702"/>
      <c r="T139" s="702"/>
      <c r="U139" s="702"/>
      <c r="V139" s="702"/>
      <c r="W139" s="702"/>
      <c r="X139" s="702"/>
      <c r="Y139" s="702"/>
      <c r="Z139" s="702"/>
      <c r="AA139" s="702"/>
      <c r="AB139" s="702"/>
      <c r="AC139" s="702"/>
      <c r="AD139" s="702"/>
      <c r="AE139" s="702"/>
      <c r="AF139" s="702"/>
      <c r="AG139" s="702"/>
      <c r="AH139" s="702"/>
      <c r="AI139" s="702"/>
      <c r="AJ139" s="702"/>
      <c r="AK139" s="702"/>
      <c r="AL139" s="702"/>
      <c r="AM139" s="702"/>
      <c r="AN139" s="702"/>
      <c r="AO139" s="702"/>
      <c r="AP139" s="702"/>
      <c r="AQ139" s="702"/>
      <c r="AR139" s="702"/>
      <c r="AS139" s="702"/>
      <c r="AT139" s="702"/>
      <c r="AU139" s="702"/>
      <c r="AV139" s="702"/>
      <c r="AW139" s="702"/>
      <c r="AX139" s="702"/>
      <c r="AY139" s="702"/>
      <c r="AZ139" s="702"/>
      <c r="BA139" s="702"/>
      <c r="BB139" s="702"/>
      <c r="BC139" s="702"/>
      <c r="BD139" s="702"/>
      <c r="BE139" s="702"/>
      <c r="BF139" s="702"/>
      <c r="BG139" s="702"/>
      <c r="BH139" s="702"/>
      <c r="BI139" s="702"/>
      <c r="BJ139" s="702"/>
      <c r="BK139" s="702"/>
      <c r="BL139" s="702"/>
      <c r="BM139" s="702"/>
      <c r="BN139" s="702"/>
      <c r="BO139" s="702"/>
      <c r="BP139" s="702"/>
      <c r="BQ139" s="702"/>
      <c r="BR139" s="702"/>
      <c r="BS139" s="702"/>
      <c r="BT139" s="702"/>
      <c r="BU139" s="702"/>
      <c r="BV139" s="702"/>
      <c r="BW139" s="702"/>
      <c r="BX139" s="702"/>
      <c r="BY139" s="702"/>
      <c r="BZ139" s="702"/>
      <c r="CA139" s="702"/>
      <c r="CB139" s="702"/>
      <c r="CC139" s="702"/>
      <c r="CD139" s="702"/>
      <c r="CE139" s="702"/>
      <c r="CF139" s="702"/>
      <c r="CG139" s="703"/>
    </row>
    <row r="140" spans="3:85" ht="11.25" customHeight="1">
      <c r="C140" s="704"/>
      <c r="D140" s="705"/>
      <c r="E140" s="705"/>
      <c r="F140" s="705"/>
      <c r="G140" s="705"/>
      <c r="H140" s="705"/>
      <c r="I140" s="705"/>
      <c r="J140" s="705"/>
      <c r="K140" s="705"/>
      <c r="L140" s="705"/>
      <c r="M140" s="705"/>
      <c r="N140" s="705"/>
      <c r="O140" s="705"/>
      <c r="P140" s="705"/>
      <c r="Q140" s="705"/>
      <c r="R140" s="705"/>
      <c r="S140" s="705"/>
      <c r="T140" s="705"/>
      <c r="U140" s="705"/>
      <c r="V140" s="705"/>
      <c r="W140" s="705"/>
      <c r="X140" s="705"/>
      <c r="Y140" s="705"/>
      <c r="Z140" s="705"/>
      <c r="AA140" s="705"/>
      <c r="AB140" s="705"/>
      <c r="AC140" s="705"/>
      <c r="AD140" s="705"/>
      <c r="AE140" s="705"/>
      <c r="AF140" s="705"/>
      <c r="AG140" s="705"/>
      <c r="AH140" s="705"/>
      <c r="AI140" s="705"/>
      <c r="AJ140" s="705"/>
      <c r="AK140" s="705"/>
      <c r="AL140" s="705"/>
      <c r="AM140" s="705"/>
      <c r="AN140" s="705"/>
      <c r="AO140" s="705"/>
      <c r="AP140" s="705"/>
      <c r="AQ140" s="705"/>
      <c r="AR140" s="705"/>
      <c r="AS140" s="705"/>
      <c r="AT140" s="705"/>
      <c r="AU140" s="705"/>
      <c r="AV140" s="705"/>
      <c r="AW140" s="705"/>
      <c r="AX140" s="705"/>
      <c r="AY140" s="705"/>
      <c r="AZ140" s="705"/>
      <c r="BA140" s="705"/>
      <c r="BB140" s="705"/>
      <c r="BC140" s="705"/>
      <c r="BD140" s="705"/>
      <c r="BE140" s="705"/>
      <c r="BF140" s="705"/>
      <c r="BG140" s="705"/>
      <c r="BH140" s="705"/>
      <c r="BI140" s="705"/>
      <c r="BJ140" s="705"/>
      <c r="BK140" s="705"/>
      <c r="BL140" s="705"/>
      <c r="BM140" s="705"/>
      <c r="BN140" s="705"/>
      <c r="BO140" s="705"/>
      <c r="BP140" s="705"/>
      <c r="BQ140" s="705"/>
      <c r="BR140" s="705"/>
      <c r="BS140" s="705"/>
      <c r="BT140" s="705"/>
      <c r="BU140" s="705"/>
      <c r="BV140" s="705"/>
      <c r="BW140" s="705"/>
      <c r="BX140" s="705"/>
      <c r="BY140" s="705"/>
      <c r="BZ140" s="705"/>
      <c r="CA140" s="705"/>
      <c r="CB140" s="705"/>
      <c r="CC140" s="705"/>
      <c r="CD140" s="705"/>
      <c r="CE140" s="705"/>
      <c r="CF140" s="705"/>
      <c r="CG140" s="706"/>
    </row>
    <row r="141" spans="3:85" ht="11.25" customHeight="1">
      <c r="C141" s="698" t="s">
        <v>484</v>
      </c>
      <c r="D141" s="699"/>
      <c r="E141" s="699"/>
      <c r="F141" s="699"/>
      <c r="G141" s="699"/>
      <c r="H141" s="699"/>
      <c r="I141" s="699"/>
      <c r="J141" s="699"/>
      <c r="K141" s="699"/>
      <c r="L141" s="699"/>
      <c r="M141" s="699"/>
      <c r="N141" s="699"/>
      <c r="O141" s="699"/>
      <c r="P141" s="699"/>
      <c r="Q141" s="699"/>
      <c r="R141" s="699"/>
      <c r="S141" s="699"/>
      <c r="T141" s="699"/>
      <c r="U141" s="699"/>
      <c r="V141" s="699"/>
      <c r="W141" s="699"/>
      <c r="X141" s="699"/>
      <c r="Y141" s="699"/>
      <c r="Z141" s="699"/>
      <c r="AA141" s="699"/>
      <c r="AB141" s="699"/>
      <c r="AC141" s="699"/>
      <c r="AD141" s="699"/>
      <c r="AE141" s="699"/>
      <c r="AF141" s="699"/>
      <c r="AG141" s="699"/>
      <c r="AH141" s="699"/>
      <c r="AI141" s="699"/>
      <c r="AJ141" s="699"/>
      <c r="AK141" s="699"/>
      <c r="AL141" s="699"/>
      <c r="AM141" s="699"/>
      <c r="AN141" s="699"/>
      <c r="AO141" s="699"/>
      <c r="AP141" s="699"/>
      <c r="AQ141" s="699"/>
      <c r="AR141" s="699"/>
      <c r="AS141" s="699"/>
      <c r="AT141" s="699"/>
      <c r="AU141" s="699"/>
      <c r="AV141" s="699"/>
      <c r="AW141" s="699"/>
      <c r="AX141" s="699"/>
      <c r="AY141" s="699"/>
      <c r="AZ141" s="699"/>
      <c r="BA141" s="699"/>
      <c r="BB141" s="699"/>
      <c r="BC141" s="699"/>
      <c r="BD141" s="699"/>
      <c r="BE141" s="699"/>
      <c r="BF141" s="699"/>
      <c r="BG141" s="699"/>
      <c r="BH141" s="699"/>
      <c r="BI141" s="699"/>
      <c r="BJ141" s="699"/>
      <c r="BK141" s="699"/>
      <c r="BL141" s="699"/>
      <c r="BM141" s="699"/>
      <c r="BN141" s="699"/>
      <c r="BO141" s="699"/>
      <c r="BP141" s="699"/>
      <c r="BQ141" s="699"/>
      <c r="BR141" s="699"/>
      <c r="BS141" s="699"/>
      <c r="BT141" s="699"/>
      <c r="BU141" s="699"/>
      <c r="BV141" s="699"/>
      <c r="BW141" s="699"/>
      <c r="BX141" s="699"/>
      <c r="BY141" s="699"/>
      <c r="BZ141" s="699"/>
      <c r="CA141" s="699"/>
      <c r="CB141" s="699"/>
      <c r="CC141" s="699"/>
      <c r="CD141" s="699"/>
      <c r="CE141" s="699"/>
      <c r="CF141" s="699"/>
      <c r="CG141" s="700"/>
    </row>
    <row r="142" spans="3:85" ht="11.25" customHeight="1">
      <c r="C142" s="701"/>
      <c r="D142" s="702"/>
      <c r="E142" s="702"/>
      <c r="F142" s="702"/>
      <c r="G142" s="702"/>
      <c r="H142" s="702"/>
      <c r="I142" s="702"/>
      <c r="J142" s="702"/>
      <c r="K142" s="702"/>
      <c r="L142" s="702"/>
      <c r="M142" s="702"/>
      <c r="N142" s="702"/>
      <c r="O142" s="702"/>
      <c r="P142" s="702"/>
      <c r="Q142" s="702"/>
      <c r="R142" s="702"/>
      <c r="S142" s="702"/>
      <c r="T142" s="702"/>
      <c r="U142" s="702"/>
      <c r="V142" s="702"/>
      <c r="W142" s="702"/>
      <c r="X142" s="702"/>
      <c r="Y142" s="702"/>
      <c r="Z142" s="702"/>
      <c r="AA142" s="702"/>
      <c r="AB142" s="702"/>
      <c r="AC142" s="702"/>
      <c r="AD142" s="702"/>
      <c r="AE142" s="702"/>
      <c r="AF142" s="702"/>
      <c r="AG142" s="702"/>
      <c r="AH142" s="702"/>
      <c r="AI142" s="702"/>
      <c r="AJ142" s="702"/>
      <c r="AK142" s="702"/>
      <c r="AL142" s="702"/>
      <c r="AM142" s="702"/>
      <c r="AN142" s="702"/>
      <c r="AO142" s="702"/>
      <c r="AP142" s="702"/>
      <c r="AQ142" s="702"/>
      <c r="AR142" s="702"/>
      <c r="AS142" s="702"/>
      <c r="AT142" s="702"/>
      <c r="AU142" s="702"/>
      <c r="AV142" s="702"/>
      <c r="AW142" s="702"/>
      <c r="AX142" s="702"/>
      <c r="AY142" s="702"/>
      <c r="AZ142" s="702"/>
      <c r="BA142" s="702"/>
      <c r="BB142" s="702"/>
      <c r="BC142" s="702"/>
      <c r="BD142" s="702"/>
      <c r="BE142" s="702"/>
      <c r="BF142" s="702"/>
      <c r="BG142" s="702"/>
      <c r="BH142" s="702"/>
      <c r="BI142" s="702"/>
      <c r="BJ142" s="702"/>
      <c r="BK142" s="702"/>
      <c r="BL142" s="702"/>
      <c r="BM142" s="702"/>
      <c r="BN142" s="702"/>
      <c r="BO142" s="702"/>
      <c r="BP142" s="702"/>
      <c r="BQ142" s="702"/>
      <c r="BR142" s="702"/>
      <c r="BS142" s="702"/>
      <c r="BT142" s="702"/>
      <c r="BU142" s="702"/>
      <c r="BV142" s="702"/>
      <c r="BW142" s="702"/>
      <c r="BX142" s="702"/>
      <c r="BY142" s="702"/>
      <c r="BZ142" s="702"/>
      <c r="CA142" s="702"/>
      <c r="CB142" s="702"/>
      <c r="CC142" s="702"/>
      <c r="CD142" s="702"/>
      <c r="CE142" s="702"/>
      <c r="CF142" s="702"/>
      <c r="CG142" s="703"/>
    </row>
    <row r="143" spans="3:85" ht="11.25" customHeight="1">
      <c r="C143" s="704"/>
      <c r="D143" s="705"/>
      <c r="E143" s="705"/>
      <c r="F143" s="705"/>
      <c r="G143" s="705"/>
      <c r="H143" s="705"/>
      <c r="I143" s="705"/>
      <c r="J143" s="705"/>
      <c r="K143" s="705"/>
      <c r="L143" s="705"/>
      <c r="M143" s="705"/>
      <c r="N143" s="705"/>
      <c r="O143" s="705"/>
      <c r="P143" s="705"/>
      <c r="Q143" s="705"/>
      <c r="R143" s="705"/>
      <c r="S143" s="705"/>
      <c r="T143" s="705"/>
      <c r="U143" s="705"/>
      <c r="V143" s="705"/>
      <c r="W143" s="705"/>
      <c r="X143" s="705"/>
      <c r="Y143" s="705"/>
      <c r="Z143" s="705"/>
      <c r="AA143" s="705"/>
      <c r="AB143" s="705"/>
      <c r="AC143" s="705"/>
      <c r="AD143" s="705"/>
      <c r="AE143" s="705"/>
      <c r="AF143" s="705"/>
      <c r="AG143" s="705"/>
      <c r="AH143" s="705"/>
      <c r="AI143" s="705"/>
      <c r="AJ143" s="705"/>
      <c r="AK143" s="705"/>
      <c r="AL143" s="705"/>
      <c r="AM143" s="705"/>
      <c r="AN143" s="705"/>
      <c r="AO143" s="705"/>
      <c r="AP143" s="705"/>
      <c r="AQ143" s="705"/>
      <c r="AR143" s="705"/>
      <c r="AS143" s="705"/>
      <c r="AT143" s="705"/>
      <c r="AU143" s="705"/>
      <c r="AV143" s="705"/>
      <c r="AW143" s="705"/>
      <c r="AX143" s="705"/>
      <c r="AY143" s="705"/>
      <c r="AZ143" s="705"/>
      <c r="BA143" s="705"/>
      <c r="BB143" s="705"/>
      <c r="BC143" s="705"/>
      <c r="BD143" s="705"/>
      <c r="BE143" s="705"/>
      <c r="BF143" s="705"/>
      <c r="BG143" s="705"/>
      <c r="BH143" s="705"/>
      <c r="BI143" s="705"/>
      <c r="BJ143" s="705"/>
      <c r="BK143" s="705"/>
      <c r="BL143" s="705"/>
      <c r="BM143" s="705"/>
      <c r="BN143" s="705"/>
      <c r="BO143" s="705"/>
      <c r="BP143" s="705"/>
      <c r="BQ143" s="705"/>
      <c r="BR143" s="705"/>
      <c r="BS143" s="705"/>
      <c r="BT143" s="705"/>
      <c r="BU143" s="705"/>
      <c r="BV143" s="705"/>
      <c r="BW143" s="705"/>
      <c r="BX143" s="705"/>
      <c r="BY143" s="705"/>
      <c r="BZ143" s="705"/>
      <c r="CA143" s="705"/>
      <c r="CB143" s="705"/>
      <c r="CC143" s="705"/>
      <c r="CD143" s="705"/>
      <c r="CE143" s="705"/>
      <c r="CF143" s="705"/>
      <c r="CG143" s="706"/>
    </row>
    <row r="144" spans="3:85" ht="11.25" customHeight="1">
      <c r="C144" s="698"/>
      <c r="D144" s="699"/>
      <c r="E144" s="699"/>
      <c r="F144" s="699"/>
      <c r="G144" s="699"/>
      <c r="H144" s="699"/>
      <c r="I144" s="699"/>
      <c r="J144" s="699"/>
      <c r="K144" s="699"/>
      <c r="L144" s="699"/>
      <c r="M144" s="699"/>
      <c r="N144" s="699"/>
      <c r="O144" s="699"/>
      <c r="P144" s="699"/>
      <c r="Q144" s="699"/>
      <c r="R144" s="699"/>
      <c r="S144" s="699"/>
      <c r="T144" s="699"/>
      <c r="U144" s="699"/>
      <c r="V144" s="699"/>
      <c r="W144" s="699"/>
      <c r="X144" s="699"/>
      <c r="Y144" s="699"/>
      <c r="Z144" s="699"/>
      <c r="AA144" s="699"/>
      <c r="AB144" s="699"/>
      <c r="AC144" s="699"/>
      <c r="AD144" s="699"/>
      <c r="AE144" s="699"/>
      <c r="AF144" s="699"/>
      <c r="AG144" s="699"/>
      <c r="AH144" s="699"/>
      <c r="AI144" s="699"/>
      <c r="AJ144" s="699"/>
      <c r="AK144" s="699"/>
      <c r="AL144" s="699"/>
      <c r="AM144" s="699"/>
      <c r="AN144" s="699"/>
      <c r="AO144" s="699"/>
      <c r="AP144" s="699"/>
      <c r="AQ144" s="699"/>
      <c r="AR144" s="699"/>
      <c r="AS144" s="699"/>
      <c r="AT144" s="699"/>
      <c r="AU144" s="699"/>
      <c r="AV144" s="699"/>
      <c r="AW144" s="699"/>
      <c r="AX144" s="699"/>
      <c r="AY144" s="699"/>
      <c r="AZ144" s="699"/>
      <c r="BA144" s="699"/>
      <c r="BB144" s="699"/>
      <c r="BC144" s="699"/>
      <c r="BD144" s="699"/>
      <c r="BE144" s="699"/>
      <c r="BF144" s="699"/>
      <c r="BG144" s="699"/>
      <c r="BH144" s="699"/>
      <c r="BI144" s="699"/>
      <c r="BJ144" s="699"/>
      <c r="BK144" s="699"/>
      <c r="BL144" s="699"/>
      <c r="BM144" s="699"/>
      <c r="BN144" s="699"/>
      <c r="BO144" s="699"/>
      <c r="BP144" s="699"/>
      <c r="BQ144" s="699"/>
      <c r="BR144" s="699"/>
      <c r="BS144" s="699"/>
      <c r="BT144" s="699"/>
      <c r="BU144" s="699"/>
      <c r="BV144" s="699"/>
      <c r="BW144" s="699"/>
      <c r="BX144" s="699"/>
      <c r="BY144" s="699"/>
      <c r="BZ144" s="699"/>
      <c r="CA144" s="699"/>
      <c r="CB144" s="699"/>
      <c r="CC144" s="699"/>
      <c r="CD144" s="699"/>
      <c r="CE144" s="699"/>
      <c r="CF144" s="699"/>
      <c r="CG144" s="700"/>
    </row>
    <row r="145" spans="3:85" ht="11.25" customHeight="1">
      <c r="C145" s="701"/>
      <c r="D145" s="702"/>
      <c r="E145" s="702"/>
      <c r="F145" s="702"/>
      <c r="G145" s="702"/>
      <c r="H145" s="702"/>
      <c r="I145" s="702"/>
      <c r="J145" s="702"/>
      <c r="K145" s="702"/>
      <c r="L145" s="702"/>
      <c r="M145" s="702"/>
      <c r="N145" s="702"/>
      <c r="O145" s="702"/>
      <c r="P145" s="702"/>
      <c r="Q145" s="702"/>
      <c r="R145" s="702"/>
      <c r="S145" s="702"/>
      <c r="T145" s="702"/>
      <c r="U145" s="702"/>
      <c r="V145" s="702"/>
      <c r="W145" s="702"/>
      <c r="X145" s="702"/>
      <c r="Y145" s="702"/>
      <c r="Z145" s="702"/>
      <c r="AA145" s="702"/>
      <c r="AB145" s="702"/>
      <c r="AC145" s="702"/>
      <c r="AD145" s="702"/>
      <c r="AE145" s="702"/>
      <c r="AF145" s="702"/>
      <c r="AG145" s="702"/>
      <c r="AH145" s="702"/>
      <c r="AI145" s="702"/>
      <c r="AJ145" s="702"/>
      <c r="AK145" s="702"/>
      <c r="AL145" s="702"/>
      <c r="AM145" s="702"/>
      <c r="AN145" s="702"/>
      <c r="AO145" s="702"/>
      <c r="AP145" s="702"/>
      <c r="AQ145" s="702"/>
      <c r="AR145" s="702"/>
      <c r="AS145" s="702"/>
      <c r="AT145" s="702"/>
      <c r="AU145" s="702"/>
      <c r="AV145" s="702"/>
      <c r="AW145" s="702"/>
      <c r="AX145" s="702"/>
      <c r="AY145" s="702"/>
      <c r="AZ145" s="702"/>
      <c r="BA145" s="702"/>
      <c r="BB145" s="702"/>
      <c r="BC145" s="702"/>
      <c r="BD145" s="702"/>
      <c r="BE145" s="702"/>
      <c r="BF145" s="702"/>
      <c r="BG145" s="702"/>
      <c r="BH145" s="702"/>
      <c r="BI145" s="702"/>
      <c r="BJ145" s="702"/>
      <c r="BK145" s="702"/>
      <c r="BL145" s="702"/>
      <c r="BM145" s="702"/>
      <c r="BN145" s="702"/>
      <c r="BO145" s="702"/>
      <c r="BP145" s="702"/>
      <c r="BQ145" s="702"/>
      <c r="BR145" s="702"/>
      <c r="BS145" s="702"/>
      <c r="BT145" s="702"/>
      <c r="BU145" s="702"/>
      <c r="BV145" s="702"/>
      <c r="BW145" s="702"/>
      <c r="BX145" s="702"/>
      <c r="BY145" s="702"/>
      <c r="BZ145" s="702"/>
      <c r="CA145" s="702"/>
      <c r="CB145" s="702"/>
      <c r="CC145" s="702"/>
      <c r="CD145" s="702"/>
      <c r="CE145" s="702"/>
      <c r="CF145" s="702"/>
      <c r="CG145" s="703"/>
    </row>
    <row r="146" spans="3:85" ht="11.25" customHeight="1">
      <c r="C146" s="704"/>
      <c r="D146" s="705"/>
      <c r="E146" s="705"/>
      <c r="F146" s="705"/>
      <c r="G146" s="705"/>
      <c r="H146" s="705"/>
      <c r="I146" s="705"/>
      <c r="J146" s="705"/>
      <c r="K146" s="705"/>
      <c r="L146" s="705"/>
      <c r="M146" s="705"/>
      <c r="N146" s="705"/>
      <c r="O146" s="705"/>
      <c r="P146" s="705"/>
      <c r="Q146" s="705"/>
      <c r="R146" s="705"/>
      <c r="S146" s="705"/>
      <c r="T146" s="705"/>
      <c r="U146" s="705"/>
      <c r="V146" s="705"/>
      <c r="W146" s="705"/>
      <c r="X146" s="705"/>
      <c r="Y146" s="705"/>
      <c r="Z146" s="705"/>
      <c r="AA146" s="705"/>
      <c r="AB146" s="705"/>
      <c r="AC146" s="705"/>
      <c r="AD146" s="705"/>
      <c r="AE146" s="705"/>
      <c r="AF146" s="705"/>
      <c r="AG146" s="705"/>
      <c r="AH146" s="705"/>
      <c r="AI146" s="705"/>
      <c r="AJ146" s="705"/>
      <c r="AK146" s="705"/>
      <c r="AL146" s="705"/>
      <c r="AM146" s="705"/>
      <c r="AN146" s="705"/>
      <c r="AO146" s="705"/>
      <c r="AP146" s="705"/>
      <c r="AQ146" s="705"/>
      <c r="AR146" s="705"/>
      <c r="AS146" s="705"/>
      <c r="AT146" s="705"/>
      <c r="AU146" s="705"/>
      <c r="AV146" s="705"/>
      <c r="AW146" s="705"/>
      <c r="AX146" s="705"/>
      <c r="AY146" s="705"/>
      <c r="AZ146" s="705"/>
      <c r="BA146" s="705"/>
      <c r="BB146" s="705"/>
      <c r="BC146" s="705"/>
      <c r="BD146" s="705"/>
      <c r="BE146" s="705"/>
      <c r="BF146" s="705"/>
      <c r="BG146" s="705"/>
      <c r="BH146" s="705"/>
      <c r="BI146" s="705"/>
      <c r="BJ146" s="705"/>
      <c r="BK146" s="705"/>
      <c r="BL146" s="705"/>
      <c r="BM146" s="705"/>
      <c r="BN146" s="705"/>
      <c r="BO146" s="705"/>
      <c r="BP146" s="705"/>
      <c r="BQ146" s="705"/>
      <c r="BR146" s="705"/>
      <c r="BS146" s="705"/>
      <c r="BT146" s="705"/>
      <c r="BU146" s="705"/>
      <c r="BV146" s="705"/>
      <c r="BW146" s="705"/>
      <c r="BX146" s="705"/>
      <c r="BY146" s="705"/>
      <c r="BZ146" s="705"/>
      <c r="CA146" s="705"/>
      <c r="CB146" s="705"/>
      <c r="CC146" s="705"/>
      <c r="CD146" s="705"/>
      <c r="CE146" s="705"/>
      <c r="CF146" s="705"/>
      <c r="CG146" s="706"/>
    </row>
    <row r="147" spans="3:85" ht="11.25" customHeight="1">
      <c r="C147" s="698"/>
      <c r="D147" s="699"/>
      <c r="E147" s="699"/>
      <c r="F147" s="699"/>
      <c r="G147" s="699"/>
      <c r="H147" s="699"/>
      <c r="I147" s="699"/>
      <c r="J147" s="699"/>
      <c r="K147" s="699"/>
      <c r="L147" s="699"/>
      <c r="M147" s="699"/>
      <c r="N147" s="699"/>
      <c r="O147" s="699"/>
      <c r="P147" s="699"/>
      <c r="Q147" s="699"/>
      <c r="R147" s="699"/>
      <c r="S147" s="699"/>
      <c r="T147" s="699"/>
      <c r="U147" s="699"/>
      <c r="V147" s="699"/>
      <c r="W147" s="699"/>
      <c r="X147" s="699"/>
      <c r="Y147" s="699"/>
      <c r="Z147" s="699"/>
      <c r="AA147" s="699"/>
      <c r="AB147" s="699"/>
      <c r="AC147" s="699"/>
      <c r="AD147" s="699"/>
      <c r="AE147" s="699"/>
      <c r="AF147" s="699"/>
      <c r="AG147" s="699"/>
      <c r="AH147" s="699"/>
      <c r="AI147" s="699"/>
      <c r="AJ147" s="699"/>
      <c r="AK147" s="699"/>
      <c r="AL147" s="699"/>
      <c r="AM147" s="699"/>
      <c r="AN147" s="699"/>
      <c r="AO147" s="699"/>
      <c r="AP147" s="699"/>
      <c r="AQ147" s="699"/>
      <c r="AR147" s="699"/>
      <c r="AS147" s="699"/>
      <c r="AT147" s="699"/>
      <c r="AU147" s="699"/>
      <c r="AV147" s="699"/>
      <c r="AW147" s="699"/>
      <c r="AX147" s="699"/>
      <c r="AY147" s="699"/>
      <c r="AZ147" s="699"/>
      <c r="BA147" s="699"/>
      <c r="BB147" s="699"/>
      <c r="BC147" s="699"/>
      <c r="BD147" s="699"/>
      <c r="BE147" s="699"/>
      <c r="BF147" s="699"/>
      <c r="BG147" s="699"/>
      <c r="BH147" s="699"/>
      <c r="BI147" s="699"/>
      <c r="BJ147" s="699"/>
      <c r="BK147" s="699"/>
      <c r="BL147" s="699"/>
      <c r="BM147" s="699"/>
      <c r="BN147" s="699"/>
      <c r="BO147" s="699"/>
      <c r="BP147" s="699"/>
      <c r="BQ147" s="699"/>
      <c r="BR147" s="699"/>
      <c r="BS147" s="699"/>
      <c r="BT147" s="699"/>
      <c r="BU147" s="699"/>
      <c r="BV147" s="699"/>
      <c r="BW147" s="699"/>
      <c r="BX147" s="699"/>
      <c r="BY147" s="699"/>
      <c r="BZ147" s="699"/>
      <c r="CA147" s="699"/>
      <c r="CB147" s="699"/>
      <c r="CC147" s="699"/>
      <c r="CD147" s="699"/>
      <c r="CE147" s="699"/>
      <c r="CF147" s="699"/>
      <c r="CG147" s="700"/>
    </row>
    <row r="148" spans="3:85" ht="11.25" customHeight="1">
      <c r="C148" s="701"/>
      <c r="D148" s="702"/>
      <c r="E148" s="702"/>
      <c r="F148" s="702"/>
      <c r="G148" s="702"/>
      <c r="H148" s="702"/>
      <c r="I148" s="702"/>
      <c r="J148" s="702"/>
      <c r="K148" s="702"/>
      <c r="L148" s="702"/>
      <c r="M148" s="702"/>
      <c r="N148" s="702"/>
      <c r="O148" s="702"/>
      <c r="P148" s="702"/>
      <c r="Q148" s="702"/>
      <c r="R148" s="702"/>
      <c r="S148" s="702"/>
      <c r="T148" s="702"/>
      <c r="U148" s="702"/>
      <c r="V148" s="702"/>
      <c r="W148" s="702"/>
      <c r="X148" s="702"/>
      <c r="Y148" s="702"/>
      <c r="Z148" s="702"/>
      <c r="AA148" s="702"/>
      <c r="AB148" s="702"/>
      <c r="AC148" s="702"/>
      <c r="AD148" s="702"/>
      <c r="AE148" s="702"/>
      <c r="AF148" s="702"/>
      <c r="AG148" s="702"/>
      <c r="AH148" s="702"/>
      <c r="AI148" s="702"/>
      <c r="AJ148" s="702"/>
      <c r="AK148" s="702"/>
      <c r="AL148" s="702"/>
      <c r="AM148" s="702"/>
      <c r="AN148" s="702"/>
      <c r="AO148" s="702"/>
      <c r="AP148" s="702"/>
      <c r="AQ148" s="702"/>
      <c r="AR148" s="702"/>
      <c r="AS148" s="702"/>
      <c r="AT148" s="702"/>
      <c r="AU148" s="702"/>
      <c r="AV148" s="702"/>
      <c r="AW148" s="702"/>
      <c r="AX148" s="702"/>
      <c r="AY148" s="702"/>
      <c r="AZ148" s="702"/>
      <c r="BA148" s="702"/>
      <c r="BB148" s="702"/>
      <c r="BC148" s="702"/>
      <c r="BD148" s="702"/>
      <c r="BE148" s="702"/>
      <c r="BF148" s="702"/>
      <c r="BG148" s="702"/>
      <c r="BH148" s="702"/>
      <c r="BI148" s="702"/>
      <c r="BJ148" s="702"/>
      <c r="BK148" s="702"/>
      <c r="BL148" s="702"/>
      <c r="BM148" s="702"/>
      <c r="BN148" s="702"/>
      <c r="BO148" s="702"/>
      <c r="BP148" s="702"/>
      <c r="BQ148" s="702"/>
      <c r="BR148" s="702"/>
      <c r="BS148" s="702"/>
      <c r="BT148" s="702"/>
      <c r="BU148" s="702"/>
      <c r="BV148" s="702"/>
      <c r="BW148" s="702"/>
      <c r="BX148" s="702"/>
      <c r="BY148" s="702"/>
      <c r="BZ148" s="702"/>
      <c r="CA148" s="702"/>
      <c r="CB148" s="702"/>
      <c r="CC148" s="702"/>
      <c r="CD148" s="702"/>
      <c r="CE148" s="702"/>
      <c r="CF148" s="702"/>
      <c r="CG148" s="703"/>
    </row>
    <row r="149" spans="3:85" ht="11.25" customHeight="1">
      <c r="C149" s="704"/>
      <c r="D149" s="705"/>
      <c r="E149" s="705"/>
      <c r="F149" s="705"/>
      <c r="G149" s="705"/>
      <c r="H149" s="705"/>
      <c r="I149" s="705"/>
      <c r="J149" s="705"/>
      <c r="K149" s="705"/>
      <c r="L149" s="705"/>
      <c r="M149" s="705"/>
      <c r="N149" s="705"/>
      <c r="O149" s="705"/>
      <c r="P149" s="705"/>
      <c r="Q149" s="705"/>
      <c r="R149" s="705"/>
      <c r="S149" s="705"/>
      <c r="T149" s="705"/>
      <c r="U149" s="705"/>
      <c r="V149" s="705"/>
      <c r="W149" s="705"/>
      <c r="X149" s="705"/>
      <c r="Y149" s="705"/>
      <c r="Z149" s="705"/>
      <c r="AA149" s="705"/>
      <c r="AB149" s="705"/>
      <c r="AC149" s="705"/>
      <c r="AD149" s="705"/>
      <c r="AE149" s="705"/>
      <c r="AF149" s="705"/>
      <c r="AG149" s="705"/>
      <c r="AH149" s="705"/>
      <c r="AI149" s="705"/>
      <c r="AJ149" s="705"/>
      <c r="AK149" s="705"/>
      <c r="AL149" s="705"/>
      <c r="AM149" s="705"/>
      <c r="AN149" s="705"/>
      <c r="AO149" s="705"/>
      <c r="AP149" s="705"/>
      <c r="AQ149" s="705"/>
      <c r="AR149" s="705"/>
      <c r="AS149" s="705"/>
      <c r="AT149" s="705"/>
      <c r="AU149" s="705"/>
      <c r="AV149" s="705"/>
      <c r="AW149" s="705"/>
      <c r="AX149" s="705"/>
      <c r="AY149" s="705"/>
      <c r="AZ149" s="705"/>
      <c r="BA149" s="705"/>
      <c r="BB149" s="705"/>
      <c r="BC149" s="705"/>
      <c r="BD149" s="705"/>
      <c r="BE149" s="705"/>
      <c r="BF149" s="705"/>
      <c r="BG149" s="705"/>
      <c r="BH149" s="705"/>
      <c r="BI149" s="705"/>
      <c r="BJ149" s="705"/>
      <c r="BK149" s="705"/>
      <c r="BL149" s="705"/>
      <c r="BM149" s="705"/>
      <c r="BN149" s="705"/>
      <c r="BO149" s="705"/>
      <c r="BP149" s="705"/>
      <c r="BQ149" s="705"/>
      <c r="BR149" s="705"/>
      <c r="BS149" s="705"/>
      <c r="BT149" s="705"/>
      <c r="BU149" s="705"/>
      <c r="BV149" s="705"/>
      <c r="BW149" s="705"/>
      <c r="BX149" s="705"/>
      <c r="BY149" s="705"/>
      <c r="BZ149" s="705"/>
      <c r="CA149" s="705"/>
      <c r="CB149" s="705"/>
      <c r="CC149" s="705"/>
      <c r="CD149" s="705"/>
      <c r="CE149" s="705"/>
      <c r="CF149" s="705"/>
      <c r="CG149" s="706"/>
    </row>
    <row r="150" spans="3:85" ht="11.25" customHeight="1">
      <c r="C150" s="686" t="s">
        <v>596</v>
      </c>
      <c r="D150" s="687"/>
      <c r="E150" s="687"/>
      <c r="F150" s="687"/>
      <c r="G150" s="687"/>
      <c r="H150" s="687"/>
      <c r="I150" s="687"/>
      <c r="J150" s="687"/>
      <c r="K150" s="687"/>
      <c r="L150" s="687"/>
      <c r="M150" s="687"/>
      <c r="N150" s="687"/>
      <c r="O150" s="687"/>
      <c r="P150" s="687"/>
      <c r="Q150" s="687"/>
      <c r="R150" s="692" t="s">
        <v>633</v>
      </c>
      <c r="S150" s="692"/>
      <c r="T150" s="692"/>
      <c r="U150" s="692"/>
      <c r="V150" s="692"/>
      <c r="W150" s="692"/>
      <c r="X150" s="692"/>
      <c r="Y150" s="692"/>
      <c r="Z150" s="692"/>
      <c r="AA150" s="692"/>
      <c r="AB150" s="692"/>
      <c r="AC150" s="692"/>
      <c r="AD150" s="692"/>
      <c r="AE150" s="692"/>
      <c r="AF150" s="692"/>
      <c r="AG150" s="692"/>
      <c r="AH150" s="692"/>
      <c r="AI150" s="692"/>
      <c r="AJ150" s="692"/>
      <c r="AK150" s="692"/>
      <c r="AL150" s="692"/>
      <c r="AM150" s="692"/>
      <c r="AN150" s="692"/>
      <c r="AO150" s="692"/>
      <c r="AP150" s="692"/>
      <c r="AQ150" s="692"/>
      <c r="AR150" s="692"/>
      <c r="AS150" s="692"/>
      <c r="AT150" s="692"/>
      <c r="AU150" s="692"/>
      <c r="AV150" s="692"/>
      <c r="AW150" s="692"/>
      <c r="AX150" s="692"/>
      <c r="AY150" s="692"/>
      <c r="AZ150" s="692"/>
      <c r="BA150" s="692"/>
      <c r="BB150" s="692"/>
      <c r="BC150" s="692"/>
      <c r="BD150" s="692"/>
      <c r="BE150" s="692"/>
      <c r="BF150" s="692"/>
      <c r="BG150" s="692"/>
      <c r="BH150" s="692"/>
      <c r="BI150" s="692"/>
      <c r="BJ150" s="692"/>
      <c r="BK150" s="692"/>
      <c r="BL150" s="692"/>
      <c r="BM150" s="692"/>
      <c r="BN150" s="692"/>
      <c r="BO150" s="692"/>
      <c r="BP150" s="692"/>
      <c r="BQ150" s="692"/>
      <c r="BR150" s="692"/>
      <c r="BS150" s="692"/>
      <c r="BT150" s="692"/>
      <c r="BU150" s="692"/>
      <c r="BV150" s="692"/>
      <c r="BW150" s="692"/>
      <c r="BX150" s="692"/>
      <c r="BY150" s="692"/>
      <c r="BZ150" s="692"/>
      <c r="CA150" s="692"/>
      <c r="CB150" s="692"/>
      <c r="CC150" s="692"/>
      <c r="CD150" s="692"/>
      <c r="CE150" s="692"/>
      <c r="CF150" s="692"/>
      <c r="CG150" s="693"/>
    </row>
    <row r="151" spans="3:85" ht="11.25" customHeight="1">
      <c r="C151" s="688"/>
      <c r="D151" s="689"/>
      <c r="E151" s="689"/>
      <c r="F151" s="689"/>
      <c r="G151" s="689"/>
      <c r="H151" s="689"/>
      <c r="I151" s="689"/>
      <c r="J151" s="689"/>
      <c r="K151" s="689"/>
      <c r="L151" s="689"/>
      <c r="M151" s="689"/>
      <c r="N151" s="689"/>
      <c r="O151" s="689"/>
      <c r="P151" s="689"/>
      <c r="Q151" s="689"/>
      <c r="R151" s="694"/>
      <c r="S151" s="694"/>
      <c r="T151" s="694"/>
      <c r="U151" s="694"/>
      <c r="V151" s="694"/>
      <c r="W151" s="694"/>
      <c r="X151" s="694"/>
      <c r="Y151" s="694"/>
      <c r="Z151" s="694"/>
      <c r="AA151" s="694"/>
      <c r="AB151" s="694"/>
      <c r="AC151" s="694"/>
      <c r="AD151" s="694"/>
      <c r="AE151" s="694"/>
      <c r="AF151" s="694"/>
      <c r="AG151" s="694"/>
      <c r="AH151" s="694"/>
      <c r="AI151" s="694"/>
      <c r="AJ151" s="694"/>
      <c r="AK151" s="694"/>
      <c r="AL151" s="694"/>
      <c r="AM151" s="694"/>
      <c r="AN151" s="694"/>
      <c r="AO151" s="694"/>
      <c r="AP151" s="694"/>
      <c r="AQ151" s="694"/>
      <c r="AR151" s="694"/>
      <c r="AS151" s="694"/>
      <c r="AT151" s="694"/>
      <c r="AU151" s="694"/>
      <c r="AV151" s="694"/>
      <c r="AW151" s="694"/>
      <c r="AX151" s="694"/>
      <c r="AY151" s="694"/>
      <c r="AZ151" s="694"/>
      <c r="BA151" s="694"/>
      <c r="BB151" s="694"/>
      <c r="BC151" s="694"/>
      <c r="BD151" s="694"/>
      <c r="BE151" s="694"/>
      <c r="BF151" s="694"/>
      <c r="BG151" s="694"/>
      <c r="BH151" s="694"/>
      <c r="BI151" s="694"/>
      <c r="BJ151" s="694"/>
      <c r="BK151" s="694"/>
      <c r="BL151" s="694"/>
      <c r="BM151" s="694"/>
      <c r="BN151" s="694"/>
      <c r="BO151" s="694"/>
      <c r="BP151" s="694"/>
      <c r="BQ151" s="694"/>
      <c r="BR151" s="694"/>
      <c r="BS151" s="694"/>
      <c r="BT151" s="694"/>
      <c r="BU151" s="694"/>
      <c r="BV151" s="694"/>
      <c r="BW151" s="694"/>
      <c r="BX151" s="694"/>
      <c r="BY151" s="694"/>
      <c r="BZ151" s="694"/>
      <c r="CA151" s="694"/>
      <c r="CB151" s="694"/>
      <c r="CC151" s="694"/>
      <c r="CD151" s="694"/>
      <c r="CE151" s="694"/>
      <c r="CF151" s="694"/>
      <c r="CG151" s="695"/>
    </row>
    <row r="152" spans="3:85" ht="11.25" customHeight="1">
      <c r="C152" s="690"/>
      <c r="D152" s="691"/>
      <c r="E152" s="691"/>
      <c r="F152" s="691"/>
      <c r="G152" s="691"/>
      <c r="H152" s="691"/>
      <c r="I152" s="691"/>
      <c r="J152" s="691"/>
      <c r="K152" s="691"/>
      <c r="L152" s="691"/>
      <c r="M152" s="691"/>
      <c r="N152" s="691"/>
      <c r="O152" s="691"/>
      <c r="P152" s="691"/>
      <c r="Q152" s="691"/>
      <c r="R152" s="696"/>
      <c r="S152" s="696"/>
      <c r="T152" s="696"/>
      <c r="U152" s="696"/>
      <c r="V152" s="696"/>
      <c r="W152" s="696"/>
      <c r="X152" s="696"/>
      <c r="Y152" s="696"/>
      <c r="Z152" s="696"/>
      <c r="AA152" s="696"/>
      <c r="AB152" s="696"/>
      <c r="AC152" s="696"/>
      <c r="AD152" s="696"/>
      <c r="AE152" s="696"/>
      <c r="AF152" s="696"/>
      <c r="AG152" s="696"/>
      <c r="AH152" s="696"/>
      <c r="AI152" s="696"/>
      <c r="AJ152" s="696"/>
      <c r="AK152" s="696"/>
      <c r="AL152" s="696"/>
      <c r="AM152" s="696"/>
      <c r="AN152" s="696"/>
      <c r="AO152" s="696"/>
      <c r="AP152" s="696"/>
      <c r="AQ152" s="696"/>
      <c r="AR152" s="696"/>
      <c r="AS152" s="696"/>
      <c r="AT152" s="696"/>
      <c r="AU152" s="696"/>
      <c r="AV152" s="696"/>
      <c r="AW152" s="696"/>
      <c r="AX152" s="696"/>
      <c r="AY152" s="696"/>
      <c r="AZ152" s="696"/>
      <c r="BA152" s="696"/>
      <c r="BB152" s="696"/>
      <c r="BC152" s="696"/>
      <c r="BD152" s="696"/>
      <c r="BE152" s="696"/>
      <c r="BF152" s="696"/>
      <c r="BG152" s="696"/>
      <c r="BH152" s="696"/>
      <c r="BI152" s="696"/>
      <c r="BJ152" s="696"/>
      <c r="BK152" s="696"/>
      <c r="BL152" s="696"/>
      <c r="BM152" s="696"/>
      <c r="BN152" s="696"/>
      <c r="BO152" s="696"/>
      <c r="BP152" s="696"/>
      <c r="BQ152" s="696"/>
      <c r="BR152" s="696"/>
      <c r="BS152" s="696"/>
      <c r="BT152" s="696"/>
      <c r="BU152" s="696"/>
      <c r="BV152" s="696"/>
      <c r="BW152" s="696"/>
      <c r="BX152" s="696"/>
      <c r="BY152" s="696"/>
      <c r="BZ152" s="696"/>
      <c r="CA152" s="696"/>
      <c r="CB152" s="696"/>
      <c r="CC152" s="696"/>
      <c r="CD152" s="696"/>
      <c r="CE152" s="696"/>
      <c r="CF152" s="696"/>
      <c r="CG152" s="697"/>
    </row>
    <row r="153" spans="3:85" ht="11.25" customHeight="1">
      <c r="C153" s="686" t="s">
        <v>597</v>
      </c>
      <c r="D153" s="687"/>
      <c r="E153" s="687"/>
      <c r="F153" s="687"/>
      <c r="G153" s="687"/>
      <c r="H153" s="687"/>
      <c r="I153" s="687"/>
      <c r="J153" s="687"/>
      <c r="K153" s="687"/>
      <c r="L153" s="687"/>
      <c r="M153" s="687"/>
      <c r="N153" s="687"/>
      <c r="O153" s="687"/>
      <c r="P153" s="687"/>
      <c r="Q153" s="687"/>
      <c r="R153" s="692" t="s">
        <v>634</v>
      </c>
      <c r="S153" s="692"/>
      <c r="T153" s="692"/>
      <c r="U153" s="692"/>
      <c r="V153" s="692"/>
      <c r="W153" s="692"/>
      <c r="X153" s="692"/>
      <c r="Y153" s="692"/>
      <c r="Z153" s="692"/>
      <c r="AA153" s="692"/>
      <c r="AB153" s="692"/>
      <c r="AC153" s="692"/>
      <c r="AD153" s="692"/>
      <c r="AE153" s="692"/>
      <c r="AF153" s="692"/>
      <c r="AG153" s="692"/>
      <c r="AH153" s="692"/>
      <c r="AI153" s="692"/>
      <c r="AJ153" s="692"/>
      <c r="AK153" s="692"/>
      <c r="AL153" s="692"/>
      <c r="AM153" s="692"/>
      <c r="AN153" s="692"/>
      <c r="AO153" s="692"/>
      <c r="AP153" s="692"/>
      <c r="AQ153" s="692"/>
      <c r="AR153" s="692"/>
      <c r="AS153" s="692"/>
      <c r="AT153" s="692"/>
      <c r="AU153" s="692"/>
      <c r="AV153" s="692"/>
      <c r="AW153" s="692"/>
      <c r="AX153" s="692"/>
      <c r="AY153" s="692"/>
      <c r="AZ153" s="692"/>
      <c r="BA153" s="692"/>
      <c r="BB153" s="692"/>
      <c r="BC153" s="692"/>
      <c r="BD153" s="692"/>
      <c r="BE153" s="692"/>
      <c r="BF153" s="692"/>
      <c r="BG153" s="692"/>
      <c r="BH153" s="692"/>
      <c r="BI153" s="692"/>
      <c r="BJ153" s="692"/>
      <c r="BK153" s="692"/>
      <c r="BL153" s="692"/>
      <c r="BM153" s="692"/>
      <c r="BN153" s="692"/>
      <c r="BO153" s="692"/>
      <c r="BP153" s="692"/>
      <c r="BQ153" s="692"/>
      <c r="BR153" s="692"/>
      <c r="BS153" s="692"/>
      <c r="BT153" s="692"/>
      <c r="BU153" s="692"/>
      <c r="BV153" s="692"/>
      <c r="BW153" s="692"/>
      <c r="BX153" s="692"/>
      <c r="BY153" s="692"/>
      <c r="BZ153" s="692"/>
      <c r="CA153" s="692"/>
      <c r="CB153" s="692"/>
      <c r="CC153" s="692"/>
      <c r="CD153" s="692"/>
      <c r="CE153" s="692"/>
      <c r="CF153" s="692"/>
      <c r="CG153" s="693"/>
    </row>
    <row r="154" spans="3:85" ht="11.25" customHeight="1">
      <c r="C154" s="688"/>
      <c r="D154" s="689"/>
      <c r="E154" s="689"/>
      <c r="F154" s="689"/>
      <c r="G154" s="689"/>
      <c r="H154" s="689"/>
      <c r="I154" s="689"/>
      <c r="J154" s="689"/>
      <c r="K154" s="689"/>
      <c r="L154" s="689"/>
      <c r="M154" s="689"/>
      <c r="N154" s="689"/>
      <c r="O154" s="689"/>
      <c r="P154" s="689"/>
      <c r="Q154" s="689"/>
      <c r="R154" s="694"/>
      <c r="S154" s="694"/>
      <c r="T154" s="694"/>
      <c r="U154" s="694"/>
      <c r="V154" s="694"/>
      <c r="W154" s="694"/>
      <c r="X154" s="694"/>
      <c r="Y154" s="694"/>
      <c r="Z154" s="694"/>
      <c r="AA154" s="694"/>
      <c r="AB154" s="694"/>
      <c r="AC154" s="694"/>
      <c r="AD154" s="694"/>
      <c r="AE154" s="694"/>
      <c r="AF154" s="694"/>
      <c r="AG154" s="694"/>
      <c r="AH154" s="694"/>
      <c r="AI154" s="694"/>
      <c r="AJ154" s="694"/>
      <c r="AK154" s="694"/>
      <c r="AL154" s="694"/>
      <c r="AM154" s="694"/>
      <c r="AN154" s="694"/>
      <c r="AO154" s="694"/>
      <c r="AP154" s="694"/>
      <c r="AQ154" s="694"/>
      <c r="AR154" s="694"/>
      <c r="AS154" s="694"/>
      <c r="AT154" s="694"/>
      <c r="AU154" s="694"/>
      <c r="AV154" s="694"/>
      <c r="AW154" s="694"/>
      <c r="AX154" s="694"/>
      <c r="AY154" s="694"/>
      <c r="AZ154" s="694"/>
      <c r="BA154" s="694"/>
      <c r="BB154" s="694"/>
      <c r="BC154" s="694"/>
      <c r="BD154" s="694"/>
      <c r="BE154" s="694"/>
      <c r="BF154" s="694"/>
      <c r="BG154" s="694"/>
      <c r="BH154" s="694"/>
      <c r="BI154" s="694"/>
      <c r="BJ154" s="694"/>
      <c r="BK154" s="694"/>
      <c r="BL154" s="694"/>
      <c r="BM154" s="694"/>
      <c r="BN154" s="694"/>
      <c r="BO154" s="694"/>
      <c r="BP154" s="694"/>
      <c r="BQ154" s="694"/>
      <c r="BR154" s="694"/>
      <c r="BS154" s="694"/>
      <c r="BT154" s="694"/>
      <c r="BU154" s="694"/>
      <c r="BV154" s="694"/>
      <c r="BW154" s="694"/>
      <c r="BX154" s="694"/>
      <c r="BY154" s="694"/>
      <c r="BZ154" s="694"/>
      <c r="CA154" s="694"/>
      <c r="CB154" s="694"/>
      <c r="CC154" s="694"/>
      <c r="CD154" s="694"/>
      <c r="CE154" s="694"/>
      <c r="CF154" s="694"/>
      <c r="CG154" s="695"/>
    </row>
    <row r="155" spans="3:85" ht="11.25" customHeight="1">
      <c r="C155" s="690"/>
      <c r="D155" s="691"/>
      <c r="E155" s="691"/>
      <c r="F155" s="691"/>
      <c r="G155" s="691"/>
      <c r="H155" s="691"/>
      <c r="I155" s="691"/>
      <c r="J155" s="691"/>
      <c r="K155" s="691"/>
      <c r="L155" s="691"/>
      <c r="M155" s="691"/>
      <c r="N155" s="691"/>
      <c r="O155" s="691"/>
      <c r="P155" s="691"/>
      <c r="Q155" s="691"/>
      <c r="R155" s="696"/>
      <c r="S155" s="696"/>
      <c r="T155" s="696"/>
      <c r="U155" s="696"/>
      <c r="V155" s="696"/>
      <c r="W155" s="696"/>
      <c r="X155" s="696"/>
      <c r="Y155" s="696"/>
      <c r="Z155" s="696"/>
      <c r="AA155" s="696"/>
      <c r="AB155" s="696"/>
      <c r="AC155" s="696"/>
      <c r="AD155" s="696"/>
      <c r="AE155" s="696"/>
      <c r="AF155" s="696"/>
      <c r="AG155" s="696"/>
      <c r="AH155" s="696"/>
      <c r="AI155" s="696"/>
      <c r="AJ155" s="696"/>
      <c r="AK155" s="696"/>
      <c r="AL155" s="696"/>
      <c r="AM155" s="696"/>
      <c r="AN155" s="696"/>
      <c r="AO155" s="696"/>
      <c r="AP155" s="696"/>
      <c r="AQ155" s="696"/>
      <c r="AR155" s="696"/>
      <c r="AS155" s="696"/>
      <c r="AT155" s="696"/>
      <c r="AU155" s="696"/>
      <c r="AV155" s="696"/>
      <c r="AW155" s="696"/>
      <c r="AX155" s="696"/>
      <c r="AY155" s="696"/>
      <c r="AZ155" s="696"/>
      <c r="BA155" s="696"/>
      <c r="BB155" s="696"/>
      <c r="BC155" s="696"/>
      <c r="BD155" s="696"/>
      <c r="BE155" s="696"/>
      <c r="BF155" s="696"/>
      <c r="BG155" s="696"/>
      <c r="BH155" s="696"/>
      <c r="BI155" s="696"/>
      <c r="BJ155" s="696"/>
      <c r="BK155" s="696"/>
      <c r="BL155" s="696"/>
      <c r="BM155" s="696"/>
      <c r="BN155" s="696"/>
      <c r="BO155" s="696"/>
      <c r="BP155" s="696"/>
      <c r="BQ155" s="696"/>
      <c r="BR155" s="696"/>
      <c r="BS155" s="696"/>
      <c r="BT155" s="696"/>
      <c r="BU155" s="696"/>
      <c r="BV155" s="696"/>
      <c r="BW155" s="696"/>
      <c r="BX155" s="696"/>
      <c r="BY155" s="696"/>
      <c r="BZ155" s="696"/>
      <c r="CA155" s="696"/>
      <c r="CB155" s="696"/>
      <c r="CC155" s="696"/>
      <c r="CD155" s="696"/>
      <c r="CE155" s="696"/>
      <c r="CF155" s="696"/>
      <c r="CG155" s="697"/>
    </row>
    <row r="156" spans="3:85" ht="11.25" customHeight="1">
      <c r="C156" s="698"/>
      <c r="D156" s="699"/>
      <c r="E156" s="699"/>
      <c r="F156" s="699"/>
      <c r="G156" s="699"/>
      <c r="H156" s="699"/>
      <c r="I156" s="699"/>
      <c r="J156" s="699"/>
      <c r="K156" s="699"/>
      <c r="L156" s="699"/>
      <c r="M156" s="699"/>
      <c r="N156" s="699"/>
      <c r="O156" s="699"/>
      <c r="P156" s="699"/>
      <c r="Q156" s="699"/>
      <c r="R156" s="699"/>
      <c r="S156" s="699"/>
      <c r="T156" s="699"/>
      <c r="U156" s="699"/>
      <c r="V156" s="699"/>
      <c r="W156" s="699"/>
      <c r="X156" s="699"/>
      <c r="Y156" s="699"/>
      <c r="Z156" s="699"/>
      <c r="AA156" s="699"/>
      <c r="AB156" s="699"/>
      <c r="AC156" s="699"/>
      <c r="AD156" s="699"/>
      <c r="AE156" s="699"/>
      <c r="AF156" s="699"/>
      <c r="AG156" s="699"/>
      <c r="AH156" s="699"/>
      <c r="AI156" s="699"/>
      <c r="AJ156" s="699"/>
      <c r="AK156" s="699"/>
      <c r="AL156" s="699"/>
      <c r="AM156" s="699"/>
      <c r="AN156" s="699"/>
      <c r="AO156" s="699"/>
      <c r="AP156" s="699"/>
      <c r="AQ156" s="699"/>
      <c r="AR156" s="699"/>
      <c r="AS156" s="699"/>
      <c r="AT156" s="699"/>
      <c r="AU156" s="699"/>
      <c r="AV156" s="699"/>
      <c r="AW156" s="699"/>
      <c r="AX156" s="699"/>
      <c r="AY156" s="699"/>
      <c r="AZ156" s="699"/>
      <c r="BA156" s="699"/>
      <c r="BB156" s="699"/>
      <c r="BC156" s="699"/>
      <c r="BD156" s="699"/>
      <c r="BE156" s="699"/>
      <c r="BF156" s="699"/>
      <c r="BG156" s="699"/>
      <c r="BH156" s="699"/>
      <c r="BI156" s="699"/>
      <c r="BJ156" s="699"/>
      <c r="BK156" s="699"/>
      <c r="BL156" s="699"/>
      <c r="BM156" s="699"/>
      <c r="BN156" s="699"/>
      <c r="BO156" s="699"/>
      <c r="BP156" s="699"/>
      <c r="BQ156" s="699"/>
      <c r="BR156" s="699"/>
      <c r="BS156" s="699"/>
      <c r="BT156" s="699"/>
      <c r="BU156" s="699"/>
      <c r="BV156" s="699"/>
      <c r="BW156" s="699"/>
      <c r="BX156" s="699"/>
      <c r="BY156" s="699"/>
      <c r="BZ156" s="699"/>
      <c r="CA156" s="699"/>
      <c r="CB156" s="699"/>
      <c r="CC156" s="699"/>
      <c r="CD156" s="699"/>
      <c r="CE156" s="699"/>
      <c r="CF156" s="699"/>
      <c r="CG156" s="700"/>
    </row>
    <row r="157" spans="3:85" ht="11.25" customHeight="1">
      <c r="C157" s="701"/>
      <c r="D157" s="702"/>
      <c r="E157" s="702"/>
      <c r="F157" s="702"/>
      <c r="G157" s="702"/>
      <c r="H157" s="702"/>
      <c r="I157" s="702"/>
      <c r="J157" s="702"/>
      <c r="K157" s="702"/>
      <c r="L157" s="702"/>
      <c r="M157" s="702"/>
      <c r="N157" s="702"/>
      <c r="O157" s="702"/>
      <c r="P157" s="702"/>
      <c r="Q157" s="702"/>
      <c r="R157" s="702"/>
      <c r="S157" s="702"/>
      <c r="T157" s="702"/>
      <c r="U157" s="702"/>
      <c r="V157" s="702"/>
      <c r="W157" s="702"/>
      <c r="X157" s="702"/>
      <c r="Y157" s="702"/>
      <c r="Z157" s="702"/>
      <c r="AA157" s="702"/>
      <c r="AB157" s="702"/>
      <c r="AC157" s="702"/>
      <c r="AD157" s="702"/>
      <c r="AE157" s="702"/>
      <c r="AF157" s="702"/>
      <c r="AG157" s="702"/>
      <c r="AH157" s="702"/>
      <c r="AI157" s="702"/>
      <c r="AJ157" s="702"/>
      <c r="AK157" s="702"/>
      <c r="AL157" s="702"/>
      <c r="AM157" s="702"/>
      <c r="AN157" s="702"/>
      <c r="AO157" s="702"/>
      <c r="AP157" s="702"/>
      <c r="AQ157" s="702"/>
      <c r="AR157" s="702"/>
      <c r="AS157" s="702"/>
      <c r="AT157" s="702"/>
      <c r="AU157" s="702"/>
      <c r="AV157" s="702"/>
      <c r="AW157" s="702"/>
      <c r="AX157" s="702"/>
      <c r="AY157" s="702"/>
      <c r="AZ157" s="702"/>
      <c r="BA157" s="702"/>
      <c r="BB157" s="702"/>
      <c r="BC157" s="702"/>
      <c r="BD157" s="702"/>
      <c r="BE157" s="702"/>
      <c r="BF157" s="702"/>
      <c r="BG157" s="702"/>
      <c r="BH157" s="702"/>
      <c r="BI157" s="702"/>
      <c r="BJ157" s="702"/>
      <c r="BK157" s="702"/>
      <c r="BL157" s="702"/>
      <c r="BM157" s="702"/>
      <c r="BN157" s="702"/>
      <c r="BO157" s="702"/>
      <c r="BP157" s="702"/>
      <c r="BQ157" s="702"/>
      <c r="BR157" s="702"/>
      <c r="BS157" s="702"/>
      <c r="BT157" s="702"/>
      <c r="BU157" s="702"/>
      <c r="BV157" s="702"/>
      <c r="BW157" s="702"/>
      <c r="BX157" s="702"/>
      <c r="BY157" s="702"/>
      <c r="BZ157" s="702"/>
      <c r="CA157" s="702"/>
      <c r="CB157" s="702"/>
      <c r="CC157" s="702"/>
      <c r="CD157" s="702"/>
      <c r="CE157" s="702"/>
      <c r="CF157" s="702"/>
      <c r="CG157" s="703"/>
    </row>
    <row r="158" spans="3:85" ht="11.25" customHeight="1">
      <c r="C158" s="704"/>
      <c r="D158" s="705"/>
      <c r="E158" s="705"/>
      <c r="F158" s="705"/>
      <c r="G158" s="705"/>
      <c r="H158" s="705"/>
      <c r="I158" s="705"/>
      <c r="J158" s="705"/>
      <c r="K158" s="705"/>
      <c r="L158" s="705"/>
      <c r="M158" s="705"/>
      <c r="N158" s="705"/>
      <c r="O158" s="705"/>
      <c r="P158" s="705"/>
      <c r="Q158" s="705"/>
      <c r="R158" s="705"/>
      <c r="S158" s="705"/>
      <c r="T158" s="705"/>
      <c r="U158" s="705"/>
      <c r="V158" s="705"/>
      <c r="W158" s="705"/>
      <c r="X158" s="705"/>
      <c r="Y158" s="705"/>
      <c r="Z158" s="705"/>
      <c r="AA158" s="705"/>
      <c r="AB158" s="705"/>
      <c r="AC158" s="705"/>
      <c r="AD158" s="705"/>
      <c r="AE158" s="705"/>
      <c r="AF158" s="705"/>
      <c r="AG158" s="705"/>
      <c r="AH158" s="705"/>
      <c r="AI158" s="705"/>
      <c r="AJ158" s="705"/>
      <c r="AK158" s="705"/>
      <c r="AL158" s="705"/>
      <c r="AM158" s="705"/>
      <c r="AN158" s="705"/>
      <c r="AO158" s="705"/>
      <c r="AP158" s="705"/>
      <c r="AQ158" s="705"/>
      <c r="AR158" s="705"/>
      <c r="AS158" s="705"/>
      <c r="AT158" s="705"/>
      <c r="AU158" s="705"/>
      <c r="AV158" s="705"/>
      <c r="AW158" s="705"/>
      <c r="AX158" s="705"/>
      <c r="AY158" s="705"/>
      <c r="AZ158" s="705"/>
      <c r="BA158" s="705"/>
      <c r="BB158" s="705"/>
      <c r="BC158" s="705"/>
      <c r="BD158" s="705"/>
      <c r="BE158" s="705"/>
      <c r="BF158" s="705"/>
      <c r="BG158" s="705"/>
      <c r="BH158" s="705"/>
      <c r="BI158" s="705"/>
      <c r="BJ158" s="705"/>
      <c r="BK158" s="705"/>
      <c r="BL158" s="705"/>
      <c r="BM158" s="705"/>
      <c r="BN158" s="705"/>
      <c r="BO158" s="705"/>
      <c r="BP158" s="705"/>
      <c r="BQ158" s="705"/>
      <c r="BR158" s="705"/>
      <c r="BS158" s="705"/>
      <c r="BT158" s="705"/>
      <c r="BU158" s="705"/>
      <c r="BV158" s="705"/>
      <c r="BW158" s="705"/>
      <c r="BX158" s="705"/>
      <c r="BY158" s="705"/>
      <c r="BZ158" s="705"/>
      <c r="CA158" s="705"/>
      <c r="CB158" s="705"/>
      <c r="CC158" s="705"/>
      <c r="CD158" s="705"/>
      <c r="CE158" s="705"/>
      <c r="CF158" s="705"/>
      <c r="CG158" s="706"/>
    </row>
    <row r="159" spans="3:85" ht="11.25" customHeight="1">
      <c r="C159" s="698"/>
      <c r="D159" s="699"/>
      <c r="E159" s="699"/>
      <c r="F159" s="699"/>
      <c r="G159" s="699"/>
      <c r="H159" s="699"/>
      <c r="I159" s="699"/>
      <c r="J159" s="699"/>
      <c r="K159" s="699"/>
      <c r="L159" s="699"/>
      <c r="M159" s="699"/>
      <c r="N159" s="699"/>
      <c r="O159" s="699"/>
      <c r="P159" s="699"/>
      <c r="Q159" s="699"/>
      <c r="R159" s="699"/>
      <c r="S159" s="699"/>
      <c r="T159" s="699"/>
      <c r="U159" s="699"/>
      <c r="V159" s="699"/>
      <c r="W159" s="699"/>
      <c r="X159" s="699"/>
      <c r="Y159" s="699"/>
      <c r="Z159" s="699"/>
      <c r="AA159" s="699"/>
      <c r="AB159" s="699"/>
      <c r="AC159" s="699"/>
      <c r="AD159" s="699"/>
      <c r="AE159" s="699"/>
      <c r="AF159" s="699"/>
      <c r="AG159" s="699"/>
      <c r="AH159" s="699"/>
      <c r="AI159" s="699"/>
      <c r="AJ159" s="699"/>
      <c r="AK159" s="699"/>
      <c r="AL159" s="699"/>
      <c r="AM159" s="699"/>
      <c r="AN159" s="699"/>
      <c r="AO159" s="699"/>
      <c r="AP159" s="699"/>
      <c r="AQ159" s="699"/>
      <c r="AR159" s="699"/>
      <c r="AS159" s="699"/>
      <c r="AT159" s="699"/>
      <c r="AU159" s="699"/>
      <c r="AV159" s="699"/>
      <c r="AW159" s="699"/>
      <c r="AX159" s="699"/>
      <c r="AY159" s="699"/>
      <c r="AZ159" s="699"/>
      <c r="BA159" s="699"/>
      <c r="BB159" s="699"/>
      <c r="BC159" s="699"/>
      <c r="BD159" s="699"/>
      <c r="BE159" s="699"/>
      <c r="BF159" s="699"/>
      <c r="BG159" s="699"/>
      <c r="BH159" s="699"/>
      <c r="BI159" s="699"/>
      <c r="BJ159" s="699"/>
      <c r="BK159" s="699"/>
      <c r="BL159" s="699"/>
      <c r="BM159" s="699"/>
      <c r="BN159" s="699"/>
      <c r="BO159" s="699"/>
      <c r="BP159" s="699"/>
      <c r="BQ159" s="699"/>
      <c r="BR159" s="699"/>
      <c r="BS159" s="699"/>
      <c r="BT159" s="699"/>
      <c r="BU159" s="699"/>
      <c r="BV159" s="699"/>
      <c r="BW159" s="699"/>
      <c r="BX159" s="699"/>
      <c r="BY159" s="699"/>
      <c r="BZ159" s="699"/>
      <c r="CA159" s="699"/>
      <c r="CB159" s="699"/>
      <c r="CC159" s="699"/>
      <c r="CD159" s="699"/>
      <c r="CE159" s="699"/>
      <c r="CF159" s="699"/>
      <c r="CG159" s="700"/>
    </row>
    <row r="160" spans="3:85" ht="11.25" customHeight="1">
      <c r="C160" s="701"/>
      <c r="D160" s="702"/>
      <c r="E160" s="702"/>
      <c r="F160" s="702"/>
      <c r="G160" s="702"/>
      <c r="H160" s="702"/>
      <c r="I160" s="702"/>
      <c r="J160" s="702"/>
      <c r="K160" s="702"/>
      <c r="L160" s="702"/>
      <c r="M160" s="702"/>
      <c r="N160" s="702"/>
      <c r="O160" s="702"/>
      <c r="P160" s="702"/>
      <c r="Q160" s="702"/>
      <c r="R160" s="702"/>
      <c r="S160" s="702"/>
      <c r="T160" s="702"/>
      <c r="U160" s="702"/>
      <c r="V160" s="702"/>
      <c r="W160" s="702"/>
      <c r="X160" s="702"/>
      <c r="Y160" s="702"/>
      <c r="Z160" s="702"/>
      <c r="AA160" s="702"/>
      <c r="AB160" s="702"/>
      <c r="AC160" s="702"/>
      <c r="AD160" s="702"/>
      <c r="AE160" s="702"/>
      <c r="AF160" s="702"/>
      <c r="AG160" s="702"/>
      <c r="AH160" s="702"/>
      <c r="AI160" s="702"/>
      <c r="AJ160" s="702"/>
      <c r="AK160" s="702"/>
      <c r="AL160" s="702"/>
      <c r="AM160" s="702"/>
      <c r="AN160" s="702"/>
      <c r="AO160" s="702"/>
      <c r="AP160" s="702"/>
      <c r="AQ160" s="702"/>
      <c r="AR160" s="702"/>
      <c r="AS160" s="702"/>
      <c r="AT160" s="702"/>
      <c r="AU160" s="702"/>
      <c r="AV160" s="702"/>
      <c r="AW160" s="702"/>
      <c r="AX160" s="702"/>
      <c r="AY160" s="702"/>
      <c r="AZ160" s="702"/>
      <c r="BA160" s="702"/>
      <c r="BB160" s="702"/>
      <c r="BC160" s="702"/>
      <c r="BD160" s="702"/>
      <c r="BE160" s="702"/>
      <c r="BF160" s="702"/>
      <c r="BG160" s="702"/>
      <c r="BH160" s="702"/>
      <c r="BI160" s="702"/>
      <c r="BJ160" s="702"/>
      <c r="BK160" s="702"/>
      <c r="BL160" s="702"/>
      <c r="BM160" s="702"/>
      <c r="BN160" s="702"/>
      <c r="BO160" s="702"/>
      <c r="BP160" s="702"/>
      <c r="BQ160" s="702"/>
      <c r="BR160" s="702"/>
      <c r="BS160" s="702"/>
      <c r="BT160" s="702"/>
      <c r="BU160" s="702"/>
      <c r="BV160" s="702"/>
      <c r="BW160" s="702"/>
      <c r="BX160" s="702"/>
      <c r="BY160" s="702"/>
      <c r="BZ160" s="702"/>
      <c r="CA160" s="702"/>
      <c r="CB160" s="702"/>
      <c r="CC160" s="702"/>
      <c r="CD160" s="702"/>
      <c r="CE160" s="702"/>
      <c r="CF160" s="702"/>
      <c r="CG160" s="703"/>
    </row>
    <row r="161" spans="3:86" ht="11.25" customHeight="1">
      <c r="C161" s="704"/>
      <c r="D161" s="705"/>
      <c r="E161" s="705"/>
      <c r="F161" s="705"/>
      <c r="G161" s="705"/>
      <c r="H161" s="705"/>
      <c r="I161" s="705"/>
      <c r="J161" s="705"/>
      <c r="K161" s="705"/>
      <c r="L161" s="705"/>
      <c r="M161" s="705"/>
      <c r="N161" s="705"/>
      <c r="O161" s="705"/>
      <c r="P161" s="705"/>
      <c r="Q161" s="705"/>
      <c r="R161" s="705"/>
      <c r="S161" s="705"/>
      <c r="T161" s="705"/>
      <c r="U161" s="705"/>
      <c r="V161" s="705"/>
      <c r="W161" s="705"/>
      <c r="X161" s="705"/>
      <c r="Y161" s="705"/>
      <c r="Z161" s="705"/>
      <c r="AA161" s="705"/>
      <c r="AB161" s="705"/>
      <c r="AC161" s="705"/>
      <c r="AD161" s="705"/>
      <c r="AE161" s="705"/>
      <c r="AF161" s="705"/>
      <c r="AG161" s="705"/>
      <c r="AH161" s="705"/>
      <c r="AI161" s="705"/>
      <c r="AJ161" s="705"/>
      <c r="AK161" s="705"/>
      <c r="AL161" s="705"/>
      <c r="AM161" s="705"/>
      <c r="AN161" s="705"/>
      <c r="AO161" s="705"/>
      <c r="AP161" s="705"/>
      <c r="AQ161" s="705"/>
      <c r="AR161" s="705"/>
      <c r="AS161" s="705"/>
      <c r="AT161" s="705"/>
      <c r="AU161" s="705"/>
      <c r="AV161" s="705"/>
      <c r="AW161" s="705"/>
      <c r="AX161" s="705"/>
      <c r="AY161" s="705"/>
      <c r="AZ161" s="705"/>
      <c r="BA161" s="705"/>
      <c r="BB161" s="705"/>
      <c r="BC161" s="705"/>
      <c r="BD161" s="705"/>
      <c r="BE161" s="705"/>
      <c r="BF161" s="705"/>
      <c r="BG161" s="705"/>
      <c r="BH161" s="705"/>
      <c r="BI161" s="705"/>
      <c r="BJ161" s="705"/>
      <c r="BK161" s="705"/>
      <c r="BL161" s="705"/>
      <c r="BM161" s="705"/>
      <c r="BN161" s="705"/>
      <c r="BO161" s="705"/>
      <c r="BP161" s="705"/>
      <c r="BQ161" s="705"/>
      <c r="BR161" s="705"/>
      <c r="BS161" s="705"/>
      <c r="BT161" s="705"/>
      <c r="BU161" s="705"/>
      <c r="BV161" s="705"/>
      <c r="BW161" s="705"/>
      <c r="BX161" s="705"/>
      <c r="BY161" s="705"/>
      <c r="BZ161" s="705"/>
      <c r="CA161" s="705"/>
      <c r="CB161" s="705"/>
      <c r="CC161" s="705"/>
      <c r="CD161" s="705"/>
      <c r="CE161" s="705"/>
      <c r="CF161" s="705"/>
      <c r="CG161" s="706"/>
    </row>
    <row r="163" spans="3:86" ht="8.25" customHeight="1">
      <c r="BA163" s="677"/>
      <c r="BB163" s="678"/>
      <c r="BC163" s="678"/>
      <c r="BD163" s="678"/>
      <c r="BE163" s="678"/>
      <c r="BF163" s="678"/>
      <c r="BG163" s="678"/>
      <c r="BH163" s="678"/>
      <c r="BI163" s="678"/>
      <c r="BJ163" s="678"/>
      <c r="BK163" s="678"/>
      <c r="BL163" s="679"/>
      <c r="BM163" s="390"/>
      <c r="BN163" s="390"/>
      <c r="BO163" s="390"/>
      <c r="BP163" s="390"/>
      <c r="BQ163" s="390"/>
      <c r="BR163" s="390"/>
      <c r="BS163" s="390"/>
      <c r="BT163" s="390"/>
      <c r="BU163" s="390"/>
      <c r="BV163" s="390"/>
      <c r="BW163" s="740"/>
      <c r="BX163" s="741"/>
      <c r="BY163" s="741"/>
      <c r="BZ163" s="741"/>
      <c r="CA163" s="741"/>
      <c r="CB163" s="741"/>
      <c r="CC163" s="741"/>
      <c r="CD163" s="741"/>
      <c r="CE163" s="741"/>
      <c r="CF163" s="741"/>
      <c r="CG163" s="742"/>
    </row>
    <row r="164" spans="3:86" ht="8.25" customHeight="1">
      <c r="AO164" s="749" t="s">
        <v>521</v>
      </c>
      <c r="AP164" s="749"/>
      <c r="AQ164" s="749"/>
      <c r="AR164" s="749"/>
      <c r="AS164" s="749"/>
      <c r="AT164" s="749"/>
      <c r="AU164" s="749"/>
      <c r="AV164" s="749"/>
      <c r="AW164" s="749"/>
      <c r="AX164" s="749"/>
      <c r="AY164" s="749"/>
      <c r="AZ164" s="749"/>
      <c r="BA164" s="680"/>
      <c r="BB164" s="681"/>
      <c r="BC164" s="681"/>
      <c r="BD164" s="681"/>
      <c r="BE164" s="681"/>
      <c r="BF164" s="681"/>
      <c r="BG164" s="681"/>
      <c r="BH164" s="681"/>
      <c r="BI164" s="681"/>
      <c r="BJ164" s="681"/>
      <c r="BK164" s="681"/>
      <c r="BL164" s="682"/>
      <c r="BM164" s="390"/>
      <c r="BN164" s="390"/>
      <c r="BO164" s="750" t="s">
        <v>522</v>
      </c>
      <c r="BP164" s="750"/>
      <c r="BQ164" s="750"/>
      <c r="BR164" s="750"/>
      <c r="BS164" s="750"/>
      <c r="BT164" s="750"/>
      <c r="BU164" s="750"/>
      <c r="BV164" s="750"/>
      <c r="BW164" s="743"/>
      <c r="BX164" s="744"/>
      <c r="BY164" s="744"/>
      <c r="BZ164" s="744"/>
      <c r="CA164" s="744"/>
      <c r="CB164" s="744"/>
      <c r="CC164" s="744"/>
      <c r="CD164" s="744"/>
      <c r="CE164" s="744"/>
      <c r="CF164" s="744"/>
      <c r="CG164" s="745"/>
    </row>
    <row r="165" spans="3:86" ht="8.25" customHeight="1">
      <c r="AO165" s="749"/>
      <c r="AP165" s="749"/>
      <c r="AQ165" s="749"/>
      <c r="AR165" s="749"/>
      <c r="AS165" s="749"/>
      <c r="AT165" s="749"/>
      <c r="AU165" s="749"/>
      <c r="AV165" s="749"/>
      <c r="AW165" s="749"/>
      <c r="AX165" s="749"/>
      <c r="AY165" s="749"/>
      <c r="AZ165" s="749"/>
      <c r="BA165" s="680"/>
      <c r="BB165" s="681"/>
      <c r="BC165" s="681"/>
      <c r="BD165" s="681"/>
      <c r="BE165" s="681"/>
      <c r="BF165" s="681"/>
      <c r="BG165" s="681"/>
      <c r="BH165" s="681"/>
      <c r="BI165" s="681"/>
      <c r="BJ165" s="681"/>
      <c r="BK165" s="681"/>
      <c r="BL165" s="682"/>
      <c r="BM165" s="390"/>
      <c r="BN165" s="390"/>
      <c r="BO165" s="750"/>
      <c r="BP165" s="750"/>
      <c r="BQ165" s="750"/>
      <c r="BR165" s="750"/>
      <c r="BS165" s="750"/>
      <c r="BT165" s="750"/>
      <c r="BU165" s="750"/>
      <c r="BV165" s="750"/>
      <c r="BW165" s="743"/>
      <c r="BX165" s="744"/>
      <c r="BY165" s="744"/>
      <c r="BZ165" s="744"/>
      <c r="CA165" s="744"/>
      <c r="CB165" s="744"/>
      <c r="CC165" s="744"/>
      <c r="CD165" s="744"/>
      <c r="CE165" s="744"/>
      <c r="CF165" s="744"/>
      <c r="CG165" s="745"/>
    </row>
    <row r="166" spans="3:86" ht="8.25" customHeight="1">
      <c r="AO166" s="749"/>
      <c r="AP166" s="749"/>
      <c r="AQ166" s="749"/>
      <c r="AR166" s="749"/>
      <c r="AS166" s="749"/>
      <c r="AT166" s="749"/>
      <c r="AU166" s="749"/>
      <c r="AV166" s="749"/>
      <c r="AW166" s="749"/>
      <c r="AX166" s="749"/>
      <c r="AY166" s="749"/>
      <c r="AZ166" s="749"/>
      <c r="BA166" s="683"/>
      <c r="BB166" s="684"/>
      <c r="BC166" s="684"/>
      <c r="BD166" s="684"/>
      <c r="BE166" s="684"/>
      <c r="BF166" s="684"/>
      <c r="BG166" s="684"/>
      <c r="BH166" s="684"/>
      <c r="BI166" s="684"/>
      <c r="BJ166" s="684"/>
      <c r="BK166" s="684"/>
      <c r="BL166" s="685"/>
      <c r="BM166" s="390"/>
      <c r="BN166" s="390"/>
      <c r="BO166" s="750"/>
      <c r="BP166" s="750"/>
      <c r="BQ166" s="750"/>
      <c r="BR166" s="750"/>
      <c r="BS166" s="750"/>
      <c r="BT166" s="750"/>
      <c r="BU166" s="750"/>
      <c r="BV166" s="750"/>
      <c r="BW166" s="746"/>
      <c r="BX166" s="747"/>
      <c r="BY166" s="747"/>
      <c r="BZ166" s="747"/>
      <c r="CA166" s="747"/>
      <c r="CB166" s="747"/>
      <c r="CC166" s="747"/>
      <c r="CD166" s="747"/>
      <c r="CE166" s="747"/>
      <c r="CF166" s="747"/>
      <c r="CG166" s="748"/>
    </row>
    <row r="167" spans="3:86" ht="8.25" customHeight="1">
      <c r="G167" s="391"/>
      <c r="H167" s="391"/>
      <c r="I167" s="391"/>
      <c r="J167" s="391"/>
      <c r="K167" s="391"/>
      <c r="L167" s="391"/>
      <c r="M167" s="391"/>
      <c r="N167" s="391"/>
      <c r="O167" s="391"/>
      <c r="P167" s="391"/>
      <c r="Q167" s="391"/>
      <c r="R167" s="391"/>
      <c r="S167" s="391"/>
      <c r="T167" s="391"/>
      <c r="U167" s="391"/>
      <c r="V167" s="391"/>
      <c r="W167" s="391"/>
      <c r="X167" s="391"/>
      <c r="Y167" s="391"/>
      <c r="Z167" s="391"/>
      <c r="AA167" s="391"/>
      <c r="AB167" s="391"/>
      <c r="AC167" s="391"/>
      <c r="AD167" s="391"/>
      <c r="AE167" s="391"/>
      <c r="AF167" s="391"/>
      <c r="AG167" s="391"/>
      <c r="AH167" s="391"/>
      <c r="AI167" s="391"/>
      <c r="AJ167" s="391"/>
      <c r="AK167" s="391"/>
      <c r="AL167" s="391"/>
      <c r="AM167" s="391"/>
      <c r="AN167" s="391"/>
      <c r="AO167" s="391"/>
      <c r="AP167" s="391"/>
      <c r="AQ167" s="391"/>
      <c r="AR167" s="391"/>
      <c r="AS167" s="391"/>
      <c r="AT167" s="391"/>
      <c r="AU167" s="391"/>
      <c r="AV167" s="391"/>
      <c r="AW167" s="391"/>
      <c r="AX167" s="391"/>
      <c r="AY167" s="391"/>
      <c r="AZ167" s="391"/>
      <c r="BA167" s="391"/>
      <c r="BB167" s="391"/>
      <c r="BC167" s="391"/>
      <c r="BD167" s="391"/>
      <c r="BE167" s="391"/>
      <c r="BF167" s="391"/>
      <c r="BG167" s="391"/>
      <c r="BH167" s="391"/>
      <c r="BI167" s="391"/>
      <c r="BJ167" s="391"/>
      <c r="BK167" s="391"/>
      <c r="BL167" s="391"/>
      <c r="BM167" s="391"/>
      <c r="BN167" s="391"/>
      <c r="BO167" s="391"/>
      <c r="BP167" s="391"/>
      <c r="BQ167" s="391"/>
      <c r="BR167" s="391"/>
      <c r="BS167" s="391"/>
      <c r="BT167" s="391"/>
      <c r="BU167" s="391"/>
      <c r="BV167" s="391"/>
      <c r="BW167" s="391"/>
      <c r="BX167" s="391"/>
      <c r="BY167" s="391"/>
      <c r="BZ167" s="391"/>
      <c r="CA167" s="391"/>
      <c r="CB167" s="391"/>
      <c r="CC167" s="391"/>
      <c r="CD167" s="391"/>
      <c r="CE167" s="391"/>
      <c r="CF167" s="391"/>
      <c r="CG167" s="391"/>
      <c r="CH167" s="391"/>
    </row>
    <row r="168" spans="3:86" ht="8.25" customHeight="1">
      <c r="G168" s="391"/>
      <c r="H168" s="391"/>
      <c r="I168" s="391"/>
      <c r="J168" s="391"/>
      <c r="K168" s="391"/>
      <c r="L168" s="391"/>
      <c r="M168" s="391"/>
      <c r="N168" s="391"/>
      <c r="O168" s="391"/>
      <c r="P168" s="391"/>
      <c r="Q168" s="391"/>
      <c r="R168" s="391"/>
      <c r="S168" s="391"/>
      <c r="T168" s="391"/>
      <c r="U168" s="391"/>
      <c r="V168" s="391"/>
      <c r="W168" s="391"/>
      <c r="X168" s="391"/>
      <c r="Y168" s="391"/>
      <c r="Z168" s="391"/>
      <c r="AA168" s="391"/>
      <c r="AB168" s="391"/>
      <c r="AC168" s="391"/>
      <c r="AD168" s="391"/>
      <c r="AE168" s="391"/>
      <c r="AF168" s="391"/>
      <c r="AG168" s="391"/>
      <c r="AH168" s="391"/>
      <c r="AI168" s="391"/>
      <c r="AJ168" s="391"/>
      <c r="AK168" s="391"/>
      <c r="AL168" s="391"/>
      <c r="AM168" s="391"/>
      <c r="AN168" s="391"/>
      <c r="AO168" s="391"/>
      <c r="AP168" s="391"/>
      <c r="AQ168" s="391"/>
      <c r="AR168" s="391"/>
      <c r="AS168" s="391"/>
      <c r="AT168" s="391"/>
      <c r="AU168" s="391"/>
      <c r="AV168" s="391"/>
      <c r="AW168" s="391"/>
      <c r="AX168" s="391"/>
      <c r="AY168" s="391"/>
      <c r="AZ168" s="391"/>
      <c r="BA168" s="391"/>
      <c r="BB168" s="391"/>
      <c r="BC168" s="391"/>
      <c r="BD168" s="391"/>
      <c r="BE168" s="391"/>
      <c r="BF168" s="391"/>
      <c r="BG168" s="391"/>
      <c r="BH168" s="391"/>
      <c r="BI168" s="391"/>
      <c r="BJ168" s="391"/>
      <c r="BK168" s="391"/>
      <c r="BL168" s="391"/>
      <c r="BM168" s="391"/>
      <c r="BN168" s="391"/>
      <c r="BO168" s="391"/>
      <c r="BP168" s="391"/>
      <c r="BQ168" s="391"/>
      <c r="BR168" s="391"/>
      <c r="BS168" s="391"/>
      <c r="BT168" s="391"/>
      <c r="BU168" s="391"/>
      <c r="BV168" s="391"/>
      <c r="BW168" s="391"/>
      <c r="BX168" s="391"/>
      <c r="BY168" s="391"/>
      <c r="BZ168" s="391"/>
      <c r="CA168" s="391"/>
      <c r="CB168" s="391"/>
      <c r="CC168" s="391"/>
      <c r="CD168" s="391"/>
      <c r="CE168" s="391"/>
      <c r="CF168" s="391"/>
      <c r="CG168" s="391"/>
      <c r="CH168" s="391"/>
    </row>
  </sheetData>
  <mergeCells count="250">
    <mergeCell ref="CP95:DA97"/>
    <mergeCell ref="A1:P1"/>
    <mergeCell ref="Q1:AF1"/>
    <mergeCell ref="AW1:CI3"/>
    <mergeCell ref="A2:P2"/>
    <mergeCell ref="Q2:AF2"/>
    <mergeCell ref="A3:P3"/>
    <mergeCell ref="Q3:AF3"/>
    <mergeCell ref="C13:F13"/>
    <mergeCell ref="G13:BI13"/>
    <mergeCell ref="A7:P7"/>
    <mergeCell ref="Q7:AF7"/>
    <mergeCell ref="A4:P4"/>
    <mergeCell ref="Q4:AF4"/>
    <mergeCell ref="AW4:CI6"/>
    <mergeCell ref="A5:P5"/>
    <mergeCell ref="Q5:AF5"/>
    <mergeCell ref="AG5:AV6"/>
    <mergeCell ref="A6:P6"/>
    <mergeCell ref="Q6:AF6"/>
    <mergeCell ref="C14:F14"/>
    <mergeCell ref="G14:BI14"/>
    <mergeCell ref="BU8:CI8"/>
    <mergeCell ref="BF10:BT10"/>
    <mergeCell ref="BU10:CI10"/>
    <mergeCell ref="BJ12:BS12"/>
    <mergeCell ref="AO8:AV8"/>
    <mergeCell ref="AZ8:BG8"/>
    <mergeCell ref="AW8:AY8"/>
    <mergeCell ref="BJ13:CI13"/>
    <mergeCell ref="BJ14:CI14"/>
    <mergeCell ref="B8:Y9"/>
    <mergeCell ref="AF8:AN8"/>
    <mergeCell ref="BH8:BT8"/>
    <mergeCell ref="BW17:CI17"/>
    <mergeCell ref="Q18:AJ18"/>
    <mergeCell ref="B19:P19"/>
    <mergeCell ref="Q19:T19"/>
    <mergeCell ref="AK19:AS19"/>
    <mergeCell ref="AT19:AW19"/>
    <mergeCell ref="BL19:CE19"/>
    <mergeCell ref="CF19:CI19"/>
    <mergeCell ref="C15:F15"/>
    <mergeCell ref="G15:BI15"/>
    <mergeCell ref="B17:P17"/>
    <mergeCell ref="Q17:X17"/>
    <mergeCell ref="AC17:AJ17"/>
    <mergeCell ref="AK17:AP17"/>
    <mergeCell ref="AQ17:BB17"/>
    <mergeCell ref="BC17:BV17"/>
    <mergeCell ref="BJ15:CI15"/>
    <mergeCell ref="A20:CJ20"/>
    <mergeCell ref="B21:L21"/>
    <mergeCell ref="M21:T21"/>
    <mergeCell ref="U21:X21"/>
    <mergeCell ref="Y21:AH21"/>
    <mergeCell ref="AI21:AL21"/>
    <mergeCell ref="AR21:BC21"/>
    <mergeCell ref="BD21:BG21"/>
    <mergeCell ref="BH21:BS21"/>
    <mergeCell ref="BT21:BW21"/>
    <mergeCell ref="BX21:CE21"/>
    <mergeCell ref="CF21:CI21"/>
    <mergeCell ref="AV22:BC22"/>
    <mergeCell ref="B23:R23"/>
    <mergeCell ref="S23:AH23"/>
    <mergeCell ref="AI23:AL23"/>
    <mergeCell ref="AR23:BC23"/>
    <mergeCell ref="BD23:BG23"/>
    <mergeCell ref="BH23:BS23"/>
    <mergeCell ref="BT23:BW23"/>
    <mergeCell ref="BX23:CE23"/>
    <mergeCell ref="CF23:CI23"/>
    <mergeCell ref="AB24:CI24"/>
    <mergeCell ref="B25:R25"/>
    <mergeCell ref="AR25:BC25"/>
    <mergeCell ref="BD25:BG25"/>
    <mergeCell ref="BH25:BS25"/>
    <mergeCell ref="BT25:BW25"/>
    <mergeCell ref="BX25:CE25"/>
    <mergeCell ref="CF25:CI25"/>
    <mergeCell ref="BH27:BK27"/>
    <mergeCell ref="BL27:BS27"/>
    <mergeCell ref="BT27:BW27"/>
    <mergeCell ref="BX27:CE27"/>
    <mergeCell ref="CF27:CI27"/>
    <mergeCell ref="T28:CJ28"/>
    <mergeCell ref="B27:M27"/>
    <mergeCell ref="N27:AD27"/>
    <mergeCell ref="AE27:AH27"/>
    <mergeCell ref="AI27:AT27"/>
    <mergeCell ref="AU27:AX27"/>
    <mergeCell ref="AY27:BG27"/>
    <mergeCell ref="AD33:AM33"/>
    <mergeCell ref="AQ33:CI41"/>
    <mergeCell ref="C34:AC34"/>
    <mergeCell ref="AD34:AM34"/>
    <mergeCell ref="C35:AC35"/>
    <mergeCell ref="AD35:AM35"/>
    <mergeCell ref="C36:AC36"/>
    <mergeCell ref="AD36:AM36"/>
    <mergeCell ref="AQ30:CI32"/>
    <mergeCell ref="C31:AC31"/>
    <mergeCell ref="AD31:AM31"/>
    <mergeCell ref="C32:AC32"/>
    <mergeCell ref="AD41:AM41"/>
    <mergeCell ref="C42:N42"/>
    <mergeCell ref="O42:U42"/>
    <mergeCell ref="V42:AC42"/>
    <mergeCell ref="AD42:AM42"/>
    <mergeCell ref="AQ42:AZ42"/>
    <mergeCell ref="C37:AC37"/>
    <mergeCell ref="AD37:AM37"/>
    <mergeCell ref="A38:B41"/>
    <mergeCell ref="C38:AC38"/>
    <mergeCell ref="AD38:AM38"/>
    <mergeCell ref="C39:AC39"/>
    <mergeCell ref="AD39:AM39"/>
    <mergeCell ref="C40:AC40"/>
    <mergeCell ref="AD40:AM40"/>
    <mergeCell ref="C41:AC41"/>
    <mergeCell ref="A29:B37"/>
    <mergeCell ref="C29:AC29"/>
    <mergeCell ref="AD29:AM29"/>
    <mergeCell ref="AQ29:CI29"/>
    <mergeCell ref="C30:AC30"/>
    <mergeCell ref="AD30:AM30"/>
    <mergeCell ref="BA42:BE42"/>
    <mergeCell ref="AD32:AM32"/>
    <mergeCell ref="C33:AC33"/>
    <mergeCell ref="B43:CI43"/>
    <mergeCell ref="O44:BT47"/>
    <mergeCell ref="O48:Q50"/>
    <mergeCell ref="R48:T50"/>
    <mergeCell ref="U48:W50"/>
    <mergeCell ref="X48:Z50"/>
    <mergeCell ref="AA48:AC50"/>
    <mergeCell ref="BS49:BY50"/>
    <mergeCell ref="BS51:BY53"/>
    <mergeCell ref="BZ51:CF53"/>
    <mergeCell ref="AS54:BE55"/>
    <mergeCell ref="O63:P64"/>
    <mergeCell ref="AC63:AD64"/>
    <mergeCell ref="AQ63:AR64"/>
    <mergeCell ref="BE63:BF64"/>
    <mergeCell ref="BZ49:CF50"/>
    <mergeCell ref="F51:N53"/>
    <mergeCell ref="O51:Q53"/>
    <mergeCell ref="R51:T53"/>
    <mergeCell ref="U51:W53"/>
    <mergeCell ref="X51:Z53"/>
    <mergeCell ref="AA51:AC53"/>
    <mergeCell ref="AE51:AR53"/>
    <mergeCell ref="AS51:BE53"/>
    <mergeCell ref="BF51:BR53"/>
    <mergeCell ref="R80:S81"/>
    <mergeCell ref="AF80:AG81"/>
    <mergeCell ref="AT80:AU81"/>
    <mergeCell ref="BH80:BI81"/>
    <mergeCell ref="O89:P90"/>
    <mergeCell ref="AC89:AD90"/>
    <mergeCell ref="AQ89:AR90"/>
    <mergeCell ref="BE89:BF90"/>
    <mergeCell ref="R66:Y67"/>
    <mergeCell ref="AF66:AG67"/>
    <mergeCell ref="AT66:AU67"/>
    <mergeCell ref="BH66:BI67"/>
    <mergeCell ref="S74:Y76"/>
    <mergeCell ref="AF75:AL76"/>
    <mergeCell ref="AT75:BA76"/>
    <mergeCell ref="F95:AL96"/>
    <mergeCell ref="G103:J106"/>
    <mergeCell ref="K103:N106"/>
    <mergeCell ref="Q103:T106"/>
    <mergeCell ref="U103:X106"/>
    <mergeCell ref="AA103:AD106"/>
    <mergeCell ref="AE103:AH106"/>
    <mergeCell ref="AK103:AN106"/>
    <mergeCell ref="H100:M101"/>
    <mergeCell ref="R100:W101"/>
    <mergeCell ref="AB100:AG101"/>
    <mergeCell ref="AL100:AQ101"/>
    <mergeCell ref="AY107:BB110"/>
    <mergeCell ref="BE107:BH110"/>
    <mergeCell ref="BI107:BL110"/>
    <mergeCell ref="BO107:BR110"/>
    <mergeCell ref="BS103:BV106"/>
    <mergeCell ref="BY103:CB106"/>
    <mergeCell ref="CC103:CF106"/>
    <mergeCell ref="G107:J110"/>
    <mergeCell ref="K107:N110"/>
    <mergeCell ref="Q107:T110"/>
    <mergeCell ref="U107:X110"/>
    <mergeCell ref="AA107:AD110"/>
    <mergeCell ref="AE107:AH110"/>
    <mergeCell ref="AK107:AN110"/>
    <mergeCell ref="AO103:AR106"/>
    <mergeCell ref="AU103:AX106"/>
    <mergeCell ref="AY103:BB106"/>
    <mergeCell ref="BE103:BH106"/>
    <mergeCell ref="BI103:BL106"/>
    <mergeCell ref="BO103:BR106"/>
    <mergeCell ref="BA163:BL166"/>
    <mergeCell ref="BW163:CG166"/>
    <mergeCell ref="AO164:AZ166"/>
    <mergeCell ref="BO164:BV166"/>
    <mergeCell ref="C153:Q155"/>
    <mergeCell ref="R153:CG155"/>
    <mergeCell ref="E129:Q131"/>
    <mergeCell ref="C132:CG134"/>
    <mergeCell ref="C135:CG137"/>
    <mergeCell ref="C138:CG140"/>
    <mergeCell ref="C141:CG143"/>
    <mergeCell ref="C144:CG146"/>
    <mergeCell ref="C156:CG158"/>
    <mergeCell ref="C159:CG161"/>
    <mergeCell ref="C118:P120"/>
    <mergeCell ref="BB119:BP122"/>
    <mergeCell ref="B125:Q127"/>
    <mergeCell ref="R125:Z127"/>
    <mergeCell ref="AA125:AM127"/>
    <mergeCell ref="AN125:BG127"/>
    <mergeCell ref="BH125:BO127"/>
    <mergeCell ref="BP125:CF127"/>
    <mergeCell ref="BB115:BP118"/>
    <mergeCell ref="AP116:BA121"/>
    <mergeCell ref="AV100:BA101"/>
    <mergeCell ref="BF100:BK101"/>
    <mergeCell ref="BP100:BU101"/>
    <mergeCell ref="BZ100:CE101"/>
    <mergeCell ref="BT42:BU42"/>
    <mergeCell ref="BF42:BS42"/>
    <mergeCell ref="BV42:BZ42"/>
    <mergeCell ref="Q117:AL120"/>
    <mergeCell ref="C150:Q152"/>
    <mergeCell ref="R150:CG152"/>
    <mergeCell ref="C147:CG149"/>
    <mergeCell ref="BX111:BY112"/>
    <mergeCell ref="BS107:BV110"/>
    <mergeCell ref="BY107:CB110"/>
    <mergeCell ref="CC107:CF110"/>
    <mergeCell ref="F111:G112"/>
    <mergeCell ref="P111:Q112"/>
    <mergeCell ref="Z111:AA112"/>
    <mergeCell ref="AJ111:AK112"/>
    <mergeCell ref="AT111:AU112"/>
    <mergeCell ref="BD111:BE112"/>
    <mergeCell ref="BN111:BO112"/>
    <mergeCell ref="AO107:AR110"/>
    <mergeCell ref="AU107:AX110"/>
  </mergeCells>
  <dataValidations count="1">
    <dataValidation type="list" allowBlank="1" showInputMessage="1" showErrorMessage="1" sqref="AD30:AM41">
      <formula1>"SL, SD, SL 8-10, SD Mix, SL 700, Seigwerk Deep Draw, SL 800,"</formula1>
    </dataValidation>
  </dataValidations>
  <hyperlinks>
    <hyperlink ref="R150:CG152" r:id="rId1" display="\\W15LAN12\Graphics\1Customers\T\Tillamook\Tillamook_PO20626\working\Customer PDF_PO20626\18 Black Pepper Steak Cuts 3oz.pdf"/>
    <hyperlink ref="R153:CG155" r:id="rId2" display="\\W15LAN12\Graphics\1Customers\T\Tillamook\Tillamook_PO20626\working\PO20626_Item 18\Normalized PDF\18 Black Pepper_SR_Dist.pdf"/>
  </hyperlinks>
  <printOptions horizontalCentered="1"/>
  <pageMargins left="0" right="0" top="0" bottom="0" header="0.3" footer="0.3"/>
  <pageSetup scale="68" orientation="portrait" r:id="rId3"/>
  <rowBreaks count="1" manualBreakCount="1">
    <brk id="43" max="87" man="1"/>
  </rowBreaks>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FF66CC"/>
  </sheetPr>
  <dimension ref="A1:M32"/>
  <sheetViews>
    <sheetView zoomScale="85" zoomScaleNormal="85" workbookViewId="0">
      <selection activeCell="L17" sqref="L17"/>
    </sheetView>
  </sheetViews>
  <sheetFormatPr defaultRowHeight="12.75"/>
  <cols>
    <col min="1" max="5" width="9.140625" style="334"/>
    <col min="6" max="6" width="6" style="334" customWidth="1"/>
    <col min="7" max="12" width="9.140625" style="334"/>
    <col min="13" max="13" width="11.140625" style="334" customWidth="1"/>
    <col min="14" max="268" width="9.140625" style="334"/>
    <col min="269" max="269" width="11.140625" style="334" customWidth="1"/>
    <col min="270" max="524" width="9.140625" style="334"/>
    <col min="525" max="525" width="11.140625" style="334" customWidth="1"/>
    <col min="526" max="780" width="9.140625" style="334"/>
    <col min="781" max="781" width="11.140625" style="334" customWidth="1"/>
    <col min="782" max="1036" width="9.140625" style="334"/>
    <col min="1037" max="1037" width="11.140625" style="334" customWidth="1"/>
    <col min="1038" max="1292" width="9.140625" style="334"/>
    <col min="1293" max="1293" width="11.140625" style="334" customWidth="1"/>
    <col min="1294" max="1548" width="9.140625" style="334"/>
    <col min="1549" max="1549" width="11.140625" style="334" customWidth="1"/>
    <col min="1550" max="1804" width="9.140625" style="334"/>
    <col min="1805" max="1805" width="11.140625" style="334" customWidth="1"/>
    <col min="1806" max="2060" width="9.140625" style="334"/>
    <col min="2061" max="2061" width="11.140625" style="334" customWidth="1"/>
    <col min="2062" max="2316" width="9.140625" style="334"/>
    <col min="2317" max="2317" width="11.140625" style="334" customWidth="1"/>
    <col min="2318" max="2572" width="9.140625" style="334"/>
    <col min="2573" max="2573" width="11.140625" style="334" customWidth="1"/>
    <col min="2574" max="2828" width="9.140625" style="334"/>
    <col min="2829" max="2829" width="11.140625" style="334" customWidth="1"/>
    <col min="2830" max="3084" width="9.140625" style="334"/>
    <col min="3085" max="3085" width="11.140625" style="334" customWidth="1"/>
    <col min="3086" max="3340" width="9.140625" style="334"/>
    <col min="3341" max="3341" width="11.140625" style="334" customWidth="1"/>
    <col min="3342" max="3596" width="9.140625" style="334"/>
    <col min="3597" max="3597" width="11.140625" style="334" customWidth="1"/>
    <col min="3598" max="3852" width="9.140625" style="334"/>
    <col min="3853" max="3853" width="11.140625" style="334" customWidth="1"/>
    <col min="3854" max="4108" width="9.140625" style="334"/>
    <col min="4109" max="4109" width="11.140625" style="334" customWidth="1"/>
    <col min="4110" max="4364" width="9.140625" style="334"/>
    <col min="4365" max="4365" width="11.140625" style="334" customWidth="1"/>
    <col min="4366" max="4620" width="9.140625" style="334"/>
    <col min="4621" max="4621" width="11.140625" style="334" customWidth="1"/>
    <col min="4622" max="4876" width="9.140625" style="334"/>
    <col min="4877" max="4877" width="11.140625" style="334" customWidth="1"/>
    <col min="4878" max="5132" width="9.140625" style="334"/>
    <col min="5133" max="5133" width="11.140625" style="334" customWidth="1"/>
    <col min="5134" max="5388" width="9.140625" style="334"/>
    <col min="5389" max="5389" width="11.140625" style="334" customWidth="1"/>
    <col min="5390" max="5644" width="9.140625" style="334"/>
    <col min="5645" max="5645" width="11.140625" style="334" customWidth="1"/>
    <col min="5646" max="5900" width="9.140625" style="334"/>
    <col min="5901" max="5901" width="11.140625" style="334" customWidth="1"/>
    <col min="5902" max="6156" width="9.140625" style="334"/>
    <col min="6157" max="6157" width="11.140625" style="334" customWidth="1"/>
    <col min="6158" max="6412" width="9.140625" style="334"/>
    <col min="6413" max="6413" width="11.140625" style="334" customWidth="1"/>
    <col min="6414" max="6668" width="9.140625" style="334"/>
    <col min="6669" max="6669" width="11.140625" style="334" customWidth="1"/>
    <col min="6670" max="6924" width="9.140625" style="334"/>
    <col min="6925" max="6925" width="11.140625" style="334" customWidth="1"/>
    <col min="6926" max="7180" width="9.140625" style="334"/>
    <col min="7181" max="7181" width="11.140625" style="334" customWidth="1"/>
    <col min="7182" max="7436" width="9.140625" style="334"/>
    <col min="7437" max="7437" width="11.140625" style="334" customWidth="1"/>
    <col min="7438" max="7692" width="9.140625" style="334"/>
    <col min="7693" max="7693" width="11.140625" style="334" customWidth="1"/>
    <col min="7694" max="7948" width="9.140625" style="334"/>
    <col min="7949" max="7949" width="11.140625" style="334" customWidth="1"/>
    <col min="7950" max="8204" width="9.140625" style="334"/>
    <col min="8205" max="8205" width="11.140625" style="334" customWidth="1"/>
    <col min="8206" max="8460" width="9.140625" style="334"/>
    <col min="8461" max="8461" width="11.140625" style="334" customWidth="1"/>
    <col min="8462" max="8716" width="9.140625" style="334"/>
    <col min="8717" max="8717" width="11.140625" style="334" customWidth="1"/>
    <col min="8718" max="8972" width="9.140625" style="334"/>
    <col min="8973" max="8973" width="11.140625" style="334" customWidth="1"/>
    <col min="8974" max="9228" width="9.140625" style="334"/>
    <col min="9229" max="9229" width="11.140625" style="334" customWidth="1"/>
    <col min="9230" max="9484" width="9.140625" style="334"/>
    <col min="9485" max="9485" width="11.140625" style="334" customWidth="1"/>
    <col min="9486" max="9740" width="9.140625" style="334"/>
    <col min="9741" max="9741" width="11.140625" style="334" customWidth="1"/>
    <col min="9742" max="9996" width="9.140625" style="334"/>
    <col min="9997" max="9997" width="11.140625" style="334" customWidth="1"/>
    <col min="9998" max="10252" width="9.140625" style="334"/>
    <col min="10253" max="10253" width="11.140625" style="334" customWidth="1"/>
    <col min="10254" max="10508" width="9.140625" style="334"/>
    <col min="10509" max="10509" width="11.140625" style="334" customWidth="1"/>
    <col min="10510" max="10764" width="9.140625" style="334"/>
    <col min="10765" max="10765" width="11.140625" style="334" customWidth="1"/>
    <col min="10766" max="11020" width="9.140625" style="334"/>
    <col min="11021" max="11021" width="11.140625" style="334" customWidth="1"/>
    <col min="11022" max="11276" width="9.140625" style="334"/>
    <col min="11277" max="11277" width="11.140625" style="334" customWidth="1"/>
    <col min="11278" max="11532" width="9.140625" style="334"/>
    <col min="11533" max="11533" width="11.140625" style="334" customWidth="1"/>
    <col min="11534" max="11788" width="9.140625" style="334"/>
    <col min="11789" max="11789" width="11.140625" style="334" customWidth="1"/>
    <col min="11790" max="12044" width="9.140625" style="334"/>
    <col min="12045" max="12045" width="11.140625" style="334" customWidth="1"/>
    <col min="12046" max="12300" width="9.140625" style="334"/>
    <col min="12301" max="12301" width="11.140625" style="334" customWidth="1"/>
    <col min="12302" max="12556" width="9.140625" style="334"/>
    <col min="12557" max="12557" width="11.140625" style="334" customWidth="1"/>
    <col min="12558" max="12812" width="9.140625" style="334"/>
    <col min="12813" max="12813" width="11.140625" style="334" customWidth="1"/>
    <col min="12814" max="13068" width="9.140625" style="334"/>
    <col min="13069" max="13069" width="11.140625" style="334" customWidth="1"/>
    <col min="13070" max="13324" width="9.140625" style="334"/>
    <col min="13325" max="13325" width="11.140625" style="334" customWidth="1"/>
    <col min="13326" max="13580" width="9.140625" style="334"/>
    <col min="13581" max="13581" width="11.140625" style="334" customWidth="1"/>
    <col min="13582" max="13836" width="9.140625" style="334"/>
    <col min="13837" max="13837" width="11.140625" style="334" customWidth="1"/>
    <col min="13838" max="14092" width="9.140625" style="334"/>
    <col min="14093" max="14093" width="11.140625" style="334" customWidth="1"/>
    <col min="14094" max="14348" width="9.140625" style="334"/>
    <col min="14349" max="14349" width="11.140625" style="334" customWidth="1"/>
    <col min="14350" max="14604" width="9.140625" style="334"/>
    <col min="14605" max="14605" width="11.140625" style="334" customWidth="1"/>
    <col min="14606" max="14860" width="9.140625" style="334"/>
    <col min="14861" max="14861" width="11.140625" style="334" customWidth="1"/>
    <col min="14862" max="15116" width="9.140625" style="334"/>
    <col min="15117" max="15117" width="11.140625" style="334" customWidth="1"/>
    <col min="15118" max="15372" width="9.140625" style="334"/>
    <col min="15373" max="15373" width="11.140625" style="334" customWidth="1"/>
    <col min="15374" max="15628" width="9.140625" style="334"/>
    <col min="15629" max="15629" width="11.140625" style="334" customWidth="1"/>
    <col min="15630" max="15884" width="9.140625" style="334"/>
    <col min="15885" max="15885" width="11.140625" style="334" customWidth="1"/>
    <col min="15886" max="16140" width="9.140625" style="334"/>
    <col min="16141" max="16141" width="11.140625" style="334" customWidth="1"/>
    <col min="16142" max="16384" width="9.140625" style="334"/>
  </cols>
  <sheetData>
    <row r="1" spans="1:13" ht="33.75">
      <c r="A1" s="392" t="s">
        <v>551</v>
      </c>
      <c r="B1" s="393"/>
      <c r="C1" s="393"/>
      <c r="D1" s="393"/>
      <c r="E1" s="394"/>
      <c r="F1" s="394"/>
      <c r="G1" s="394"/>
      <c r="H1" s="394"/>
      <c r="I1" s="395"/>
      <c r="J1" s="395"/>
      <c r="K1" s="395"/>
      <c r="L1" s="395"/>
      <c r="M1" s="395"/>
    </row>
    <row r="2" spans="1:13" ht="27">
      <c r="A2" s="396"/>
      <c r="B2" s="396"/>
      <c r="C2" s="396"/>
      <c r="D2" s="396"/>
      <c r="E2" s="396"/>
    </row>
    <row r="3" spans="1:13" ht="30.75" thickBot="1">
      <c r="A3" s="396" t="s">
        <v>592</v>
      </c>
      <c r="B3" s="396"/>
      <c r="C3" s="885"/>
      <c r="D3" s="885"/>
      <c r="E3" s="885"/>
      <c r="F3" s="885"/>
      <c r="G3" s="416" t="s">
        <v>593</v>
      </c>
      <c r="I3" s="886"/>
      <c r="J3" s="886"/>
      <c r="K3" s="886"/>
      <c r="L3" s="886"/>
    </row>
    <row r="4" spans="1:13" ht="30.75" thickBot="1">
      <c r="A4" s="396"/>
      <c r="B4" s="396"/>
      <c r="C4" s="417"/>
      <c r="D4" s="417"/>
      <c r="E4" s="417"/>
      <c r="F4" s="401"/>
      <c r="G4" s="416"/>
      <c r="I4" s="396"/>
    </row>
    <row r="5" spans="1:13" ht="27.75" thickBot="1">
      <c r="A5" s="396"/>
      <c r="B5" s="396"/>
      <c r="C5" s="396"/>
      <c r="D5" s="396"/>
      <c r="E5" s="396"/>
      <c r="J5" s="397"/>
      <c r="K5" s="398" t="s">
        <v>552</v>
      </c>
      <c r="L5" s="399"/>
      <c r="M5" s="400"/>
    </row>
    <row r="6" spans="1:13" ht="27">
      <c r="A6" s="396"/>
      <c r="B6" s="396"/>
      <c r="C6" s="396"/>
      <c r="D6" s="396"/>
      <c r="E6" s="396"/>
      <c r="J6" s="419">
        <v>1</v>
      </c>
      <c r="K6" s="894"/>
      <c r="L6" s="894"/>
      <c r="M6" s="895"/>
    </row>
    <row r="7" spans="1:13" ht="27.75" thickBot="1">
      <c r="A7" s="396"/>
      <c r="B7" s="396"/>
      <c r="C7" s="396"/>
      <c r="D7" s="396"/>
      <c r="E7" s="396"/>
      <c r="J7" s="888"/>
      <c r="K7" s="889"/>
      <c r="L7" s="889"/>
      <c r="M7" s="890"/>
    </row>
    <row r="8" spans="1:13" ht="27">
      <c r="A8" s="396"/>
      <c r="B8" s="396"/>
      <c r="C8" s="396"/>
      <c r="D8" s="396"/>
      <c r="E8" s="396"/>
      <c r="J8" s="420">
        <v>2</v>
      </c>
      <c r="K8" s="896"/>
      <c r="L8" s="896"/>
      <c r="M8" s="897"/>
    </row>
    <row r="9" spans="1:13" ht="27.75" thickBot="1">
      <c r="A9" s="396" t="s">
        <v>594</v>
      </c>
      <c r="B9" s="396"/>
      <c r="C9" s="396"/>
      <c r="D9" s="899">
        <f>'SPEC SHEET'!AW4</f>
        <v>0</v>
      </c>
      <c r="E9" s="899"/>
      <c r="F9" s="899"/>
      <c r="G9" s="899"/>
      <c r="H9" s="899"/>
      <c r="J9" s="891"/>
      <c r="K9" s="892"/>
      <c r="L9" s="892"/>
      <c r="M9" s="893"/>
    </row>
    <row r="10" spans="1:13" ht="27">
      <c r="A10" s="396"/>
      <c r="B10" s="396"/>
      <c r="C10" s="396"/>
      <c r="D10" s="396"/>
      <c r="E10" s="396"/>
      <c r="J10" s="420">
        <v>3</v>
      </c>
      <c r="K10" s="896"/>
      <c r="L10" s="896"/>
      <c r="M10" s="897"/>
    </row>
    <row r="11" spans="1:13" ht="27.75" thickBot="1">
      <c r="A11" s="396"/>
      <c r="B11" s="396"/>
      <c r="C11" s="396"/>
      <c r="D11" s="396"/>
      <c r="E11" s="396"/>
      <c r="J11" s="891"/>
      <c r="K11" s="892"/>
      <c r="L11" s="892"/>
      <c r="M11" s="893"/>
    </row>
    <row r="12" spans="1:13" ht="27.75" thickBot="1">
      <c r="A12" s="396" t="s">
        <v>595</v>
      </c>
      <c r="B12" s="396"/>
      <c r="C12" s="396"/>
      <c r="D12" s="900">
        <f>ICM!I3</f>
        <v>0</v>
      </c>
      <c r="E12" s="901"/>
      <c r="F12" s="418" t="s">
        <v>588</v>
      </c>
      <c r="G12" s="902">
        <f>ICM!B11</f>
        <v>0</v>
      </c>
      <c r="H12" s="903"/>
      <c r="J12" s="420">
        <v>4</v>
      </c>
      <c r="K12" s="896"/>
      <c r="L12" s="896"/>
      <c r="M12" s="897"/>
    </row>
    <row r="13" spans="1:13" ht="27.75" thickBot="1">
      <c r="A13" s="396"/>
      <c r="B13" s="396"/>
      <c r="C13" s="396"/>
      <c r="D13" s="396"/>
      <c r="E13" s="396"/>
      <c r="J13" s="891"/>
      <c r="K13" s="892"/>
      <c r="L13" s="892"/>
      <c r="M13" s="893"/>
    </row>
    <row r="14" spans="1:13" ht="27">
      <c r="A14" s="396"/>
      <c r="B14" s="396"/>
      <c r="C14" s="396"/>
      <c r="D14" s="396"/>
      <c r="E14" s="396"/>
      <c r="J14" s="420">
        <v>5</v>
      </c>
      <c r="K14" s="896"/>
      <c r="L14" s="896"/>
      <c r="M14" s="897"/>
    </row>
    <row r="15" spans="1:13" ht="27.75" thickBot="1">
      <c r="A15" s="396"/>
      <c r="B15" s="396"/>
      <c r="C15" s="396"/>
      <c r="D15" s="396"/>
      <c r="E15" s="396"/>
      <c r="J15" s="891"/>
      <c r="K15" s="892"/>
      <c r="L15" s="892"/>
      <c r="M15" s="893"/>
    </row>
    <row r="16" spans="1:13" ht="27">
      <c r="A16" s="396"/>
      <c r="B16" s="396"/>
      <c r="C16" s="396"/>
      <c r="D16" s="396"/>
      <c r="E16" s="396"/>
      <c r="J16" s="401"/>
      <c r="K16" s="401"/>
      <c r="L16" s="401"/>
      <c r="M16" s="401"/>
    </row>
    <row r="17" spans="1:13" ht="27.75" thickBot="1">
      <c r="A17" s="396" t="s">
        <v>553</v>
      </c>
      <c r="B17" s="396"/>
      <c r="C17" s="396"/>
      <c r="D17" s="396"/>
      <c r="E17" s="887"/>
      <c r="F17" s="887"/>
      <c r="G17" s="887"/>
      <c r="H17" s="887"/>
      <c r="J17" s="396"/>
    </row>
    <row r="18" spans="1:13" ht="27">
      <c r="A18" s="396"/>
      <c r="B18" s="396"/>
      <c r="C18" s="396"/>
      <c r="D18" s="396"/>
      <c r="E18" s="396"/>
      <c r="F18" s="396"/>
      <c r="J18" s="396"/>
    </row>
    <row r="19" spans="1:13" ht="27.75" thickBot="1">
      <c r="A19" s="396" t="s">
        <v>554</v>
      </c>
      <c r="B19" s="396"/>
      <c r="C19" s="396"/>
      <c r="D19" s="396"/>
      <c r="E19" s="885"/>
      <c r="F19" s="885"/>
      <c r="G19" s="885"/>
      <c r="H19" s="885"/>
      <c r="I19" s="885"/>
      <c r="J19" s="885"/>
      <c r="K19" s="885"/>
      <c r="L19" s="885"/>
      <c r="M19" s="885"/>
    </row>
    <row r="20" spans="1:13" ht="27.75" customHeight="1" thickBot="1">
      <c r="A20" s="885"/>
      <c r="B20" s="885"/>
      <c r="C20" s="885"/>
      <c r="D20" s="885"/>
      <c r="E20" s="885"/>
      <c r="F20" s="885"/>
      <c r="G20" s="885"/>
      <c r="H20" s="885"/>
      <c r="I20" s="885"/>
      <c r="J20" s="885"/>
      <c r="K20" s="885"/>
      <c r="L20" s="885"/>
      <c r="M20" s="885"/>
    </row>
    <row r="21" spans="1:13" ht="27.75" customHeight="1" thickBot="1">
      <c r="A21" s="885"/>
      <c r="B21" s="885"/>
      <c r="C21" s="885"/>
      <c r="D21" s="885"/>
      <c r="E21" s="885"/>
      <c r="F21" s="885"/>
      <c r="G21" s="885"/>
      <c r="H21" s="885"/>
      <c r="I21" s="885"/>
      <c r="J21" s="885"/>
      <c r="K21" s="885"/>
      <c r="L21" s="885"/>
      <c r="M21" s="885"/>
    </row>
    <row r="22" spans="1:13" ht="27">
      <c r="A22" s="396"/>
      <c r="B22" s="396"/>
      <c r="C22" s="396"/>
      <c r="D22" s="396"/>
      <c r="E22" s="396"/>
      <c r="F22" s="396"/>
      <c r="G22" s="396"/>
      <c r="H22" s="396"/>
      <c r="I22" s="396"/>
      <c r="J22" s="396"/>
      <c r="K22" s="396"/>
      <c r="L22" s="396"/>
      <c r="M22" s="396"/>
    </row>
    <row r="23" spans="1:13" ht="27.75" thickBot="1">
      <c r="A23" s="396" t="s">
        <v>468</v>
      </c>
      <c r="B23" s="396"/>
      <c r="C23" s="396"/>
      <c r="D23" s="885"/>
      <c r="E23" s="885"/>
      <c r="F23" s="885"/>
      <c r="G23" s="885"/>
      <c r="H23" s="885"/>
      <c r="I23" s="885"/>
      <c r="J23" s="885"/>
      <c r="K23" s="885"/>
      <c r="L23" s="885"/>
      <c r="M23" s="885"/>
    </row>
    <row r="24" spans="1:13" ht="27.75" customHeight="1" thickBot="1">
      <c r="A24" s="885"/>
      <c r="B24" s="885"/>
      <c r="C24" s="885"/>
      <c r="D24" s="885"/>
      <c r="E24" s="885"/>
      <c r="F24" s="885"/>
      <c r="G24" s="885"/>
      <c r="H24" s="885"/>
      <c r="I24" s="885"/>
      <c r="J24" s="885"/>
      <c r="K24" s="885"/>
      <c r="L24" s="885"/>
      <c r="M24" s="885"/>
    </row>
    <row r="25" spans="1:13" ht="27.75" customHeight="1" thickBot="1">
      <c r="A25" s="885"/>
      <c r="B25" s="885"/>
      <c r="C25" s="885"/>
      <c r="D25" s="885"/>
      <c r="E25" s="885"/>
      <c r="F25" s="885"/>
      <c r="G25" s="885"/>
      <c r="H25" s="885"/>
      <c r="I25" s="885"/>
      <c r="J25" s="885"/>
      <c r="K25" s="885"/>
      <c r="L25" s="885"/>
      <c r="M25" s="885"/>
    </row>
    <row r="26" spans="1:13" ht="27">
      <c r="A26" s="396"/>
      <c r="B26" s="396"/>
      <c r="C26" s="396"/>
      <c r="D26" s="396"/>
      <c r="E26" s="396"/>
      <c r="F26" s="396"/>
      <c r="G26" s="396"/>
      <c r="H26" s="396"/>
      <c r="I26" s="396"/>
      <c r="J26" s="396"/>
      <c r="K26" s="396"/>
      <c r="L26" s="396"/>
      <c r="M26" s="396"/>
    </row>
    <row r="27" spans="1:13" ht="27.75" thickBot="1">
      <c r="A27" s="898" t="s">
        <v>589</v>
      </c>
      <c r="B27" s="898"/>
      <c r="C27" s="898"/>
      <c r="D27" s="898"/>
      <c r="E27" s="898"/>
      <c r="F27" s="898"/>
      <c r="G27" s="885"/>
      <c r="H27" s="885"/>
      <c r="I27" s="885"/>
      <c r="J27" s="885"/>
      <c r="K27" s="885"/>
      <c r="L27" s="885"/>
      <c r="M27" s="885"/>
    </row>
    <row r="28" spans="1:13" ht="27">
      <c r="A28" s="402"/>
      <c r="B28" s="402"/>
      <c r="C28" s="402"/>
      <c r="D28" s="402"/>
      <c r="E28" s="402"/>
      <c r="F28" s="402"/>
      <c r="G28" s="402"/>
      <c r="H28" s="402"/>
      <c r="I28" s="402"/>
      <c r="J28" s="402"/>
      <c r="K28" s="402"/>
      <c r="L28" s="402"/>
      <c r="M28" s="402"/>
    </row>
    <row r="29" spans="1:13" ht="27.75" thickBot="1">
      <c r="A29" s="883" t="s">
        <v>590</v>
      </c>
      <c r="B29" s="883"/>
      <c r="C29" s="883"/>
      <c r="D29" s="885"/>
      <c r="E29" s="885"/>
      <c r="F29" s="885"/>
      <c r="G29" s="885"/>
      <c r="H29" s="885"/>
      <c r="I29" s="885"/>
      <c r="J29" s="885"/>
      <c r="K29" s="885"/>
      <c r="L29" s="885"/>
      <c r="M29" s="885"/>
    </row>
    <row r="30" spans="1:13" ht="27">
      <c r="A30" s="396"/>
      <c r="B30" s="396"/>
      <c r="C30" s="396"/>
      <c r="D30" s="396"/>
      <c r="E30" s="396"/>
      <c r="F30" s="396"/>
      <c r="G30" s="396"/>
      <c r="H30" s="396"/>
      <c r="I30" s="396"/>
      <c r="J30" s="396"/>
      <c r="K30" s="396"/>
      <c r="L30" s="396"/>
      <c r="M30" s="396"/>
    </row>
    <row r="31" spans="1:13" ht="23.25">
      <c r="A31" s="403"/>
      <c r="B31" s="403"/>
      <c r="C31" s="403"/>
      <c r="D31" s="403"/>
      <c r="E31" s="403"/>
      <c r="F31" s="403"/>
      <c r="G31" s="403"/>
      <c r="H31" s="403"/>
      <c r="I31" s="403"/>
      <c r="J31" s="403"/>
      <c r="K31" s="403"/>
      <c r="L31" s="403"/>
      <c r="M31" s="403"/>
    </row>
    <row r="32" spans="1:13" ht="24" thickBot="1">
      <c r="A32" s="884" t="s">
        <v>591</v>
      </c>
      <c r="B32" s="884"/>
      <c r="C32" s="884"/>
      <c r="D32" s="884"/>
      <c r="E32" s="885"/>
      <c r="F32" s="885"/>
      <c r="G32" s="885"/>
      <c r="H32" s="885"/>
      <c r="I32" s="885"/>
      <c r="J32" s="885"/>
      <c r="K32" s="885"/>
      <c r="L32" s="885"/>
      <c r="M32" s="885"/>
    </row>
  </sheetData>
  <mergeCells count="28">
    <mergeCell ref="G27:M27"/>
    <mergeCell ref="A27:F27"/>
    <mergeCell ref="D9:H9"/>
    <mergeCell ref="A21:M21"/>
    <mergeCell ref="A24:M24"/>
    <mergeCell ref="A25:M25"/>
    <mergeCell ref="D23:M23"/>
    <mergeCell ref="K14:M14"/>
    <mergeCell ref="E19:M19"/>
    <mergeCell ref="A20:M20"/>
    <mergeCell ref="D12:E12"/>
    <mergeCell ref="G12:H12"/>
    <mergeCell ref="A29:C29"/>
    <mergeCell ref="A32:D32"/>
    <mergeCell ref="D29:M29"/>
    <mergeCell ref="E32:M32"/>
    <mergeCell ref="I3:L3"/>
    <mergeCell ref="C3:F3"/>
    <mergeCell ref="E17:H17"/>
    <mergeCell ref="J7:M7"/>
    <mergeCell ref="J9:M9"/>
    <mergeCell ref="J11:M11"/>
    <mergeCell ref="J13:M13"/>
    <mergeCell ref="J15:M15"/>
    <mergeCell ref="K6:M6"/>
    <mergeCell ref="K8:M8"/>
    <mergeCell ref="K10:M10"/>
    <mergeCell ref="K12:M12"/>
  </mergeCells>
  <dataValidations count="1">
    <dataValidation type="list" allowBlank="1" showInputMessage="1" showErrorMessage="1" sqref="E17">
      <formula1>"Yes, No"</formula1>
    </dataValidation>
  </dataValidations>
  <printOptions horizontalCentered="1"/>
  <pageMargins left="0.5" right="0.5" top="0.5" bottom="0.5" header="0.5" footer="0.37"/>
  <pageSetup scale="75" orientation="portrait" r:id="rId1"/>
  <headerFooter scaleWithDoc="0" alignWithMargins="0">
    <oddFooter>&amp;L&amp;8DATE ISSUED:  4-Jul-09
REVISED:  26-Apr-13
REV. NO.: 4</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0"/>
    <pageSetUpPr fitToPage="1"/>
  </sheetPr>
  <dimension ref="A1:AP61"/>
  <sheetViews>
    <sheetView zoomScaleNormal="100" workbookViewId="0">
      <selection activeCell="AV16" sqref="AV16"/>
    </sheetView>
  </sheetViews>
  <sheetFormatPr defaultColWidth="2.85546875" defaultRowHeight="15" customHeight="1"/>
  <cols>
    <col min="1" max="16384" width="2.85546875" style="404"/>
  </cols>
  <sheetData>
    <row r="1" spans="1:42" ht="15" customHeight="1">
      <c r="A1" s="924" t="s">
        <v>555</v>
      </c>
      <c r="B1" s="924"/>
      <c r="C1" s="924"/>
      <c r="D1" s="924"/>
      <c r="E1" s="924"/>
      <c r="F1" s="924"/>
      <c r="G1" s="924"/>
      <c r="H1" s="924"/>
      <c r="I1" s="924"/>
      <c r="J1" s="924"/>
      <c r="K1" s="924"/>
      <c r="L1" s="924"/>
      <c r="M1" s="924"/>
      <c r="N1" s="924"/>
      <c r="O1" s="924"/>
      <c r="P1" s="924"/>
      <c r="Q1" s="924"/>
      <c r="R1" s="924"/>
      <c r="S1" s="924"/>
      <c r="T1" s="924"/>
      <c r="U1" s="924"/>
      <c r="V1" s="924"/>
      <c r="W1" s="924"/>
      <c r="X1" s="924"/>
      <c r="Y1" s="924"/>
      <c r="Z1" s="924"/>
      <c r="AA1" s="924"/>
      <c r="AB1" s="924"/>
      <c r="AC1" s="924"/>
      <c r="AD1" s="924"/>
      <c r="AE1" s="924"/>
      <c r="AF1" s="924"/>
      <c r="AG1" s="924"/>
      <c r="AH1" s="924"/>
      <c r="AI1" s="924"/>
      <c r="AJ1" s="924"/>
      <c r="AK1" s="924"/>
      <c r="AL1" s="924"/>
      <c r="AM1" s="924"/>
      <c r="AN1" s="924"/>
      <c r="AO1" s="924"/>
      <c r="AP1" s="924"/>
    </row>
    <row r="2" spans="1:42" ht="15" customHeight="1">
      <c r="A2" s="924"/>
      <c r="B2" s="924"/>
      <c r="C2" s="924"/>
      <c r="D2" s="924"/>
      <c r="E2" s="924"/>
      <c r="F2" s="924"/>
      <c r="G2" s="924"/>
      <c r="H2" s="924"/>
      <c r="I2" s="924"/>
      <c r="J2" s="924"/>
      <c r="K2" s="924"/>
      <c r="L2" s="924"/>
      <c r="M2" s="924"/>
      <c r="N2" s="924"/>
      <c r="O2" s="924"/>
      <c r="P2" s="924"/>
      <c r="Q2" s="924"/>
      <c r="R2" s="924"/>
      <c r="S2" s="924"/>
      <c r="T2" s="924"/>
      <c r="U2" s="924"/>
      <c r="V2" s="924"/>
      <c r="W2" s="924"/>
      <c r="X2" s="924"/>
      <c r="Y2" s="924"/>
      <c r="Z2" s="924"/>
      <c r="AA2" s="924"/>
      <c r="AB2" s="924"/>
      <c r="AC2" s="924"/>
      <c r="AD2" s="924"/>
      <c r="AE2" s="924"/>
      <c r="AF2" s="924"/>
      <c r="AG2" s="924"/>
      <c r="AH2" s="924"/>
      <c r="AI2" s="924"/>
      <c r="AJ2" s="924"/>
      <c r="AK2" s="924"/>
      <c r="AL2" s="924"/>
      <c r="AM2" s="924"/>
      <c r="AN2" s="924"/>
      <c r="AO2" s="924"/>
      <c r="AP2" s="924"/>
    </row>
    <row r="3" spans="1:42" ht="15" customHeight="1">
      <c r="A3" s="924"/>
      <c r="B3" s="924"/>
      <c r="C3" s="924"/>
      <c r="D3" s="924"/>
      <c r="E3" s="924"/>
      <c r="F3" s="924"/>
      <c r="G3" s="924"/>
      <c r="H3" s="924"/>
      <c r="I3" s="924"/>
      <c r="J3" s="924"/>
      <c r="K3" s="924"/>
      <c r="L3" s="924"/>
      <c r="M3" s="924"/>
      <c r="N3" s="924"/>
      <c r="O3" s="924"/>
      <c r="P3" s="924"/>
      <c r="Q3" s="924"/>
      <c r="R3" s="924"/>
      <c r="S3" s="924"/>
      <c r="T3" s="924"/>
      <c r="U3" s="924"/>
      <c r="V3" s="924"/>
      <c r="W3" s="924"/>
      <c r="X3" s="924"/>
      <c r="Y3" s="924"/>
      <c r="Z3" s="924"/>
      <c r="AA3" s="924"/>
      <c r="AB3" s="924"/>
      <c r="AC3" s="924"/>
      <c r="AD3" s="924"/>
      <c r="AE3" s="924"/>
      <c r="AF3" s="924"/>
      <c r="AG3" s="924"/>
      <c r="AH3" s="924"/>
      <c r="AI3" s="924"/>
      <c r="AJ3" s="924"/>
      <c r="AK3" s="924"/>
      <c r="AL3" s="924"/>
      <c r="AM3" s="924"/>
      <c r="AN3" s="924"/>
      <c r="AO3" s="924"/>
      <c r="AP3" s="924"/>
    </row>
    <row r="4" spans="1:42" ht="15" customHeight="1">
      <c r="A4" s="925" t="s">
        <v>556</v>
      </c>
      <c r="B4" s="925"/>
      <c r="C4" s="925"/>
      <c r="D4" s="925"/>
      <c r="E4" s="925"/>
      <c r="F4" s="925"/>
      <c r="G4" s="925"/>
      <c r="H4" s="925" t="s">
        <v>557</v>
      </c>
      <c r="I4" s="925"/>
      <c r="J4" s="925"/>
      <c r="K4" s="925"/>
      <c r="L4" s="925"/>
      <c r="M4" s="925"/>
      <c r="N4" s="925"/>
      <c r="O4" s="925" t="s">
        <v>558</v>
      </c>
      <c r="P4" s="925"/>
      <c r="Q4" s="925"/>
      <c r="R4" s="925"/>
      <c r="S4" s="925"/>
      <c r="T4" s="925"/>
      <c r="U4" s="925"/>
      <c r="V4" s="925" t="s">
        <v>559</v>
      </c>
      <c r="W4" s="925"/>
      <c r="X4" s="925"/>
      <c r="Y4" s="925"/>
      <c r="Z4" s="925"/>
      <c r="AA4" s="925"/>
      <c r="AB4" s="925"/>
      <c r="AC4" s="925" t="s">
        <v>560</v>
      </c>
      <c r="AD4" s="925"/>
      <c r="AE4" s="925"/>
      <c r="AF4" s="925"/>
      <c r="AG4" s="925"/>
      <c r="AH4" s="925"/>
      <c r="AI4" s="925"/>
      <c r="AJ4" s="925" t="s">
        <v>561</v>
      </c>
      <c r="AK4" s="925"/>
      <c r="AL4" s="925"/>
      <c r="AM4" s="925"/>
      <c r="AN4" s="925"/>
      <c r="AO4" s="925"/>
      <c r="AP4" s="925"/>
    </row>
    <row r="5" spans="1:42" ht="15" customHeight="1">
      <c r="A5" s="925"/>
      <c r="B5" s="925"/>
      <c r="C5" s="925"/>
      <c r="D5" s="925"/>
      <c r="E5" s="925"/>
      <c r="F5" s="925"/>
      <c r="G5" s="925"/>
      <c r="H5" s="925"/>
      <c r="I5" s="925"/>
      <c r="J5" s="925"/>
      <c r="K5" s="925"/>
      <c r="L5" s="925"/>
      <c r="M5" s="925"/>
      <c r="N5" s="925"/>
      <c r="O5" s="925"/>
      <c r="P5" s="925"/>
      <c r="Q5" s="925"/>
      <c r="R5" s="925"/>
      <c r="S5" s="925"/>
      <c r="T5" s="925"/>
      <c r="U5" s="925"/>
      <c r="V5" s="925"/>
      <c r="W5" s="925"/>
      <c r="X5" s="925"/>
      <c r="Y5" s="925"/>
      <c r="Z5" s="925"/>
      <c r="AA5" s="925"/>
      <c r="AB5" s="925"/>
      <c r="AC5" s="925"/>
      <c r="AD5" s="925"/>
      <c r="AE5" s="925"/>
      <c r="AF5" s="925"/>
      <c r="AG5" s="925"/>
      <c r="AH5" s="925"/>
      <c r="AI5" s="925"/>
      <c r="AJ5" s="925"/>
      <c r="AK5" s="925"/>
      <c r="AL5" s="925"/>
      <c r="AM5" s="925"/>
      <c r="AN5" s="925"/>
      <c r="AO5" s="925"/>
      <c r="AP5" s="925"/>
    </row>
    <row r="6" spans="1:42" ht="15" customHeight="1">
      <c r="A6" s="926" t="s">
        <v>563</v>
      </c>
      <c r="B6" s="926"/>
      <c r="C6" s="926"/>
      <c r="D6" s="926"/>
      <c r="E6" s="926"/>
      <c r="F6" s="926"/>
      <c r="G6" s="926"/>
      <c r="H6" s="926"/>
      <c r="I6" s="927"/>
      <c r="J6" s="927"/>
      <c r="K6" s="927"/>
      <c r="L6" s="927"/>
      <c r="M6" s="927"/>
      <c r="N6" s="927"/>
      <c r="O6" s="927"/>
      <c r="P6" s="927"/>
      <c r="Q6" s="927"/>
      <c r="R6" s="927"/>
      <c r="S6" s="927"/>
      <c r="T6" s="927"/>
      <c r="U6" s="927"/>
      <c r="V6" s="926" t="s">
        <v>565</v>
      </c>
      <c r="W6" s="926"/>
      <c r="X6" s="926"/>
      <c r="Y6" s="926"/>
      <c r="Z6" s="926"/>
      <c r="AA6" s="926"/>
      <c r="AB6" s="926"/>
      <c r="AC6" s="926"/>
      <c r="AD6" s="931"/>
      <c r="AE6" s="931"/>
      <c r="AF6" s="931"/>
      <c r="AG6" s="931"/>
      <c r="AH6" s="931"/>
      <c r="AI6" s="931"/>
      <c r="AJ6" s="931"/>
      <c r="AK6" s="931"/>
      <c r="AL6" s="931"/>
      <c r="AM6" s="931"/>
      <c r="AN6" s="931"/>
      <c r="AO6" s="931"/>
      <c r="AP6" s="931"/>
    </row>
    <row r="7" spans="1:42" ht="15" customHeight="1">
      <c r="A7" s="926"/>
      <c r="B7" s="926"/>
      <c r="C7" s="926"/>
      <c r="D7" s="926"/>
      <c r="E7" s="926"/>
      <c r="F7" s="926"/>
      <c r="G7" s="926"/>
      <c r="H7" s="926"/>
      <c r="I7" s="928"/>
      <c r="J7" s="928"/>
      <c r="K7" s="928"/>
      <c r="L7" s="928"/>
      <c r="M7" s="928"/>
      <c r="N7" s="928"/>
      <c r="O7" s="928"/>
      <c r="P7" s="928"/>
      <c r="Q7" s="928"/>
      <c r="R7" s="928"/>
      <c r="S7" s="928"/>
      <c r="T7" s="928"/>
      <c r="U7" s="928"/>
      <c r="V7" s="926"/>
      <c r="W7" s="926"/>
      <c r="X7" s="926"/>
      <c r="Y7" s="926"/>
      <c r="Z7" s="926"/>
      <c r="AA7" s="926"/>
      <c r="AB7" s="926"/>
      <c r="AC7" s="926"/>
      <c r="AD7" s="930"/>
      <c r="AE7" s="930"/>
      <c r="AF7" s="930"/>
      <c r="AG7" s="930"/>
      <c r="AH7" s="930"/>
      <c r="AI7" s="930"/>
      <c r="AJ7" s="930"/>
      <c r="AK7" s="930"/>
      <c r="AL7" s="930"/>
      <c r="AM7" s="930"/>
      <c r="AN7" s="930"/>
      <c r="AO7" s="930"/>
      <c r="AP7" s="930"/>
    </row>
    <row r="8" spans="1:42" ht="15" customHeight="1">
      <c r="A8" s="926" t="s">
        <v>562</v>
      </c>
      <c r="B8" s="926"/>
      <c r="C8" s="926"/>
      <c r="D8" s="926"/>
      <c r="E8" s="926"/>
      <c r="F8" s="926"/>
      <c r="G8" s="926"/>
      <c r="H8" s="926"/>
      <c r="I8" s="929"/>
      <c r="J8" s="929"/>
      <c r="K8" s="929"/>
      <c r="L8" s="929"/>
      <c r="M8" s="929"/>
      <c r="N8" s="929"/>
      <c r="O8" s="929"/>
      <c r="P8" s="929"/>
      <c r="Q8" s="929"/>
      <c r="R8" s="929"/>
      <c r="S8" s="929"/>
      <c r="T8" s="929"/>
      <c r="U8" s="929"/>
      <c r="V8" s="926" t="s">
        <v>566</v>
      </c>
      <c r="W8" s="926"/>
      <c r="X8" s="926"/>
      <c r="Y8" s="926"/>
      <c r="Z8" s="926"/>
      <c r="AA8" s="926"/>
      <c r="AB8" s="926"/>
      <c r="AC8" s="926"/>
      <c r="AD8" s="929">
        <f>'SPEC SHEET'!AW4</f>
        <v>0</v>
      </c>
      <c r="AE8" s="929"/>
      <c r="AF8" s="929"/>
      <c r="AG8" s="929"/>
      <c r="AH8" s="929"/>
      <c r="AI8" s="929"/>
      <c r="AJ8" s="929"/>
      <c r="AK8" s="929"/>
      <c r="AL8" s="929"/>
      <c r="AM8" s="929"/>
      <c r="AN8" s="929"/>
      <c r="AO8" s="929"/>
      <c r="AP8" s="929"/>
    </row>
    <row r="9" spans="1:42" ht="15" customHeight="1">
      <c r="A9" s="926"/>
      <c r="B9" s="926"/>
      <c r="C9" s="926"/>
      <c r="D9" s="926"/>
      <c r="E9" s="926"/>
      <c r="F9" s="926"/>
      <c r="G9" s="926"/>
      <c r="H9" s="926"/>
      <c r="I9" s="930"/>
      <c r="J9" s="930"/>
      <c r="K9" s="930"/>
      <c r="L9" s="930"/>
      <c r="M9" s="930"/>
      <c r="N9" s="930"/>
      <c r="O9" s="930"/>
      <c r="P9" s="930"/>
      <c r="Q9" s="930"/>
      <c r="R9" s="930"/>
      <c r="S9" s="930"/>
      <c r="T9" s="930"/>
      <c r="U9" s="930"/>
      <c r="V9" s="926"/>
      <c r="W9" s="926"/>
      <c r="X9" s="926"/>
      <c r="Y9" s="926"/>
      <c r="Z9" s="926"/>
      <c r="AA9" s="926"/>
      <c r="AB9" s="926"/>
      <c r="AC9" s="926"/>
      <c r="AD9" s="930"/>
      <c r="AE9" s="930"/>
      <c r="AF9" s="930"/>
      <c r="AG9" s="930"/>
      <c r="AH9" s="930"/>
      <c r="AI9" s="930"/>
      <c r="AJ9" s="930"/>
      <c r="AK9" s="930"/>
      <c r="AL9" s="930"/>
      <c r="AM9" s="930"/>
      <c r="AN9" s="930"/>
      <c r="AO9" s="930"/>
      <c r="AP9" s="930"/>
    </row>
    <row r="10" spans="1:42" ht="15" customHeight="1">
      <c r="A10" s="926" t="s">
        <v>564</v>
      </c>
      <c r="B10" s="926"/>
      <c r="C10" s="926"/>
      <c r="D10" s="926"/>
      <c r="E10" s="926"/>
      <c r="F10" s="926"/>
      <c r="G10" s="926"/>
      <c r="H10" s="926"/>
      <c r="I10" s="929"/>
      <c r="J10" s="929"/>
      <c r="K10" s="929"/>
      <c r="L10" s="929"/>
      <c r="M10" s="929"/>
      <c r="N10" s="929"/>
      <c r="O10" s="929"/>
      <c r="P10" s="929"/>
      <c r="Q10" s="929"/>
      <c r="R10" s="929"/>
      <c r="S10" s="929"/>
      <c r="T10" s="929"/>
      <c r="U10" s="929"/>
      <c r="V10" s="926" t="s">
        <v>567</v>
      </c>
      <c r="W10" s="926"/>
      <c r="X10" s="926"/>
      <c r="Y10" s="926"/>
      <c r="Z10" s="926"/>
      <c r="AA10" s="926"/>
      <c r="AB10" s="926"/>
      <c r="AC10" s="926"/>
      <c r="AD10" s="932">
        <f>'Roll Stock Checklist'!I7</f>
        <v>0</v>
      </c>
      <c r="AE10" s="933"/>
      <c r="AF10" s="933"/>
      <c r="AG10" s="933"/>
      <c r="AH10" s="933"/>
      <c r="AI10" s="933"/>
      <c r="AJ10" s="933"/>
      <c r="AK10" s="933"/>
      <c r="AL10" s="933"/>
      <c r="AM10" s="933"/>
      <c r="AN10" s="933"/>
      <c r="AO10" s="933"/>
      <c r="AP10" s="933"/>
    </row>
    <row r="11" spans="1:42" ht="15" customHeight="1">
      <c r="A11" s="926"/>
      <c r="B11" s="926"/>
      <c r="C11" s="926"/>
      <c r="D11" s="926"/>
      <c r="E11" s="926"/>
      <c r="F11" s="926"/>
      <c r="G11" s="926"/>
      <c r="H11" s="926"/>
      <c r="I11" s="930"/>
      <c r="J11" s="930"/>
      <c r="K11" s="930"/>
      <c r="L11" s="930"/>
      <c r="M11" s="930"/>
      <c r="N11" s="930"/>
      <c r="O11" s="930"/>
      <c r="P11" s="930"/>
      <c r="Q11" s="930"/>
      <c r="R11" s="930"/>
      <c r="S11" s="930"/>
      <c r="T11" s="930"/>
      <c r="U11" s="930"/>
      <c r="V11" s="926"/>
      <c r="W11" s="926"/>
      <c r="X11" s="926"/>
      <c r="Y11" s="926"/>
      <c r="Z11" s="926"/>
      <c r="AA11" s="926"/>
      <c r="AB11" s="926"/>
      <c r="AC11" s="926"/>
      <c r="AD11" s="934"/>
      <c r="AE11" s="934"/>
      <c r="AF11" s="934"/>
      <c r="AG11" s="934"/>
      <c r="AH11" s="934"/>
      <c r="AI11" s="934"/>
      <c r="AJ11" s="934"/>
      <c r="AK11" s="934"/>
      <c r="AL11" s="934"/>
      <c r="AM11" s="934"/>
      <c r="AN11" s="934"/>
      <c r="AO11" s="934"/>
      <c r="AP11" s="934"/>
    </row>
    <row r="12" spans="1:42" ht="15" customHeight="1">
      <c r="I12" s="923" t="s">
        <v>646</v>
      </c>
      <c r="J12" s="923"/>
      <c r="K12" s="923"/>
      <c r="L12" s="923"/>
      <c r="M12" s="923"/>
      <c r="N12" s="923"/>
      <c r="O12" s="923"/>
      <c r="P12" s="923"/>
      <c r="Q12" s="923"/>
      <c r="R12" s="923"/>
      <c r="S12" s="923"/>
      <c r="T12" s="923"/>
      <c r="U12" s="923"/>
      <c r="V12" s="923"/>
      <c r="W12" s="923"/>
      <c r="X12" s="923"/>
      <c r="Y12" s="923"/>
      <c r="Z12" s="923"/>
      <c r="AA12" s="923"/>
      <c r="AB12" s="923"/>
      <c r="AC12" s="923"/>
      <c r="AD12" s="923"/>
      <c r="AE12" s="923"/>
      <c r="AF12" s="923"/>
      <c r="AG12" s="923"/>
      <c r="AH12" s="923"/>
      <c r="AI12" s="923"/>
      <c r="AJ12" s="923"/>
    </row>
    <row r="13" spans="1:42" ht="15" customHeight="1">
      <c r="I13" s="923"/>
      <c r="J13" s="923"/>
      <c r="K13" s="923"/>
      <c r="L13" s="923"/>
      <c r="M13" s="923"/>
      <c r="N13" s="923"/>
      <c r="O13" s="923"/>
      <c r="P13" s="923"/>
      <c r="Q13" s="923"/>
      <c r="R13" s="923"/>
      <c r="S13" s="923"/>
      <c r="T13" s="923"/>
      <c r="U13" s="923"/>
      <c r="V13" s="923"/>
      <c r="W13" s="923"/>
      <c r="X13" s="923"/>
      <c r="Y13" s="923"/>
      <c r="Z13" s="923"/>
      <c r="AA13" s="923"/>
      <c r="AB13" s="923"/>
      <c r="AC13" s="923"/>
      <c r="AD13" s="923"/>
      <c r="AE13" s="923"/>
      <c r="AF13" s="923"/>
      <c r="AG13" s="923"/>
      <c r="AH13" s="923"/>
      <c r="AI13" s="923"/>
      <c r="AJ13" s="923"/>
    </row>
    <row r="14" spans="1:42" ht="15" customHeight="1">
      <c r="A14" s="921" t="s">
        <v>568</v>
      </c>
      <c r="B14" s="921"/>
      <c r="C14" s="921"/>
      <c r="D14" s="922" t="s">
        <v>576</v>
      </c>
      <c r="E14" s="921"/>
      <c r="F14" s="921"/>
      <c r="G14" s="921" t="s">
        <v>569</v>
      </c>
      <c r="H14" s="921"/>
      <c r="I14" s="921"/>
      <c r="J14" s="921"/>
      <c r="K14" s="921"/>
      <c r="L14" s="921"/>
      <c r="M14" s="921" t="s">
        <v>570</v>
      </c>
      <c r="N14" s="921"/>
      <c r="O14" s="921"/>
      <c r="P14" s="921"/>
      <c r="Q14" s="921"/>
      <c r="R14" s="921"/>
      <c r="S14" s="921"/>
      <c r="T14" s="921" t="s">
        <v>571</v>
      </c>
      <c r="U14" s="921"/>
      <c r="V14" s="921"/>
      <c r="W14" s="921" t="s">
        <v>572</v>
      </c>
      <c r="X14" s="921"/>
      <c r="Y14" s="921"/>
      <c r="Z14" s="921"/>
      <c r="AA14" s="922" t="s">
        <v>573</v>
      </c>
      <c r="AB14" s="922"/>
      <c r="AC14" s="922"/>
      <c r="AD14" s="922"/>
      <c r="AE14" s="922"/>
      <c r="AF14" s="922"/>
      <c r="AG14" s="921" t="s">
        <v>574</v>
      </c>
      <c r="AH14" s="921"/>
      <c r="AI14" s="921"/>
      <c r="AJ14" s="921"/>
      <c r="AK14" s="921"/>
      <c r="AL14" s="921" t="s">
        <v>575</v>
      </c>
      <c r="AM14" s="921"/>
      <c r="AN14" s="921"/>
      <c r="AO14" s="921"/>
      <c r="AP14" s="921"/>
    </row>
    <row r="15" spans="1:42" ht="15" customHeight="1" thickBot="1">
      <c r="A15" s="921"/>
      <c r="B15" s="921"/>
      <c r="C15" s="921"/>
      <c r="D15" s="921"/>
      <c r="E15" s="921"/>
      <c r="F15" s="921"/>
      <c r="G15" s="921"/>
      <c r="H15" s="921"/>
      <c r="I15" s="921"/>
      <c r="J15" s="921"/>
      <c r="K15" s="921"/>
      <c r="L15" s="921"/>
      <c r="M15" s="921"/>
      <c r="N15" s="921"/>
      <c r="O15" s="921"/>
      <c r="P15" s="921"/>
      <c r="Q15" s="921"/>
      <c r="R15" s="921"/>
      <c r="S15" s="921"/>
      <c r="T15" s="921"/>
      <c r="U15" s="921"/>
      <c r="V15" s="921"/>
      <c r="W15" s="921"/>
      <c r="X15" s="921"/>
      <c r="Y15" s="921"/>
      <c r="Z15" s="921"/>
      <c r="AA15" s="922"/>
      <c r="AB15" s="922"/>
      <c r="AC15" s="922"/>
      <c r="AD15" s="922"/>
      <c r="AE15" s="922"/>
      <c r="AF15" s="922"/>
      <c r="AG15" s="921"/>
      <c r="AH15" s="921"/>
      <c r="AI15" s="921"/>
      <c r="AJ15" s="921"/>
      <c r="AK15" s="921"/>
      <c r="AL15" s="921"/>
      <c r="AM15" s="921"/>
      <c r="AN15" s="921"/>
      <c r="AO15" s="921"/>
      <c r="AP15" s="921"/>
    </row>
    <row r="16" spans="1:42" ht="15" customHeight="1">
      <c r="A16" s="919">
        <v>1</v>
      </c>
      <c r="B16" s="917"/>
      <c r="C16" s="917"/>
      <c r="D16" s="916"/>
      <c r="E16" s="917"/>
      <c r="F16" s="917"/>
      <c r="G16" s="920"/>
      <c r="H16" s="920"/>
      <c r="I16" s="920"/>
      <c r="J16" s="920"/>
      <c r="K16" s="920"/>
      <c r="L16" s="920"/>
      <c r="M16" s="917"/>
      <c r="N16" s="917"/>
      <c r="O16" s="917"/>
      <c r="P16" s="917"/>
      <c r="Q16" s="917"/>
      <c r="R16" s="917"/>
      <c r="S16" s="917"/>
      <c r="T16" s="917"/>
      <c r="U16" s="917"/>
      <c r="V16" s="917"/>
      <c r="W16" s="917"/>
      <c r="X16" s="917"/>
      <c r="Y16" s="917"/>
      <c r="Z16" s="917"/>
      <c r="AA16" s="916"/>
      <c r="AB16" s="916"/>
      <c r="AC16" s="916"/>
      <c r="AD16" s="916"/>
      <c r="AE16" s="916"/>
      <c r="AF16" s="916"/>
      <c r="AG16" s="917"/>
      <c r="AH16" s="917"/>
      <c r="AI16" s="917"/>
      <c r="AJ16" s="917"/>
      <c r="AK16" s="917"/>
      <c r="AL16" s="917"/>
      <c r="AM16" s="917"/>
      <c r="AN16" s="917"/>
      <c r="AO16" s="917"/>
      <c r="AP16" s="918"/>
    </row>
    <row r="17" spans="1:42" ht="15" customHeight="1">
      <c r="A17" s="910"/>
      <c r="B17" s="904"/>
      <c r="C17" s="904"/>
      <c r="D17" s="904"/>
      <c r="E17" s="904"/>
      <c r="F17" s="904"/>
      <c r="G17" s="911"/>
      <c r="H17" s="911"/>
      <c r="I17" s="911"/>
      <c r="J17" s="911"/>
      <c r="K17" s="911"/>
      <c r="L17" s="911"/>
      <c r="M17" s="904"/>
      <c r="N17" s="904"/>
      <c r="O17" s="904"/>
      <c r="P17" s="904"/>
      <c r="Q17" s="904"/>
      <c r="R17" s="904"/>
      <c r="S17" s="904"/>
      <c r="T17" s="904"/>
      <c r="U17" s="904"/>
      <c r="V17" s="904"/>
      <c r="W17" s="904"/>
      <c r="X17" s="904"/>
      <c r="Y17" s="904"/>
      <c r="Z17" s="904"/>
      <c r="AA17" s="906"/>
      <c r="AB17" s="906"/>
      <c r="AC17" s="906"/>
      <c r="AD17" s="906"/>
      <c r="AE17" s="906"/>
      <c r="AF17" s="906"/>
      <c r="AG17" s="904"/>
      <c r="AH17" s="904"/>
      <c r="AI17" s="904"/>
      <c r="AJ17" s="904"/>
      <c r="AK17" s="904"/>
      <c r="AL17" s="904"/>
      <c r="AM17" s="904"/>
      <c r="AN17" s="904"/>
      <c r="AO17" s="904"/>
      <c r="AP17" s="908"/>
    </row>
    <row r="18" spans="1:42" ht="15" customHeight="1">
      <c r="A18" s="910">
        <v>2</v>
      </c>
      <c r="B18" s="904"/>
      <c r="C18" s="904"/>
      <c r="D18" s="906"/>
      <c r="E18" s="904"/>
      <c r="F18" s="904"/>
      <c r="G18" s="911"/>
      <c r="H18" s="911"/>
      <c r="I18" s="911"/>
      <c r="J18" s="911"/>
      <c r="K18" s="911"/>
      <c r="L18" s="911"/>
      <c r="M18" s="904"/>
      <c r="N18" s="904"/>
      <c r="O18" s="904"/>
      <c r="P18" s="904"/>
      <c r="Q18" s="904"/>
      <c r="R18" s="904"/>
      <c r="S18" s="904"/>
      <c r="T18" s="904"/>
      <c r="U18" s="904"/>
      <c r="V18" s="904"/>
      <c r="W18" s="904"/>
      <c r="X18" s="904"/>
      <c r="Y18" s="904"/>
      <c r="Z18" s="904"/>
      <c r="AA18" s="906"/>
      <c r="AB18" s="906"/>
      <c r="AC18" s="906"/>
      <c r="AD18" s="906"/>
      <c r="AE18" s="906"/>
      <c r="AF18" s="906"/>
      <c r="AG18" s="904"/>
      <c r="AH18" s="904"/>
      <c r="AI18" s="904"/>
      <c r="AJ18" s="904"/>
      <c r="AK18" s="904"/>
      <c r="AL18" s="904"/>
      <c r="AM18" s="904"/>
      <c r="AN18" s="904"/>
      <c r="AO18" s="904"/>
      <c r="AP18" s="908"/>
    </row>
    <row r="19" spans="1:42" ht="15" customHeight="1">
      <c r="A19" s="910"/>
      <c r="B19" s="904"/>
      <c r="C19" s="904"/>
      <c r="D19" s="904"/>
      <c r="E19" s="904"/>
      <c r="F19" s="904"/>
      <c r="G19" s="911"/>
      <c r="H19" s="911"/>
      <c r="I19" s="911"/>
      <c r="J19" s="911"/>
      <c r="K19" s="911"/>
      <c r="L19" s="911"/>
      <c r="M19" s="904"/>
      <c r="N19" s="904"/>
      <c r="O19" s="904"/>
      <c r="P19" s="904"/>
      <c r="Q19" s="904"/>
      <c r="R19" s="904"/>
      <c r="S19" s="904"/>
      <c r="T19" s="904"/>
      <c r="U19" s="904"/>
      <c r="V19" s="904"/>
      <c r="W19" s="904"/>
      <c r="X19" s="904"/>
      <c r="Y19" s="904"/>
      <c r="Z19" s="904"/>
      <c r="AA19" s="906"/>
      <c r="AB19" s="906"/>
      <c r="AC19" s="906"/>
      <c r="AD19" s="906"/>
      <c r="AE19" s="906"/>
      <c r="AF19" s="906"/>
      <c r="AG19" s="904"/>
      <c r="AH19" s="904"/>
      <c r="AI19" s="904"/>
      <c r="AJ19" s="904"/>
      <c r="AK19" s="904"/>
      <c r="AL19" s="904"/>
      <c r="AM19" s="904"/>
      <c r="AN19" s="904"/>
      <c r="AO19" s="904"/>
      <c r="AP19" s="908"/>
    </row>
    <row r="20" spans="1:42" ht="15" customHeight="1">
      <c r="A20" s="910">
        <v>3</v>
      </c>
      <c r="B20" s="904"/>
      <c r="C20" s="904"/>
      <c r="D20" s="906"/>
      <c r="E20" s="904"/>
      <c r="F20" s="904"/>
      <c r="G20" s="911"/>
      <c r="H20" s="911"/>
      <c r="I20" s="911"/>
      <c r="J20" s="911"/>
      <c r="K20" s="911"/>
      <c r="L20" s="911"/>
      <c r="M20" s="904"/>
      <c r="N20" s="904"/>
      <c r="O20" s="904"/>
      <c r="P20" s="904"/>
      <c r="Q20" s="904"/>
      <c r="R20" s="904"/>
      <c r="S20" s="904"/>
      <c r="T20" s="904"/>
      <c r="U20" s="904"/>
      <c r="V20" s="904"/>
      <c r="W20" s="904"/>
      <c r="X20" s="904"/>
      <c r="Y20" s="904"/>
      <c r="Z20" s="904"/>
      <c r="AA20" s="906"/>
      <c r="AB20" s="906"/>
      <c r="AC20" s="906"/>
      <c r="AD20" s="906"/>
      <c r="AE20" s="906"/>
      <c r="AF20" s="906"/>
      <c r="AG20" s="904"/>
      <c r="AH20" s="904"/>
      <c r="AI20" s="904"/>
      <c r="AJ20" s="904"/>
      <c r="AK20" s="904"/>
      <c r="AL20" s="904"/>
      <c r="AM20" s="904"/>
      <c r="AN20" s="904"/>
      <c r="AO20" s="904"/>
      <c r="AP20" s="908"/>
    </row>
    <row r="21" spans="1:42" ht="15" customHeight="1">
      <c r="A21" s="910"/>
      <c r="B21" s="904"/>
      <c r="C21" s="904"/>
      <c r="D21" s="904"/>
      <c r="E21" s="904"/>
      <c r="F21" s="904"/>
      <c r="G21" s="911"/>
      <c r="H21" s="911"/>
      <c r="I21" s="911"/>
      <c r="J21" s="911"/>
      <c r="K21" s="911"/>
      <c r="L21" s="911"/>
      <c r="M21" s="904"/>
      <c r="N21" s="904"/>
      <c r="O21" s="904"/>
      <c r="P21" s="904"/>
      <c r="Q21" s="904"/>
      <c r="R21" s="904"/>
      <c r="S21" s="904"/>
      <c r="T21" s="904"/>
      <c r="U21" s="904"/>
      <c r="V21" s="904"/>
      <c r="W21" s="904"/>
      <c r="X21" s="904"/>
      <c r="Y21" s="904"/>
      <c r="Z21" s="904"/>
      <c r="AA21" s="906"/>
      <c r="AB21" s="906"/>
      <c r="AC21" s="906"/>
      <c r="AD21" s="906"/>
      <c r="AE21" s="906"/>
      <c r="AF21" s="906"/>
      <c r="AG21" s="904"/>
      <c r="AH21" s="904"/>
      <c r="AI21" s="904"/>
      <c r="AJ21" s="904"/>
      <c r="AK21" s="904"/>
      <c r="AL21" s="904"/>
      <c r="AM21" s="904"/>
      <c r="AN21" s="904"/>
      <c r="AO21" s="904"/>
      <c r="AP21" s="908"/>
    </row>
    <row r="22" spans="1:42" ht="15" customHeight="1">
      <c r="A22" s="910">
        <v>4</v>
      </c>
      <c r="B22" s="904"/>
      <c r="C22" s="904"/>
      <c r="D22" s="906"/>
      <c r="E22" s="904"/>
      <c r="F22" s="904"/>
      <c r="G22" s="911"/>
      <c r="H22" s="911"/>
      <c r="I22" s="911"/>
      <c r="J22" s="911"/>
      <c r="K22" s="911"/>
      <c r="L22" s="911"/>
      <c r="M22" s="904"/>
      <c r="N22" s="904"/>
      <c r="O22" s="904"/>
      <c r="P22" s="904"/>
      <c r="Q22" s="904"/>
      <c r="R22" s="904"/>
      <c r="S22" s="904"/>
      <c r="T22" s="904"/>
      <c r="U22" s="904"/>
      <c r="V22" s="904"/>
      <c r="W22" s="904"/>
      <c r="X22" s="904"/>
      <c r="Y22" s="904"/>
      <c r="Z22" s="904"/>
      <c r="AA22" s="906"/>
      <c r="AB22" s="906"/>
      <c r="AC22" s="906"/>
      <c r="AD22" s="906"/>
      <c r="AE22" s="906"/>
      <c r="AF22" s="906"/>
      <c r="AG22" s="904"/>
      <c r="AH22" s="904"/>
      <c r="AI22" s="904"/>
      <c r="AJ22" s="904"/>
      <c r="AK22" s="904"/>
      <c r="AL22" s="904"/>
      <c r="AM22" s="904"/>
      <c r="AN22" s="904"/>
      <c r="AO22" s="904"/>
      <c r="AP22" s="908"/>
    </row>
    <row r="23" spans="1:42" ht="15" customHeight="1">
      <c r="A23" s="910"/>
      <c r="B23" s="904"/>
      <c r="C23" s="904"/>
      <c r="D23" s="904"/>
      <c r="E23" s="904"/>
      <c r="F23" s="904"/>
      <c r="G23" s="911"/>
      <c r="H23" s="911"/>
      <c r="I23" s="911"/>
      <c r="J23" s="911"/>
      <c r="K23" s="911"/>
      <c r="L23" s="911"/>
      <c r="M23" s="904"/>
      <c r="N23" s="904"/>
      <c r="O23" s="904"/>
      <c r="P23" s="904"/>
      <c r="Q23" s="904"/>
      <c r="R23" s="904"/>
      <c r="S23" s="904"/>
      <c r="T23" s="904"/>
      <c r="U23" s="904"/>
      <c r="V23" s="904"/>
      <c r="W23" s="904"/>
      <c r="X23" s="904"/>
      <c r="Y23" s="904"/>
      <c r="Z23" s="904"/>
      <c r="AA23" s="906"/>
      <c r="AB23" s="906"/>
      <c r="AC23" s="906"/>
      <c r="AD23" s="906"/>
      <c r="AE23" s="906"/>
      <c r="AF23" s="906"/>
      <c r="AG23" s="904"/>
      <c r="AH23" s="904"/>
      <c r="AI23" s="904"/>
      <c r="AJ23" s="904"/>
      <c r="AK23" s="904"/>
      <c r="AL23" s="904"/>
      <c r="AM23" s="904"/>
      <c r="AN23" s="904"/>
      <c r="AO23" s="904"/>
      <c r="AP23" s="908"/>
    </row>
    <row r="24" spans="1:42" ht="15" customHeight="1">
      <c r="A24" s="910">
        <v>5</v>
      </c>
      <c r="B24" s="904"/>
      <c r="C24" s="904"/>
      <c r="D24" s="906"/>
      <c r="E24" s="904"/>
      <c r="F24" s="904"/>
      <c r="G24" s="911"/>
      <c r="H24" s="911"/>
      <c r="I24" s="911"/>
      <c r="J24" s="911"/>
      <c r="K24" s="911"/>
      <c r="L24" s="911"/>
      <c r="M24" s="904"/>
      <c r="N24" s="904"/>
      <c r="O24" s="904"/>
      <c r="P24" s="904"/>
      <c r="Q24" s="904"/>
      <c r="R24" s="904"/>
      <c r="S24" s="904"/>
      <c r="T24" s="904"/>
      <c r="U24" s="904"/>
      <c r="V24" s="904"/>
      <c r="W24" s="904"/>
      <c r="X24" s="904"/>
      <c r="Y24" s="904"/>
      <c r="Z24" s="904"/>
      <c r="AA24" s="906"/>
      <c r="AB24" s="906"/>
      <c r="AC24" s="906"/>
      <c r="AD24" s="906"/>
      <c r="AE24" s="906"/>
      <c r="AF24" s="906"/>
      <c r="AG24" s="904"/>
      <c r="AH24" s="904"/>
      <c r="AI24" s="904"/>
      <c r="AJ24" s="904"/>
      <c r="AK24" s="904"/>
      <c r="AL24" s="904"/>
      <c r="AM24" s="904"/>
      <c r="AN24" s="904"/>
      <c r="AO24" s="904"/>
      <c r="AP24" s="908"/>
    </row>
    <row r="25" spans="1:42" ht="15" customHeight="1">
      <c r="A25" s="910"/>
      <c r="B25" s="904"/>
      <c r="C25" s="904"/>
      <c r="D25" s="904"/>
      <c r="E25" s="904"/>
      <c r="F25" s="904"/>
      <c r="G25" s="911"/>
      <c r="H25" s="911"/>
      <c r="I25" s="911"/>
      <c r="J25" s="911"/>
      <c r="K25" s="911"/>
      <c r="L25" s="911"/>
      <c r="M25" s="904"/>
      <c r="N25" s="904"/>
      <c r="O25" s="904"/>
      <c r="P25" s="904"/>
      <c r="Q25" s="904"/>
      <c r="R25" s="904"/>
      <c r="S25" s="904"/>
      <c r="T25" s="904"/>
      <c r="U25" s="904"/>
      <c r="V25" s="904"/>
      <c r="W25" s="904"/>
      <c r="X25" s="904"/>
      <c r="Y25" s="904"/>
      <c r="Z25" s="904"/>
      <c r="AA25" s="906"/>
      <c r="AB25" s="906"/>
      <c r="AC25" s="906"/>
      <c r="AD25" s="906"/>
      <c r="AE25" s="906"/>
      <c r="AF25" s="906"/>
      <c r="AG25" s="904"/>
      <c r="AH25" s="904"/>
      <c r="AI25" s="904"/>
      <c r="AJ25" s="904"/>
      <c r="AK25" s="904"/>
      <c r="AL25" s="904"/>
      <c r="AM25" s="904"/>
      <c r="AN25" s="904"/>
      <c r="AO25" s="904"/>
      <c r="AP25" s="908"/>
    </row>
    <row r="26" spans="1:42" ht="15" customHeight="1">
      <c r="A26" s="910">
        <v>6</v>
      </c>
      <c r="B26" s="904"/>
      <c r="C26" s="904"/>
      <c r="D26" s="906"/>
      <c r="E26" s="904"/>
      <c r="F26" s="904"/>
      <c r="G26" s="911"/>
      <c r="H26" s="911"/>
      <c r="I26" s="911"/>
      <c r="J26" s="911"/>
      <c r="K26" s="911"/>
      <c r="L26" s="911"/>
      <c r="M26" s="904"/>
      <c r="N26" s="904"/>
      <c r="O26" s="904"/>
      <c r="P26" s="904"/>
      <c r="Q26" s="904"/>
      <c r="R26" s="904"/>
      <c r="S26" s="904"/>
      <c r="T26" s="904"/>
      <c r="U26" s="904"/>
      <c r="V26" s="904"/>
      <c r="W26" s="904"/>
      <c r="X26" s="904"/>
      <c r="Y26" s="904"/>
      <c r="Z26" s="904"/>
      <c r="AA26" s="906"/>
      <c r="AB26" s="906"/>
      <c r="AC26" s="906"/>
      <c r="AD26" s="906"/>
      <c r="AE26" s="906"/>
      <c r="AF26" s="906"/>
      <c r="AG26" s="904"/>
      <c r="AH26" s="904"/>
      <c r="AI26" s="904"/>
      <c r="AJ26" s="904"/>
      <c r="AK26" s="904"/>
      <c r="AL26" s="904"/>
      <c r="AM26" s="904"/>
      <c r="AN26" s="904"/>
      <c r="AO26" s="904"/>
      <c r="AP26" s="908"/>
    </row>
    <row r="27" spans="1:42" ht="15" customHeight="1">
      <c r="A27" s="910"/>
      <c r="B27" s="904"/>
      <c r="C27" s="904"/>
      <c r="D27" s="904"/>
      <c r="E27" s="904"/>
      <c r="F27" s="904"/>
      <c r="G27" s="911"/>
      <c r="H27" s="911"/>
      <c r="I27" s="911"/>
      <c r="J27" s="911"/>
      <c r="K27" s="911"/>
      <c r="L27" s="911"/>
      <c r="M27" s="904"/>
      <c r="N27" s="904"/>
      <c r="O27" s="904"/>
      <c r="P27" s="904"/>
      <c r="Q27" s="904"/>
      <c r="R27" s="904"/>
      <c r="S27" s="904"/>
      <c r="T27" s="904"/>
      <c r="U27" s="904"/>
      <c r="V27" s="904"/>
      <c r="W27" s="904"/>
      <c r="X27" s="904"/>
      <c r="Y27" s="904"/>
      <c r="Z27" s="904"/>
      <c r="AA27" s="906"/>
      <c r="AB27" s="906"/>
      <c r="AC27" s="906"/>
      <c r="AD27" s="906"/>
      <c r="AE27" s="906"/>
      <c r="AF27" s="906"/>
      <c r="AG27" s="904"/>
      <c r="AH27" s="904"/>
      <c r="AI27" s="904"/>
      <c r="AJ27" s="904"/>
      <c r="AK27" s="904"/>
      <c r="AL27" s="904"/>
      <c r="AM27" s="904"/>
      <c r="AN27" s="904"/>
      <c r="AO27" s="904"/>
      <c r="AP27" s="908"/>
    </row>
    <row r="28" spans="1:42" ht="15" customHeight="1">
      <c r="A28" s="910">
        <v>7</v>
      </c>
      <c r="B28" s="904"/>
      <c r="C28" s="904"/>
      <c r="D28" s="906"/>
      <c r="E28" s="904"/>
      <c r="F28" s="904"/>
      <c r="G28" s="911"/>
      <c r="H28" s="911"/>
      <c r="I28" s="911"/>
      <c r="J28" s="911"/>
      <c r="K28" s="911"/>
      <c r="L28" s="911"/>
      <c r="M28" s="904"/>
      <c r="N28" s="904"/>
      <c r="O28" s="904"/>
      <c r="P28" s="904"/>
      <c r="Q28" s="904"/>
      <c r="R28" s="904"/>
      <c r="S28" s="904"/>
      <c r="T28" s="904"/>
      <c r="U28" s="904"/>
      <c r="V28" s="904"/>
      <c r="W28" s="904"/>
      <c r="X28" s="904"/>
      <c r="Y28" s="904"/>
      <c r="Z28" s="904"/>
      <c r="AA28" s="906"/>
      <c r="AB28" s="906"/>
      <c r="AC28" s="906"/>
      <c r="AD28" s="906"/>
      <c r="AE28" s="906"/>
      <c r="AF28" s="906"/>
      <c r="AG28" s="904"/>
      <c r="AH28" s="904"/>
      <c r="AI28" s="904"/>
      <c r="AJ28" s="904"/>
      <c r="AK28" s="904"/>
      <c r="AL28" s="904"/>
      <c r="AM28" s="904"/>
      <c r="AN28" s="904"/>
      <c r="AO28" s="904"/>
      <c r="AP28" s="908"/>
    </row>
    <row r="29" spans="1:42" ht="15" customHeight="1">
      <c r="A29" s="910"/>
      <c r="B29" s="904"/>
      <c r="C29" s="904"/>
      <c r="D29" s="904"/>
      <c r="E29" s="904"/>
      <c r="F29" s="904"/>
      <c r="G29" s="911"/>
      <c r="H29" s="911"/>
      <c r="I29" s="911"/>
      <c r="J29" s="911"/>
      <c r="K29" s="911"/>
      <c r="L29" s="911"/>
      <c r="M29" s="904"/>
      <c r="N29" s="904"/>
      <c r="O29" s="904"/>
      <c r="P29" s="904"/>
      <c r="Q29" s="904"/>
      <c r="R29" s="904"/>
      <c r="S29" s="904"/>
      <c r="T29" s="904"/>
      <c r="U29" s="904"/>
      <c r="V29" s="904"/>
      <c r="W29" s="904"/>
      <c r="X29" s="904"/>
      <c r="Y29" s="904"/>
      <c r="Z29" s="904"/>
      <c r="AA29" s="906"/>
      <c r="AB29" s="906"/>
      <c r="AC29" s="906"/>
      <c r="AD29" s="906"/>
      <c r="AE29" s="906"/>
      <c r="AF29" s="906"/>
      <c r="AG29" s="904"/>
      <c r="AH29" s="904"/>
      <c r="AI29" s="904"/>
      <c r="AJ29" s="904"/>
      <c r="AK29" s="904"/>
      <c r="AL29" s="904"/>
      <c r="AM29" s="904"/>
      <c r="AN29" s="904"/>
      <c r="AO29" s="904"/>
      <c r="AP29" s="908"/>
    </row>
    <row r="30" spans="1:42" ht="15" customHeight="1">
      <c r="A30" s="910">
        <v>8</v>
      </c>
      <c r="B30" s="904"/>
      <c r="C30" s="904"/>
      <c r="D30" s="906"/>
      <c r="E30" s="904"/>
      <c r="F30" s="904"/>
      <c r="G30" s="911"/>
      <c r="H30" s="911"/>
      <c r="I30" s="911"/>
      <c r="J30" s="911"/>
      <c r="K30" s="911"/>
      <c r="L30" s="911"/>
      <c r="M30" s="904"/>
      <c r="N30" s="904"/>
      <c r="O30" s="904"/>
      <c r="P30" s="904"/>
      <c r="Q30" s="904"/>
      <c r="R30" s="904"/>
      <c r="S30" s="904"/>
      <c r="T30" s="904"/>
      <c r="U30" s="904"/>
      <c r="V30" s="904"/>
      <c r="W30" s="904"/>
      <c r="X30" s="904"/>
      <c r="Y30" s="904"/>
      <c r="Z30" s="904"/>
      <c r="AA30" s="906"/>
      <c r="AB30" s="906"/>
      <c r="AC30" s="906"/>
      <c r="AD30" s="906"/>
      <c r="AE30" s="906"/>
      <c r="AF30" s="906"/>
      <c r="AG30" s="904"/>
      <c r="AH30" s="904"/>
      <c r="AI30" s="904"/>
      <c r="AJ30" s="904"/>
      <c r="AK30" s="904"/>
      <c r="AL30" s="904"/>
      <c r="AM30" s="904"/>
      <c r="AN30" s="904"/>
      <c r="AO30" s="904"/>
      <c r="AP30" s="908"/>
    </row>
    <row r="31" spans="1:42" ht="15" customHeight="1">
      <c r="A31" s="910"/>
      <c r="B31" s="904"/>
      <c r="C31" s="904"/>
      <c r="D31" s="904"/>
      <c r="E31" s="904"/>
      <c r="F31" s="904"/>
      <c r="G31" s="911"/>
      <c r="H31" s="911"/>
      <c r="I31" s="911"/>
      <c r="J31" s="911"/>
      <c r="K31" s="911"/>
      <c r="L31" s="911"/>
      <c r="M31" s="904"/>
      <c r="N31" s="904"/>
      <c r="O31" s="904"/>
      <c r="P31" s="904"/>
      <c r="Q31" s="904"/>
      <c r="R31" s="904"/>
      <c r="S31" s="904"/>
      <c r="T31" s="904"/>
      <c r="U31" s="904"/>
      <c r="V31" s="904"/>
      <c r="W31" s="904"/>
      <c r="X31" s="904"/>
      <c r="Y31" s="904"/>
      <c r="Z31" s="904"/>
      <c r="AA31" s="906"/>
      <c r="AB31" s="906"/>
      <c r="AC31" s="906"/>
      <c r="AD31" s="906"/>
      <c r="AE31" s="906"/>
      <c r="AF31" s="906"/>
      <c r="AG31" s="904"/>
      <c r="AH31" s="904"/>
      <c r="AI31" s="904"/>
      <c r="AJ31" s="904"/>
      <c r="AK31" s="904"/>
      <c r="AL31" s="904"/>
      <c r="AM31" s="904"/>
      <c r="AN31" s="904"/>
      <c r="AO31" s="904"/>
      <c r="AP31" s="908"/>
    </row>
    <row r="32" spans="1:42" ht="15" customHeight="1">
      <c r="A32" s="910">
        <v>9</v>
      </c>
      <c r="B32" s="904"/>
      <c r="C32" s="904"/>
      <c r="D32" s="906"/>
      <c r="E32" s="904"/>
      <c r="F32" s="904"/>
      <c r="G32" s="911"/>
      <c r="H32" s="911"/>
      <c r="I32" s="911"/>
      <c r="J32" s="911"/>
      <c r="K32" s="911"/>
      <c r="L32" s="911"/>
      <c r="M32" s="904"/>
      <c r="N32" s="904"/>
      <c r="O32" s="904"/>
      <c r="P32" s="904"/>
      <c r="Q32" s="904"/>
      <c r="R32" s="904"/>
      <c r="S32" s="904"/>
      <c r="T32" s="904"/>
      <c r="U32" s="904"/>
      <c r="V32" s="904"/>
      <c r="W32" s="904"/>
      <c r="X32" s="904"/>
      <c r="Y32" s="904"/>
      <c r="Z32" s="904"/>
      <c r="AA32" s="906"/>
      <c r="AB32" s="906"/>
      <c r="AC32" s="906"/>
      <c r="AD32" s="906"/>
      <c r="AE32" s="906"/>
      <c r="AF32" s="906"/>
      <c r="AG32" s="904"/>
      <c r="AH32" s="904"/>
      <c r="AI32" s="904"/>
      <c r="AJ32" s="904"/>
      <c r="AK32" s="904"/>
      <c r="AL32" s="904"/>
      <c r="AM32" s="904"/>
      <c r="AN32" s="904"/>
      <c r="AO32" s="904"/>
      <c r="AP32" s="908"/>
    </row>
    <row r="33" spans="1:42" ht="15" customHeight="1">
      <c r="A33" s="910"/>
      <c r="B33" s="904"/>
      <c r="C33" s="904"/>
      <c r="D33" s="904"/>
      <c r="E33" s="904"/>
      <c r="F33" s="904"/>
      <c r="G33" s="911"/>
      <c r="H33" s="911"/>
      <c r="I33" s="911"/>
      <c r="J33" s="911"/>
      <c r="K33" s="911"/>
      <c r="L33" s="911"/>
      <c r="M33" s="904"/>
      <c r="N33" s="904"/>
      <c r="O33" s="904"/>
      <c r="P33" s="904"/>
      <c r="Q33" s="904"/>
      <c r="R33" s="904"/>
      <c r="S33" s="904"/>
      <c r="T33" s="904"/>
      <c r="U33" s="904"/>
      <c r="V33" s="904"/>
      <c r="W33" s="904"/>
      <c r="X33" s="904"/>
      <c r="Y33" s="904"/>
      <c r="Z33" s="904"/>
      <c r="AA33" s="906"/>
      <c r="AB33" s="906"/>
      <c r="AC33" s="906"/>
      <c r="AD33" s="906"/>
      <c r="AE33" s="906"/>
      <c r="AF33" s="906"/>
      <c r="AG33" s="904"/>
      <c r="AH33" s="904"/>
      <c r="AI33" s="904"/>
      <c r="AJ33" s="904"/>
      <c r="AK33" s="904"/>
      <c r="AL33" s="904"/>
      <c r="AM33" s="904"/>
      <c r="AN33" s="904"/>
      <c r="AO33" s="904"/>
      <c r="AP33" s="908"/>
    </row>
    <row r="34" spans="1:42" ht="15" customHeight="1">
      <c r="A34" s="910">
        <v>10</v>
      </c>
      <c r="B34" s="904"/>
      <c r="C34" s="904"/>
      <c r="D34" s="906"/>
      <c r="E34" s="904"/>
      <c r="F34" s="904"/>
      <c r="G34" s="911"/>
      <c r="H34" s="911"/>
      <c r="I34" s="911"/>
      <c r="J34" s="911"/>
      <c r="K34" s="911"/>
      <c r="L34" s="911"/>
      <c r="M34" s="904"/>
      <c r="N34" s="904"/>
      <c r="O34" s="904"/>
      <c r="P34" s="904"/>
      <c r="Q34" s="904"/>
      <c r="R34" s="904"/>
      <c r="S34" s="904"/>
      <c r="T34" s="904"/>
      <c r="U34" s="904"/>
      <c r="V34" s="904"/>
      <c r="W34" s="904"/>
      <c r="X34" s="904"/>
      <c r="Y34" s="904"/>
      <c r="Z34" s="904"/>
      <c r="AA34" s="906"/>
      <c r="AB34" s="906"/>
      <c r="AC34" s="906"/>
      <c r="AD34" s="906"/>
      <c r="AE34" s="906"/>
      <c r="AF34" s="906"/>
      <c r="AG34" s="904"/>
      <c r="AH34" s="904"/>
      <c r="AI34" s="904"/>
      <c r="AJ34" s="904"/>
      <c r="AK34" s="904"/>
      <c r="AL34" s="904"/>
      <c r="AM34" s="904"/>
      <c r="AN34" s="904"/>
      <c r="AO34" s="904"/>
      <c r="AP34" s="908"/>
    </row>
    <row r="35" spans="1:42" ht="15" customHeight="1">
      <c r="A35" s="910"/>
      <c r="B35" s="904"/>
      <c r="C35" s="904"/>
      <c r="D35" s="904"/>
      <c r="E35" s="904"/>
      <c r="F35" s="904"/>
      <c r="G35" s="911"/>
      <c r="H35" s="911"/>
      <c r="I35" s="911"/>
      <c r="J35" s="911"/>
      <c r="K35" s="911"/>
      <c r="L35" s="911"/>
      <c r="M35" s="904"/>
      <c r="N35" s="904"/>
      <c r="O35" s="904"/>
      <c r="P35" s="904"/>
      <c r="Q35" s="904"/>
      <c r="R35" s="904"/>
      <c r="S35" s="904"/>
      <c r="T35" s="904"/>
      <c r="U35" s="904"/>
      <c r="V35" s="904"/>
      <c r="W35" s="904"/>
      <c r="X35" s="904"/>
      <c r="Y35" s="904"/>
      <c r="Z35" s="904"/>
      <c r="AA35" s="906"/>
      <c r="AB35" s="906"/>
      <c r="AC35" s="906"/>
      <c r="AD35" s="906"/>
      <c r="AE35" s="906"/>
      <c r="AF35" s="906"/>
      <c r="AG35" s="904"/>
      <c r="AH35" s="904"/>
      <c r="AI35" s="904"/>
      <c r="AJ35" s="904"/>
      <c r="AK35" s="904"/>
      <c r="AL35" s="904"/>
      <c r="AM35" s="904"/>
      <c r="AN35" s="904"/>
      <c r="AO35" s="904"/>
      <c r="AP35" s="908"/>
    </row>
    <row r="36" spans="1:42" ht="15" customHeight="1">
      <c r="A36" s="910">
        <v>11</v>
      </c>
      <c r="B36" s="904"/>
      <c r="C36" s="904"/>
      <c r="D36" s="906"/>
      <c r="E36" s="904"/>
      <c r="F36" s="904"/>
      <c r="G36" s="911"/>
      <c r="H36" s="911"/>
      <c r="I36" s="911"/>
      <c r="J36" s="911"/>
      <c r="K36" s="911"/>
      <c r="L36" s="911"/>
      <c r="M36" s="904"/>
      <c r="N36" s="904"/>
      <c r="O36" s="904"/>
      <c r="P36" s="904"/>
      <c r="Q36" s="904"/>
      <c r="R36" s="904"/>
      <c r="S36" s="904"/>
      <c r="T36" s="904"/>
      <c r="U36" s="904"/>
      <c r="V36" s="904"/>
      <c r="W36" s="904"/>
      <c r="X36" s="904"/>
      <c r="Y36" s="904"/>
      <c r="Z36" s="904"/>
      <c r="AA36" s="906"/>
      <c r="AB36" s="906"/>
      <c r="AC36" s="906"/>
      <c r="AD36" s="906"/>
      <c r="AE36" s="906"/>
      <c r="AF36" s="906"/>
      <c r="AG36" s="904"/>
      <c r="AH36" s="904"/>
      <c r="AI36" s="904"/>
      <c r="AJ36" s="904"/>
      <c r="AK36" s="904"/>
      <c r="AL36" s="904"/>
      <c r="AM36" s="904"/>
      <c r="AN36" s="904"/>
      <c r="AO36" s="904"/>
      <c r="AP36" s="908"/>
    </row>
    <row r="37" spans="1:42" ht="15" customHeight="1">
      <c r="A37" s="910"/>
      <c r="B37" s="904"/>
      <c r="C37" s="904"/>
      <c r="D37" s="904"/>
      <c r="E37" s="904"/>
      <c r="F37" s="904"/>
      <c r="G37" s="911"/>
      <c r="H37" s="911"/>
      <c r="I37" s="911"/>
      <c r="J37" s="911"/>
      <c r="K37" s="911"/>
      <c r="L37" s="911"/>
      <c r="M37" s="904"/>
      <c r="N37" s="904"/>
      <c r="O37" s="904"/>
      <c r="P37" s="904"/>
      <c r="Q37" s="904"/>
      <c r="R37" s="904"/>
      <c r="S37" s="904"/>
      <c r="T37" s="904"/>
      <c r="U37" s="904"/>
      <c r="V37" s="904"/>
      <c r="W37" s="904"/>
      <c r="X37" s="904"/>
      <c r="Y37" s="904"/>
      <c r="Z37" s="904"/>
      <c r="AA37" s="906"/>
      <c r="AB37" s="906"/>
      <c r="AC37" s="906"/>
      <c r="AD37" s="906"/>
      <c r="AE37" s="906"/>
      <c r="AF37" s="906"/>
      <c r="AG37" s="904"/>
      <c r="AH37" s="904"/>
      <c r="AI37" s="904"/>
      <c r="AJ37" s="904"/>
      <c r="AK37" s="904"/>
      <c r="AL37" s="904"/>
      <c r="AM37" s="904"/>
      <c r="AN37" s="904"/>
      <c r="AO37" s="904"/>
      <c r="AP37" s="908"/>
    </row>
    <row r="38" spans="1:42" ht="15" customHeight="1">
      <c r="A38" s="910">
        <v>12</v>
      </c>
      <c r="B38" s="904"/>
      <c r="C38" s="904"/>
      <c r="D38" s="906"/>
      <c r="E38" s="904"/>
      <c r="F38" s="904"/>
      <c r="G38" s="911"/>
      <c r="H38" s="911"/>
      <c r="I38" s="911"/>
      <c r="J38" s="911"/>
      <c r="K38" s="911"/>
      <c r="L38" s="911"/>
      <c r="M38" s="904"/>
      <c r="N38" s="904"/>
      <c r="O38" s="904"/>
      <c r="P38" s="904"/>
      <c r="Q38" s="904"/>
      <c r="R38" s="904"/>
      <c r="S38" s="904"/>
      <c r="T38" s="904"/>
      <c r="U38" s="904"/>
      <c r="V38" s="904"/>
      <c r="W38" s="904"/>
      <c r="X38" s="904"/>
      <c r="Y38" s="904"/>
      <c r="Z38" s="904"/>
      <c r="AA38" s="906"/>
      <c r="AB38" s="906"/>
      <c r="AC38" s="906"/>
      <c r="AD38" s="906"/>
      <c r="AE38" s="906"/>
      <c r="AF38" s="906"/>
      <c r="AG38" s="904"/>
      <c r="AH38" s="904"/>
      <c r="AI38" s="904"/>
      <c r="AJ38" s="904"/>
      <c r="AK38" s="904"/>
      <c r="AL38" s="904"/>
      <c r="AM38" s="904"/>
      <c r="AN38" s="904"/>
      <c r="AO38" s="904"/>
      <c r="AP38" s="908"/>
    </row>
    <row r="39" spans="1:42" ht="15" customHeight="1" thickBot="1">
      <c r="A39" s="914"/>
      <c r="B39" s="905"/>
      <c r="C39" s="905"/>
      <c r="D39" s="905"/>
      <c r="E39" s="905"/>
      <c r="F39" s="905"/>
      <c r="G39" s="915"/>
      <c r="H39" s="915"/>
      <c r="I39" s="915"/>
      <c r="J39" s="915"/>
      <c r="K39" s="915"/>
      <c r="L39" s="915"/>
      <c r="M39" s="905"/>
      <c r="N39" s="905"/>
      <c r="O39" s="905"/>
      <c r="P39" s="905"/>
      <c r="Q39" s="905"/>
      <c r="R39" s="905"/>
      <c r="S39" s="905"/>
      <c r="T39" s="905"/>
      <c r="U39" s="905"/>
      <c r="V39" s="905"/>
      <c r="W39" s="905"/>
      <c r="X39" s="905"/>
      <c r="Y39" s="905"/>
      <c r="Z39" s="905"/>
      <c r="AA39" s="907"/>
      <c r="AB39" s="907"/>
      <c r="AC39" s="907"/>
      <c r="AD39" s="907"/>
      <c r="AE39" s="907"/>
      <c r="AF39" s="907"/>
      <c r="AG39" s="905"/>
      <c r="AH39" s="905"/>
      <c r="AI39" s="905"/>
      <c r="AJ39" s="905"/>
      <c r="AK39" s="905"/>
      <c r="AL39" s="905"/>
      <c r="AM39" s="905"/>
      <c r="AN39" s="905"/>
      <c r="AO39" s="905"/>
      <c r="AP39" s="909"/>
    </row>
    <row r="40" spans="1:42" ht="15" customHeight="1">
      <c r="A40" s="912" t="s">
        <v>577</v>
      </c>
      <c r="B40" s="912"/>
      <c r="C40" s="912"/>
      <c r="D40" s="912"/>
      <c r="E40" s="912"/>
      <c r="F40" s="912"/>
      <c r="G40" s="912"/>
      <c r="H40" s="912"/>
      <c r="I40" s="912"/>
      <c r="J40" s="912"/>
      <c r="K40" s="912"/>
      <c r="L40" s="912"/>
    </row>
    <row r="41" spans="1:42" ht="15" customHeight="1">
      <c r="A41" s="913"/>
      <c r="B41" s="913"/>
      <c r="C41" s="913"/>
      <c r="D41" s="913"/>
      <c r="E41" s="913"/>
      <c r="F41" s="913"/>
      <c r="G41" s="913"/>
      <c r="H41" s="913"/>
      <c r="I41" s="913"/>
      <c r="J41" s="913"/>
      <c r="K41" s="913"/>
      <c r="L41" s="913"/>
    </row>
    <row r="42" spans="1:42" ht="15" customHeight="1">
      <c r="A42" s="405"/>
      <c r="B42" s="405"/>
      <c r="C42" s="405"/>
      <c r="D42" s="405"/>
      <c r="E42" s="405"/>
      <c r="F42" s="405"/>
      <c r="G42" s="405"/>
      <c r="H42" s="405"/>
      <c r="I42" s="405"/>
      <c r="J42" s="405"/>
      <c r="K42" s="405"/>
      <c r="L42" s="405"/>
      <c r="M42" s="405"/>
      <c r="N42" s="405"/>
      <c r="O42" s="405"/>
      <c r="P42" s="405"/>
      <c r="Q42" s="405"/>
      <c r="R42" s="405"/>
      <c r="S42" s="405"/>
      <c r="T42" s="405"/>
      <c r="U42" s="405"/>
      <c r="V42" s="405"/>
      <c r="W42" s="405"/>
      <c r="X42" s="405"/>
      <c r="Y42" s="405"/>
      <c r="Z42" s="405"/>
      <c r="AA42" s="405"/>
      <c r="AB42" s="405"/>
      <c r="AC42" s="405"/>
      <c r="AD42" s="405"/>
      <c r="AE42" s="405"/>
      <c r="AF42" s="405"/>
      <c r="AG42" s="405"/>
      <c r="AH42" s="405"/>
      <c r="AI42" s="405"/>
      <c r="AJ42" s="405"/>
      <c r="AK42" s="405"/>
      <c r="AL42" s="405"/>
      <c r="AM42" s="405"/>
      <c r="AN42" s="405"/>
      <c r="AO42" s="405"/>
      <c r="AP42" s="405"/>
    </row>
    <row r="43" spans="1:42" ht="15" customHeight="1">
      <c r="A43" s="406"/>
      <c r="B43" s="406"/>
      <c r="C43" s="406"/>
      <c r="D43" s="406"/>
      <c r="E43" s="406"/>
      <c r="F43" s="406"/>
      <c r="G43" s="406"/>
      <c r="H43" s="406"/>
      <c r="I43" s="406"/>
      <c r="J43" s="406"/>
      <c r="K43" s="406"/>
      <c r="L43" s="406"/>
      <c r="M43" s="406"/>
      <c r="N43" s="406"/>
      <c r="O43" s="406"/>
      <c r="P43" s="406"/>
      <c r="Q43" s="406"/>
      <c r="R43" s="406"/>
      <c r="S43" s="406"/>
      <c r="T43" s="406"/>
      <c r="U43" s="406"/>
      <c r="V43" s="406"/>
      <c r="W43" s="406"/>
      <c r="X43" s="406"/>
      <c r="Y43" s="406"/>
      <c r="Z43" s="406"/>
      <c r="AA43" s="406"/>
      <c r="AB43" s="406"/>
      <c r="AC43" s="406"/>
      <c r="AD43" s="406"/>
      <c r="AE43" s="406"/>
      <c r="AF43" s="406"/>
      <c r="AG43" s="406"/>
      <c r="AH43" s="406"/>
      <c r="AI43" s="406"/>
      <c r="AJ43" s="406"/>
      <c r="AK43" s="406"/>
      <c r="AL43" s="406"/>
      <c r="AM43" s="406"/>
      <c r="AN43" s="406"/>
      <c r="AO43" s="406"/>
      <c r="AP43" s="406"/>
    </row>
    <row r="44" spans="1:42" ht="15" customHeight="1">
      <c r="A44" s="405"/>
      <c r="B44" s="405"/>
      <c r="C44" s="405"/>
      <c r="D44" s="405"/>
      <c r="E44" s="405"/>
      <c r="F44" s="405"/>
      <c r="G44" s="405"/>
      <c r="H44" s="405"/>
      <c r="I44" s="405"/>
      <c r="J44" s="405"/>
      <c r="K44" s="405"/>
      <c r="L44" s="405"/>
      <c r="M44" s="405"/>
      <c r="N44" s="405"/>
      <c r="O44" s="405"/>
      <c r="P44" s="405"/>
      <c r="Q44" s="405"/>
      <c r="R44" s="405"/>
      <c r="S44" s="405"/>
      <c r="T44" s="405"/>
      <c r="U44" s="405"/>
      <c r="V44" s="405"/>
      <c r="W44" s="405"/>
      <c r="X44" s="405"/>
      <c r="Y44" s="405"/>
      <c r="Z44" s="405"/>
      <c r="AA44" s="405"/>
      <c r="AB44" s="405"/>
      <c r="AC44" s="405"/>
      <c r="AD44" s="405"/>
      <c r="AE44" s="405"/>
      <c r="AF44" s="405"/>
      <c r="AG44" s="405"/>
      <c r="AH44" s="405"/>
      <c r="AI44" s="405"/>
      <c r="AJ44" s="405"/>
      <c r="AK44" s="405"/>
      <c r="AL44" s="405"/>
      <c r="AM44" s="405"/>
      <c r="AN44" s="405"/>
      <c r="AO44" s="405"/>
      <c r="AP44" s="405"/>
    </row>
    <row r="45" spans="1:42" ht="15" customHeight="1">
      <c r="A45" s="406"/>
      <c r="B45" s="406"/>
      <c r="C45" s="406"/>
      <c r="D45" s="406"/>
      <c r="E45" s="406"/>
      <c r="F45" s="406"/>
      <c r="G45" s="406"/>
      <c r="H45" s="406"/>
      <c r="I45" s="406"/>
      <c r="J45" s="406"/>
      <c r="K45" s="406"/>
      <c r="L45" s="406"/>
      <c r="M45" s="406"/>
      <c r="N45" s="406"/>
      <c r="O45" s="406"/>
      <c r="P45" s="406"/>
      <c r="Q45" s="406"/>
      <c r="R45" s="406"/>
      <c r="S45" s="406"/>
      <c r="T45" s="406"/>
      <c r="U45" s="406"/>
      <c r="V45" s="406"/>
      <c r="W45" s="406"/>
      <c r="X45" s="406"/>
      <c r="Y45" s="406"/>
      <c r="Z45" s="406"/>
      <c r="AA45" s="406"/>
      <c r="AB45" s="406"/>
      <c r="AC45" s="406"/>
      <c r="AD45" s="406"/>
      <c r="AE45" s="406"/>
      <c r="AF45" s="406"/>
      <c r="AG45" s="406"/>
      <c r="AH45" s="406"/>
      <c r="AI45" s="406"/>
      <c r="AJ45" s="406"/>
      <c r="AK45" s="406"/>
      <c r="AL45" s="406"/>
      <c r="AM45" s="406"/>
      <c r="AN45" s="406"/>
      <c r="AO45" s="406"/>
      <c r="AP45" s="406"/>
    </row>
    <row r="46" spans="1:42" ht="15" customHeight="1">
      <c r="A46" s="405"/>
      <c r="B46" s="405"/>
      <c r="C46" s="405"/>
      <c r="D46" s="405"/>
      <c r="E46" s="405"/>
      <c r="F46" s="405"/>
      <c r="G46" s="405"/>
      <c r="H46" s="405"/>
      <c r="I46" s="405"/>
      <c r="J46" s="405"/>
      <c r="K46" s="405"/>
      <c r="L46" s="405"/>
      <c r="M46" s="405"/>
      <c r="N46" s="405"/>
      <c r="O46" s="405"/>
      <c r="P46" s="405"/>
      <c r="Q46" s="405"/>
      <c r="R46" s="405"/>
      <c r="S46" s="405"/>
      <c r="T46" s="405"/>
      <c r="U46" s="405"/>
      <c r="V46" s="405"/>
      <c r="W46" s="405"/>
      <c r="X46" s="405"/>
      <c r="Y46" s="405"/>
      <c r="Z46" s="405"/>
      <c r="AA46" s="405"/>
      <c r="AB46" s="405"/>
      <c r="AC46" s="405"/>
      <c r="AD46" s="405"/>
      <c r="AE46" s="405"/>
      <c r="AF46" s="405"/>
      <c r="AG46" s="405"/>
      <c r="AH46" s="405"/>
      <c r="AI46" s="405"/>
      <c r="AJ46" s="405"/>
      <c r="AK46" s="405"/>
      <c r="AL46" s="405"/>
      <c r="AM46" s="405"/>
      <c r="AN46" s="405"/>
      <c r="AO46" s="405"/>
      <c r="AP46" s="405"/>
    </row>
    <row r="47" spans="1:42" ht="15" customHeight="1">
      <c r="A47" s="406"/>
      <c r="B47" s="406"/>
      <c r="C47" s="406"/>
      <c r="D47" s="406"/>
      <c r="E47" s="406"/>
      <c r="F47" s="406"/>
      <c r="G47" s="406"/>
      <c r="H47" s="406"/>
      <c r="I47" s="406"/>
      <c r="J47" s="406"/>
      <c r="K47" s="406"/>
      <c r="L47" s="406"/>
      <c r="M47" s="406"/>
      <c r="N47" s="406"/>
      <c r="O47" s="406"/>
      <c r="P47" s="406"/>
      <c r="Q47" s="406"/>
      <c r="R47" s="406"/>
      <c r="S47" s="406"/>
      <c r="T47" s="406"/>
      <c r="U47" s="406"/>
      <c r="V47" s="406"/>
      <c r="W47" s="406"/>
      <c r="X47" s="406"/>
      <c r="Y47" s="406"/>
      <c r="Z47" s="406"/>
      <c r="AA47" s="406"/>
      <c r="AB47" s="406"/>
      <c r="AC47" s="406"/>
      <c r="AD47" s="406"/>
      <c r="AE47" s="406"/>
      <c r="AF47" s="406"/>
      <c r="AG47" s="406"/>
      <c r="AH47" s="406"/>
      <c r="AI47" s="406"/>
      <c r="AJ47" s="406"/>
      <c r="AK47" s="406"/>
      <c r="AL47" s="406"/>
      <c r="AM47" s="406"/>
      <c r="AN47" s="406"/>
      <c r="AO47" s="406"/>
      <c r="AP47" s="406"/>
    </row>
    <row r="48" spans="1:42" ht="15" customHeight="1">
      <c r="A48" s="405"/>
      <c r="B48" s="405"/>
      <c r="C48" s="405"/>
      <c r="D48" s="405"/>
      <c r="E48" s="405"/>
      <c r="F48" s="405"/>
      <c r="G48" s="405"/>
      <c r="H48" s="405"/>
      <c r="I48" s="405"/>
      <c r="J48" s="405"/>
      <c r="K48" s="405"/>
      <c r="L48" s="405"/>
      <c r="M48" s="405"/>
      <c r="N48" s="405"/>
      <c r="O48" s="405"/>
      <c r="P48" s="405"/>
      <c r="Q48" s="405"/>
      <c r="R48" s="405"/>
      <c r="S48" s="405"/>
      <c r="T48" s="405"/>
      <c r="U48" s="405"/>
      <c r="V48" s="405"/>
      <c r="W48" s="405"/>
      <c r="X48" s="405"/>
      <c r="Y48" s="405"/>
      <c r="Z48" s="405"/>
      <c r="AA48" s="405"/>
      <c r="AB48" s="405"/>
      <c r="AC48" s="405"/>
      <c r="AD48" s="405"/>
      <c r="AE48" s="405"/>
      <c r="AF48" s="405"/>
      <c r="AG48" s="405"/>
      <c r="AH48" s="405"/>
      <c r="AI48" s="405"/>
      <c r="AJ48" s="405"/>
      <c r="AK48" s="405"/>
      <c r="AL48" s="405"/>
      <c r="AM48" s="405"/>
      <c r="AN48" s="405"/>
      <c r="AO48" s="405"/>
      <c r="AP48" s="405"/>
    </row>
    <row r="49" spans="1:42" ht="15" customHeight="1">
      <c r="A49" s="406"/>
      <c r="B49" s="406"/>
      <c r="C49" s="406"/>
      <c r="D49" s="406"/>
      <c r="E49" s="406"/>
      <c r="F49" s="406"/>
      <c r="G49" s="406"/>
      <c r="H49" s="406"/>
      <c r="I49" s="406"/>
      <c r="J49" s="406"/>
      <c r="K49" s="406"/>
      <c r="L49" s="406"/>
      <c r="M49" s="406"/>
      <c r="N49" s="406"/>
      <c r="O49" s="406"/>
      <c r="P49" s="406"/>
      <c r="Q49" s="406"/>
      <c r="R49" s="406"/>
      <c r="S49" s="406"/>
      <c r="T49" s="406"/>
      <c r="U49" s="406"/>
      <c r="V49" s="406"/>
      <c r="W49" s="406"/>
      <c r="X49" s="406"/>
      <c r="Y49" s="406"/>
      <c r="Z49" s="406"/>
      <c r="AA49" s="406"/>
      <c r="AB49" s="406"/>
      <c r="AC49" s="406"/>
      <c r="AD49" s="406"/>
      <c r="AE49" s="406"/>
      <c r="AF49" s="406"/>
      <c r="AG49" s="406"/>
      <c r="AH49" s="406"/>
      <c r="AI49" s="406"/>
      <c r="AJ49" s="406"/>
      <c r="AK49" s="406"/>
      <c r="AL49" s="406"/>
      <c r="AM49" s="406"/>
      <c r="AN49" s="406"/>
      <c r="AO49" s="406"/>
      <c r="AP49" s="406"/>
    </row>
    <row r="50" spans="1:42" ht="15" customHeight="1">
      <c r="A50" s="405"/>
      <c r="B50" s="405"/>
      <c r="C50" s="405"/>
      <c r="D50" s="405"/>
      <c r="E50" s="405"/>
      <c r="F50" s="405"/>
      <c r="G50" s="405"/>
      <c r="H50" s="405"/>
      <c r="I50" s="405"/>
      <c r="J50" s="405"/>
      <c r="K50" s="405"/>
      <c r="L50" s="405"/>
      <c r="M50" s="405"/>
      <c r="N50" s="405"/>
      <c r="O50" s="405"/>
      <c r="P50" s="405"/>
      <c r="Q50" s="405"/>
      <c r="R50" s="405"/>
      <c r="S50" s="405"/>
      <c r="T50" s="405"/>
      <c r="U50" s="405"/>
      <c r="V50" s="405"/>
      <c r="W50" s="405"/>
      <c r="X50" s="405"/>
      <c r="Y50" s="405"/>
      <c r="Z50" s="405"/>
      <c r="AA50" s="405"/>
      <c r="AB50" s="405"/>
      <c r="AC50" s="405"/>
      <c r="AD50" s="405"/>
      <c r="AE50" s="405"/>
      <c r="AF50" s="405"/>
      <c r="AG50" s="405"/>
      <c r="AH50" s="405"/>
      <c r="AI50" s="405"/>
      <c r="AJ50" s="405"/>
      <c r="AK50" s="405"/>
      <c r="AL50" s="405"/>
      <c r="AM50" s="405"/>
      <c r="AN50" s="405"/>
      <c r="AO50" s="405"/>
      <c r="AP50" s="405"/>
    </row>
    <row r="51" spans="1:42" ht="15" customHeight="1">
      <c r="A51" s="406"/>
      <c r="B51" s="406"/>
      <c r="C51" s="406"/>
      <c r="D51" s="406"/>
      <c r="E51" s="406"/>
      <c r="F51" s="406"/>
      <c r="G51" s="406"/>
      <c r="H51" s="406"/>
      <c r="I51" s="406"/>
      <c r="J51" s="406"/>
      <c r="K51" s="406"/>
      <c r="L51" s="406"/>
      <c r="M51" s="406"/>
      <c r="N51" s="406"/>
      <c r="O51" s="406"/>
      <c r="P51" s="406"/>
      <c r="Q51" s="406"/>
      <c r="R51" s="406"/>
      <c r="S51" s="406"/>
      <c r="T51" s="406"/>
      <c r="U51" s="406"/>
      <c r="V51" s="406"/>
      <c r="W51" s="406"/>
      <c r="X51" s="406"/>
      <c r="Y51" s="406"/>
      <c r="Z51" s="406"/>
      <c r="AA51" s="406"/>
      <c r="AB51" s="406"/>
      <c r="AC51" s="406"/>
      <c r="AD51" s="406"/>
      <c r="AE51" s="406"/>
      <c r="AF51" s="406"/>
      <c r="AG51" s="406"/>
      <c r="AH51" s="406"/>
      <c r="AI51" s="406"/>
      <c r="AJ51" s="406"/>
      <c r="AK51" s="406"/>
      <c r="AL51" s="406"/>
      <c r="AM51" s="406"/>
      <c r="AN51" s="406"/>
      <c r="AO51" s="406"/>
      <c r="AP51" s="406"/>
    </row>
    <row r="52" spans="1:42" ht="15" customHeight="1">
      <c r="A52" s="405"/>
      <c r="B52" s="405"/>
      <c r="C52" s="405"/>
      <c r="D52" s="405"/>
      <c r="E52" s="405"/>
      <c r="F52" s="405"/>
      <c r="G52" s="405"/>
      <c r="H52" s="405"/>
      <c r="I52" s="405"/>
      <c r="J52" s="405"/>
      <c r="K52" s="405"/>
      <c r="L52" s="405"/>
      <c r="M52" s="405"/>
      <c r="N52" s="405"/>
      <c r="O52" s="405"/>
      <c r="P52" s="405"/>
      <c r="Q52" s="405"/>
      <c r="R52" s="405"/>
      <c r="S52" s="405"/>
      <c r="T52" s="405"/>
      <c r="U52" s="405"/>
      <c r="V52" s="405"/>
      <c r="W52" s="405"/>
      <c r="X52" s="405"/>
      <c r="Y52" s="405"/>
      <c r="Z52" s="405"/>
      <c r="AA52" s="405"/>
      <c r="AB52" s="405"/>
      <c r="AC52" s="405"/>
      <c r="AD52" s="405"/>
      <c r="AE52" s="405"/>
      <c r="AF52" s="405"/>
      <c r="AG52" s="405"/>
      <c r="AH52" s="405"/>
      <c r="AI52" s="405"/>
      <c r="AJ52" s="405"/>
      <c r="AK52" s="405"/>
      <c r="AL52" s="405"/>
      <c r="AM52" s="405"/>
      <c r="AN52" s="405"/>
      <c r="AO52" s="405"/>
      <c r="AP52" s="405"/>
    </row>
    <row r="53" spans="1:42" ht="15" customHeight="1">
      <c r="A53" s="406"/>
      <c r="B53" s="406"/>
      <c r="C53" s="406"/>
      <c r="D53" s="406"/>
      <c r="E53" s="406"/>
      <c r="F53" s="406"/>
      <c r="G53" s="406"/>
      <c r="H53" s="406"/>
      <c r="I53" s="406"/>
      <c r="J53" s="406"/>
      <c r="K53" s="406"/>
      <c r="L53" s="406"/>
      <c r="M53" s="406"/>
      <c r="N53" s="406"/>
      <c r="O53" s="406"/>
      <c r="P53" s="406"/>
      <c r="Q53" s="406"/>
      <c r="R53" s="406"/>
      <c r="S53" s="406"/>
      <c r="T53" s="406"/>
      <c r="U53" s="406"/>
      <c r="V53" s="406"/>
      <c r="W53" s="406"/>
      <c r="X53" s="406"/>
      <c r="Y53" s="406"/>
      <c r="Z53" s="406"/>
      <c r="AA53" s="406"/>
      <c r="AB53" s="406"/>
      <c r="AC53" s="406"/>
      <c r="AD53" s="406"/>
      <c r="AE53" s="406"/>
      <c r="AF53" s="406"/>
      <c r="AG53" s="406"/>
      <c r="AH53" s="406"/>
      <c r="AI53" s="406"/>
      <c r="AJ53" s="406"/>
      <c r="AK53" s="406"/>
      <c r="AL53" s="406"/>
      <c r="AM53" s="406"/>
      <c r="AN53" s="406"/>
      <c r="AO53" s="406"/>
      <c r="AP53" s="406"/>
    </row>
    <row r="54" spans="1:42" ht="15" customHeight="1">
      <c r="A54" s="405"/>
      <c r="B54" s="405"/>
      <c r="C54" s="405"/>
      <c r="D54" s="405"/>
      <c r="E54" s="405"/>
      <c r="F54" s="405"/>
      <c r="G54" s="405"/>
      <c r="H54" s="405"/>
      <c r="I54" s="405"/>
      <c r="J54" s="405"/>
      <c r="K54" s="405"/>
      <c r="L54" s="405"/>
      <c r="M54" s="405"/>
      <c r="N54" s="405"/>
      <c r="O54" s="405"/>
      <c r="P54" s="405"/>
      <c r="Q54" s="405"/>
      <c r="R54" s="405"/>
      <c r="S54" s="405"/>
      <c r="T54" s="405"/>
      <c r="U54" s="405"/>
      <c r="V54" s="405"/>
      <c r="W54" s="405"/>
      <c r="X54" s="405"/>
      <c r="Y54" s="405"/>
      <c r="Z54" s="405"/>
      <c r="AA54" s="405"/>
      <c r="AB54" s="405"/>
      <c r="AC54" s="405"/>
      <c r="AD54" s="405"/>
      <c r="AE54" s="405"/>
      <c r="AF54" s="405"/>
      <c r="AG54" s="405"/>
      <c r="AH54" s="405"/>
      <c r="AI54" s="405"/>
      <c r="AJ54" s="405"/>
      <c r="AK54" s="405"/>
      <c r="AL54" s="405"/>
      <c r="AM54" s="405"/>
      <c r="AN54" s="405"/>
      <c r="AO54" s="405"/>
      <c r="AP54" s="405"/>
    </row>
    <row r="55" spans="1:42" ht="15" customHeight="1">
      <c r="A55" s="406"/>
      <c r="B55" s="406"/>
      <c r="C55" s="406"/>
      <c r="D55" s="406"/>
      <c r="E55" s="406"/>
      <c r="F55" s="406"/>
      <c r="G55" s="406"/>
      <c r="H55" s="406"/>
      <c r="I55" s="406"/>
      <c r="J55" s="406"/>
      <c r="K55" s="406"/>
      <c r="L55" s="406"/>
      <c r="M55" s="406"/>
      <c r="N55" s="406"/>
      <c r="O55" s="406"/>
      <c r="P55" s="406"/>
      <c r="Q55" s="406"/>
      <c r="R55" s="406"/>
      <c r="S55" s="406"/>
      <c r="T55" s="406"/>
      <c r="U55" s="406"/>
      <c r="V55" s="406"/>
      <c r="W55" s="406"/>
      <c r="X55" s="406"/>
      <c r="Y55" s="406"/>
      <c r="Z55" s="406"/>
      <c r="AA55" s="406"/>
      <c r="AB55" s="406"/>
      <c r="AC55" s="406"/>
      <c r="AD55" s="406"/>
      <c r="AE55" s="406"/>
      <c r="AF55" s="406"/>
      <c r="AG55" s="406"/>
      <c r="AH55" s="406"/>
      <c r="AI55" s="406"/>
      <c r="AJ55" s="406"/>
      <c r="AK55" s="406"/>
      <c r="AL55" s="406"/>
      <c r="AM55" s="406"/>
      <c r="AN55" s="406"/>
      <c r="AO55" s="406"/>
      <c r="AP55" s="406"/>
    </row>
    <row r="56" spans="1:42" ht="15" customHeight="1">
      <c r="A56" s="405"/>
      <c r="B56" s="405"/>
      <c r="C56" s="405"/>
      <c r="D56" s="405"/>
      <c r="E56" s="405"/>
      <c r="F56" s="405"/>
      <c r="G56" s="405"/>
      <c r="H56" s="405"/>
      <c r="I56" s="405"/>
      <c r="J56" s="405"/>
      <c r="K56" s="405"/>
      <c r="L56" s="405"/>
      <c r="M56" s="405"/>
      <c r="N56" s="405"/>
      <c r="O56" s="405"/>
      <c r="P56" s="405"/>
      <c r="Q56" s="405"/>
      <c r="R56" s="405"/>
      <c r="S56" s="405"/>
      <c r="T56" s="405"/>
      <c r="U56" s="405"/>
      <c r="V56" s="405"/>
      <c r="W56" s="405"/>
      <c r="X56" s="405"/>
      <c r="Y56" s="405"/>
      <c r="Z56" s="405"/>
      <c r="AA56" s="405"/>
      <c r="AB56" s="405"/>
      <c r="AC56" s="405"/>
      <c r="AD56" s="405"/>
      <c r="AE56" s="405"/>
      <c r="AF56" s="405"/>
      <c r="AG56" s="405"/>
      <c r="AH56" s="405"/>
      <c r="AI56" s="405"/>
      <c r="AJ56" s="405"/>
      <c r="AK56" s="405"/>
      <c r="AL56" s="405"/>
      <c r="AM56" s="405"/>
      <c r="AN56" s="405"/>
      <c r="AO56" s="405"/>
      <c r="AP56" s="405"/>
    </row>
    <row r="57" spans="1:42" ht="15" customHeight="1">
      <c r="A57" s="406"/>
      <c r="B57" s="406"/>
      <c r="C57" s="406"/>
      <c r="D57" s="406"/>
      <c r="E57" s="406"/>
      <c r="F57" s="406"/>
      <c r="G57" s="406"/>
      <c r="H57" s="406"/>
      <c r="I57" s="406"/>
      <c r="J57" s="406"/>
      <c r="K57" s="406"/>
      <c r="L57" s="406"/>
      <c r="M57" s="406"/>
      <c r="N57" s="406"/>
      <c r="O57" s="406"/>
      <c r="P57" s="406"/>
      <c r="Q57" s="406"/>
      <c r="R57" s="406"/>
      <c r="S57" s="406"/>
      <c r="T57" s="406"/>
      <c r="U57" s="406"/>
      <c r="V57" s="406"/>
      <c r="W57" s="406"/>
      <c r="X57" s="406"/>
      <c r="Y57" s="406"/>
      <c r="Z57" s="406"/>
      <c r="AA57" s="406"/>
      <c r="AB57" s="406"/>
      <c r="AC57" s="406"/>
      <c r="AD57" s="406"/>
      <c r="AE57" s="406"/>
      <c r="AF57" s="406"/>
      <c r="AG57" s="406"/>
      <c r="AH57" s="406"/>
      <c r="AI57" s="406"/>
      <c r="AJ57" s="406"/>
      <c r="AK57" s="406"/>
      <c r="AL57" s="406"/>
      <c r="AM57" s="406"/>
      <c r="AN57" s="406"/>
      <c r="AO57" s="406"/>
      <c r="AP57" s="406"/>
    </row>
    <row r="58" spans="1:42" ht="15" customHeight="1">
      <c r="A58" s="405"/>
      <c r="B58" s="405"/>
      <c r="C58" s="405"/>
      <c r="D58" s="405"/>
      <c r="E58" s="405"/>
      <c r="F58" s="405"/>
      <c r="G58" s="405"/>
      <c r="H58" s="405"/>
      <c r="I58" s="405"/>
      <c r="J58" s="405"/>
      <c r="K58" s="405"/>
      <c r="L58" s="405"/>
      <c r="M58" s="405"/>
      <c r="N58" s="405"/>
      <c r="O58" s="405"/>
      <c r="P58" s="405"/>
      <c r="Q58" s="405"/>
      <c r="R58" s="405"/>
      <c r="S58" s="405"/>
      <c r="T58" s="405"/>
      <c r="U58" s="405"/>
      <c r="V58" s="405"/>
      <c r="W58" s="405"/>
      <c r="X58" s="405"/>
      <c r="Y58" s="405"/>
      <c r="Z58" s="405"/>
      <c r="AA58" s="405"/>
      <c r="AB58" s="405"/>
      <c r="AC58" s="405"/>
      <c r="AD58" s="405"/>
      <c r="AE58" s="405"/>
      <c r="AF58" s="405"/>
      <c r="AG58" s="405"/>
      <c r="AH58" s="405"/>
      <c r="AI58" s="405"/>
      <c r="AJ58" s="405"/>
      <c r="AK58" s="405"/>
      <c r="AL58" s="405"/>
      <c r="AM58" s="405"/>
      <c r="AN58" s="405"/>
      <c r="AO58" s="405"/>
      <c r="AP58" s="405"/>
    </row>
    <row r="59" spans="1:42" ht="15" customHeight="1">
      <c r="A59" s="405"/>
      <c r="B59" s="405"/>
      <c r="C59" s="405"/>
      <c r="D59" s="405"/>
      <c r="E59" s="405"/>
      <c r="F59" s="405"/>
      <c r="G59" s="405"/>
      <c r="H59" s="405"/>
      <c r="I59" s="405"/>
      <c r="J59" s="405"/>
      <c r="K59" s="405"/>
      <c r="L59" s="405"/>
      <c r="M59" s="405"/>
      <c r="N59" s="405"/>
      <c r="O59" s="405"/>
      <c r="P59" s="405"/>
      <c r="Q59" s="405"/>
      <c r="R59" s="405"/>
      <c r="S59" s="405"/>
      <c r="T59" s="405"/>
      <c r="U59" s="405"/>
      <c r="V59" s="405"/>
      <c r="W59" s="405"/>
      <c r="X59" s="405"/>
      <c r="Y59" s="405"/>
      <c r="Z59" s="405"/>
      <c r="AA59" s="405"/>
      <c r="AB59" s="405"/>
      <c r="AC59" s="405"/>
      <c r="AD59" s="405"/>
      <c r="AE59" s="405"/>
      <c r="AF59" s="405"/>
      <c r="AG59" s="405"/>
      <c r="AH59" s="405"/>
      <c r="AI59" s="405"/>
      <c r="AJ59" s="405"/>
      <c r="AK59" s="405"/>
      <c r="AL59" s="405"/>
      <c r="AM59" s="405"/>
      <c r="AN59" s="405"/>
      <c r="AO59" s="405"/>
      <c r="AP59" s="405"/>
    </row>
    <row r="60" spans="1:42" ht="15" customHeight="1">
      <c r="A60" s="405"/>
      <c r="B60" s="405"/>
      <c r="C60" s="405"/>
      <c r="D60" s="405"/>
      <c r="E60" s="405"/>
      <c r="F60" s="405"/>
      <c r="G60" s="405"/>
      <c r="H60" s="405"/>
      <c r="I60" s="405"/>
      <c r="J60" s="405"/>
      <c r="K60" s="405"/>
      <c r="L60" s="405"/>
      <c r="M60" s="405"/>
      <c r="N60" s="405"/>
      <c r="O60" s="405"/>
      <c r="P60" s="405"/>
      <c r="Q60" s="405"/>
      <c r="R60" s="405"/>
      <c r="S60" s="405"/>
      <c r="T60" s="405"/>
      <c r="U60" s="405"/>
      <c r="V60" s="405"/>
      <c r="W60" s="405"/>
      <c r="X60" s="405"/>
      <c r="Y60" s="405"/>
      <c r="Z60" s="405"/>
      <c r="AA60" s="405"/>
      <c r="AB60" s="405"/>
      <c r="AC60" s="405"/>
      <c r="AD60" s="405"/>
      <c r="AE60" s="405"/>
      <c r="AF60" s="405"/>
      <c r="AG60" s="405"/>
      <c r="AH60" s="405"/>
      <c r="AI60" s="405"/>
      <c r="AJ60" s="405"/>
      <c r="AK60" s="405"/>
      <c r="AL60" s="405"/>
      <c r="AM60" s="405"/>
      <c r="AN60" s="405"/>
      <c r="AO60" s="405"/>
      <c r="AP60" s="405"/>
    </row>
    <row r="61" spans="1:42" ht="15" customHeight="1">
      <c r="A61" s="405"/>
      <c r="B61" s="405"/>
      <c r="C61" s="405"/>
      <c r="D61" s="405"/>
      <c r="E61" s="405"/>
      <c r="F61" s="405"/>
      <c r="G61" s="405"/>
      <c r="H61" s="405"/>
      <c r="I61" s="405"/>
      <c r="J61" s="405"/>
      <c r="K61" s="405"/>
      <c r="L61" s="405"/>
      <c r="M61" s="405"/>
      <c r="N61" s="405"/>
      <c r="O61" s="405"/>
      <c r="P61" s="405"/>
      <c r="Q61" s="405"/>
      <c r="R61" s="405"/>
      <c r="S61" s="405"/>
      <c r="T61" s="405"/>
      <c r="U61" s="405"/>
      <c r="V61" s="405"/>
      <c r="W61" s="405"/>
      <c r="X61" s="405"/>
      <c r="Y61" s="405"/>
      <c r="Z61" s="405"/>
      <c r="AA61" s="405"/>
      <c r="AB61" s="405"/>
      <c r="AC61" s="405"/>
      <c r="AD61" s="405"/>
      <c r="AE61" s="405"/>
      <c r="AF61" s="405"/>
      <c r="AG61" s="405"/>
      <c r="AH61" s="405"/>
      <c r="AI61" s="405"/>
      <c r="AJ61" s="405"/>
      <c r="AK61" s="405"/>
      <c r="AL61" s="405"/>
      <c r="AM61" s="405"/>
      <c r="AN61" s="405"/>
      <c r="AO61" s="405"/>
      <c r="AP61" s="405"/>
    </row>
  </sheetData>
  <mergeCells count="138">
    <mergeCell ref="I12:AJ13"/>
    <mergeCell ref="A1:AP3"/>
    <mergeCell ref="A4:G5"/>
    <mergeCell ref="H4:N5"/>
    <mergeCell ref="O4:U5"/>
    <mergeCell ref="V4:AB5"/>
    <mergeCell ref="AC4:AI5"/>
    <mergeCell ref="AJ4:AP5"/>
    <mergeCell ref="V8:AC9"/>
    <mergeCell ref="V10:AC11"/>
    <mergeCell ref="I6:U7"/>
    <mergeCell ref="I8:U9"/>
    <mergeCell ref="I10:U11"/>
    <mergeCell ref="AD6:AP7"/>
    <mergeCell ref="AD8:AP9"/>
    <mergeCell ref="AD10:AP11"/>
    <mergeCell ref="A8:H9"/>
    <mergeCell ref="A10:H11"/>
    <mergeCell ref="A6:H7"/>
    <mergeCell ref="V6:AC7"/>
    <mergeCell ref="AG14:AK15"/>
    <mergeCell ref="G14:L15"/>
    <mergeCell ref="AL14:AP15"/>
    <mergeCell ref="AA14:AF15"/>
    <mergeCell ref="W14:Z15"/>
    <mergeCell ref="A14:C15"/>
    <mergeCell ref="D14:F15"/>
    <mergeCell ref="M14:S15"/>
    <mergeCell ref="T14:V15"/>
    <mergeCell ref="AA16:AF17"/>
    <mergeCell ref="AG16:AK17"/>
    <mergeCell ref="AL16:AP17"/>
    <mergeCell ref="A18:C19"/>
    <mergeCell ref="D18:F19"/>
    <mergeCell ref="G18:L19"/>
    <mergeCell ref="M18:S19"/>
    <mergeCell ref="T18:V19"/>
    <mergeCell ref="W18:Z19"/>
    <mergeCell ref="AA18:AF19"/>
    <mergeCell ref="A16:C17"/>
    <mergeCell ref="D16:F17"/>
    <mergeCell ref="G16:L17"/>
    <mergeCell ref="M16:S17"/>
    <mergeCell ref="T16:V17"/>
    <mergeCell ref="W16:Z17"/>
    <mergeCell ref="AG18:AK19"/>
    <mergeCell ref="AL18:AP19"/>
    <mergeCell ref="A20:C21"/>
    <mergeCell ref="D20:F21"/>
    <mergeCell ref="G20:L21"/>
    <mergeCell ref="M20:S21"/>
    <mergeCell ref="T20:V21"/>
    <mergeCell ref="W20:Z21"/>
    <mergeCell ref="AA20:AF21"/>
    <mergeCell ref="AG20:AK21"/>
    <mergeCell ref="AL20:AP21"/>
    <mergeCell ref="A22:C23"/>
    <mergeCell ref="D22:F23"/>
    <mergeCell ref="G22:L23"/>
    <mergeCell ref="M22:S23"/>
    <mergeCell ref="T22:V23"/>
    <mergeCell ref="W22:Z23"/>
    <mergeCell ref="AA22:AF23"/>
    <mergeCell ref="AG22:AK23"/>
    <mergeCell ref="AL22:AP23"/>
    <mergeCell ref="AA24:AF25"/>
    <mergeCell ref="AG24:AK25"/>
    <mergeCell ref="AL24:AP25"/>
    <mergeCell ref="A26:C27"/>
    <mergeCell ref="D26:F27"/>
    <mergeCell ref="G26:L27"/>
    <mergeCell ref="M26:S27"/>
    <mergeCell ref="T26:V27"/>
    <mergeCell ref="W26:Z27"/>
    <mergeCell ref="AA26:AF27"/>
    <mergeCell ref="A24:C25"/>
    <mergeCell ref="D24:F25"/>
    <mergeCell ref="G24:L25"/>
    <mergeCell ref="M24:S25"/>
    <mergeCell ref="T24:V25"/>
    <mergeCell ref="W24:Z25"/>
    <mergeCell ref="AG26:AK27"/>
    <mergeCell ref="AL26:AP27"/>
    <mergeCell ref="A28:C29"/>
    <mergeCell ref="D28:F29"/>
    <mergeCell ref="G28:L29"/>
    <mergeCell ref="M28:S29"/>
    <mergeCell ref="T28:V29"/>
    <mergeCell ref="W28:Z29"/>
    <mergeCell ref="AA28:AF29"/>
    <mergeCell ref="AG28:AK29"/>
    <mergeCell ref="AL28:AP29"/>
    <mergeCell ref="A30:C31"/>
    <mergeCell ref="D30:F31"/>
    <mergeCell ref="G30:L31"/>
    <mergeCell ref="M30:S31"/>
    <mergeCell ref="T30:V31"/>
    <mergeCell ref="W30:Z31"/>
    <mergeCell ref="AA30:AF31"/>
    <mergeCell ref="AG30:AK31"/>
    <mergeCell ref="AL30:AP31"/>
    <mergeCell ref="A40:L41"/>
    <mergeCell ref="AA32:AF33"/>
    <mergeCell ref="AG32:AK33"/>
    <mergeCell ref="AL32:AP33"/>
    <mergeCell ref="A34:C35"/>
    <mergeCell ref="D34:F35"/>
    <mergeCell ref="G34:L35"/>
    <mergeCell ref="M34:S35"/>
    <mergeCell ref="T34:V35"/>
    <mergeCell ref="W34:Z35"/>
    <mergeCell ref="AA34:AF35"/>
    <mergeCell ref="A32:C33"/>
    <mergeCell ref="D32:F33"/>
    <mergeCell ref="G32:L33"/>
    <mergeCell ref="M32:S33"/>
    <mergeCell ref="T32:V33"/>
    <mergeCell ref="W32:Z33"/>
    <mergeCell ref="AG34:AK35"/>
    <mergeCell ref="AL34:AP35"/>
    <mergeCell ref="AL36:AP37"/>
    <mergeCell ref="A38:C39"/>
    <mergeCell ref="D38:F39"/>
    <mergeCell ref="G38:L39"/>
    <mergeCell ref="M38:S39"/>
    <mergeCell ref="T38:V39"/>
    <mergeCell ref="W38:Z39"/>
    <mergeCell ref="AA38:AF39"/>
    <mergeCell ref="AG38:AK39"/>
    <mergeCell ref="AL38:AP39"/>
    <mergeCell ref="A36:C37"/>
    <mergeCell ref="D36:F37"/>
    <mergeCell ref="G36:L37"/>
    <mergeCell ref="M36:S37"/>
    <mergeCell ref="T36:V37"/>
    <mergeCell ref="W36:Z37"/>
    <mergeCell ref="AA36:AF37"/>
    <mergeCell ref="AG36:AK37"/>
  </mergeCells>
  <pageMargins left="0.7" right="0.72187500000000004" top="0.75" bottom="0.75" header="0.3" footer="0.3"/>
  <pageSetup scale="75" orientation="portrait" r:id="rId1"/>
  <headerFooter>
    <oddFooter>&amp;CIssue Date:  20-Apr-98  Revision No.:  8   Revision Date:  25-Sept-14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9698" r:id="rId4" name="Check Box 2">
              <controlPr defaultSize="0" autoFill="0" autoLine="0" autoPict="0">
                <anchor moveWithCells="1">
                  <from>
                    <xdr:col>25</xdr:col>
                    <xdr:colOff>123825</xdr:colOff>
                    <xdr:row>11</xdr:row>
                    <xdr:rowOff>76200</xdr:rowOff>
                  </from>
                  <to>
                    <xdr:col>27</xdr:col>
                    <xdr:colOff>28575</xdr:colOff>
                    <xdr:row>12</xdr:row>
                    <xdr:rowOff>123825</xdr:rowOff>
                  </to>
                </anchor>
              </controlPr>
            </control>
          </mc:Choice>
        </mc:AlternateContent>
        <mc:AlternateContent xmlns:mc="http://schemas.openxmlformats.org/markup-compatibility/2006">
          <mc:Choice Requires="x14">
            <control shapeId="29699" r:id="rId5" name="Check Box 3">
              <controlPr defaultSize="0" autoFill="0" autoLine="0" autoPict="0">
                <anchor moveWithCells="1">
                  <from>
                    <xdr:col>30</xdr:col>
                    <xdr:colOff>85725</xdr:colOff>
                    <xdr:row>11</xdr:row>
                    <xdr:rowOff>76200</xdr:rowOff>
                  </from>
                  <to>
                    <xdr:col>31</xdr:col>
                    <xdr:colOff>180975</xdr:colOff>
                    <xdr:row>12</xdr:row>
                    <xdr:rowOff>123825</xdr:rowOff>
                  </to>
                </anchor>
              </controlPr>
            </control>
          </mc:Choice>
        </mc:AlternateContent>
        <mc:AlternateContent xmlns:mc="http://schemas.openxmlformats.org/markup-compatibility/2006">
          <mc:Choice Requires="x14">
            <control shapeId="29700" r:id="rId6" name="Check Box 4">
              <controlPr defaultSize="0" autoFill="0" autoLine="0" autoPict="0">
                <anchor moveWithCells="1">
                  <from>
                    <xdr:col>5</xdr:col>
                    <xdr:colOff>85725</xdr:colOff>
                    <xdr:row>3</xdr:row>
                    <xdr:rowOff>76200</xdr:rowOff>
                  </from>
                  <to>
                    <xdr:col>6</xdr:col>
                    <xdr:colOff>180975</xdr:colOff>
                    <xdr:row>4</xdr:row>
                    <xdr:rowOff>123825</xdr:rowOff>
                  </to>
                </anchor>
              </controlPr>
            </control>
          </mc:Choice>
        </mc:AlternateContent>
        <mc:AlternateContent xmlns:mc="http://schemas.openxmlformats.org/markup-compatibility/2006">
          <mc:Choice Requires="x14">
            <control shapeId="29701" r:id="rId7" name="Check Box 5">
              <controlPr defaultSize="0" autoFill="0" autoLine="0" autoPict="0">
                <anchor moveWithCells="1">
                  <from>
                    <xdr:col>12</xdr:col>
                    <xdr:colOff>85725</xdr:colOff>
                    <xdr:row>3</xdr:row>
                    <xdr:rowOff>76200</xdr:rowOff>
                  </from>
                  <to>
                    <xdr:col>13</xdr:col>
                    <xdr:colOff>180975</xdr:colOff>
                    <xdr:row>4</xdr:row>
                    <xdr:rowOff>123825</xdr:rowOff>
                  </to>
                </anchor>
              </controlPr>
            </control>
          </mc:Choice>
        </mc:AlternateContent>
        <mc:AlternateContent xmlns:mc="http://schemas.openxmlformats.org/markup-compatibility/2006">
          <mc:Choice Requires="x14">
            <control shapeId="29702" r:id="rId8" name="Check Box 6">
              <controlPr defaultSize="0" autoFill="0" autoLine="0" autoPict="0">
                <anchor moveWithCells="1">
                  <from>
                    <xdr:col>19</xdr:col>
                    <xdr:colOff>85725</xdr:colOff>
                    <xdr:row>3</xdr:row>
                    <xdr:rowOff>76200</xdr:rowOff>
                  </from>
                  <to>
                    <xdr:col>20</xdr:col>
                    <xdr:colOff>180975</xdr:colOff>
                    <xdr:row>4</xdr:row>
                    <xdr:rowOff>123825</xdr:rowOff>
                  </to>
                </anchor>
              </controlPr>
            </control>
          </mc:Choice>
        </mc:AlternateContent>
        <mc:AlternateContent xmlns:mc="http://schemas.openxmlformats.org/markup-compatibility/2006">
          <mc:Choice Requires="x14">
            <control shapeId="29703" r:id="rId9" name="Check Box 7">
              <controlPr defaultSize="0" autoFill="0" autoLine="0" autoPict="0">
                <anchor moveWithCells="1">
                  <from>
                    <xdr:col>26</xdr:col>
                    <xdr:colOff>85725</xdr:colOff>
                    <xdr:row>3</xdr:row>
                    <xdr:rowOff>76200</xdr:rowOff>
                  </from>
                  <to>
                    <xdr:col>27</xdr:col>
                    <xdr:colOff>180975</xdr:colOff>
                    <xdr:row>4</xdr:row>
                    <xdr:rowOff>123825</xdr:rowOff>
                  </to>
                </anchor>
              </controlPr>
            </control>
          </mc:Choice>
        </mc:AlternateContent>
        <mc:AlternateContent xmlns:mc="http://schemas.openxmlformats.org/markup-compatibility/2006">
          <mc:Choice Requires="x14">
            <control shapeId="29704" r:id="rId10" name="Check Box 8">
              <controlPr defaultSize="0" autoFill="0" autoLine="0" autoPict="0">
                <anchor moveWithCells="1">
                  <from>
                    <xdr:col>33</xdr:col>
                    <xdr:colOff>85725</xdr:colOff>
                    <xdr:row>3</xdr:row>
                    <xdr:rowOff>76200</xdr:rowOff>
                  </from>
                  <to>
                    <xdr:col>34</xdr:col>
                    <xdr:colOff>180975</xdr:colOff>
                    <xdr:row>4</xdr:row>
                    <xdr:rowOff>123825</xdr:rowOff>
                  </to>
                </anchor>
              </controlPr>
            </control>
          </mc:Choice>
        </mc:AlternateContent>
        <mc:AlternateContent xmlns:mc="http://schemas.openxmlformats.org/markup-compatibility/2006">
          <mc:Choice Requires="x14">
            <control shapeId="29705" r:id="rId11" name="Check Box 9">
              <controlPr defaultSize="0" autoFill="0" autoLine="0" autoPict="0">
                <anchor moveWithCells="1">
                  <from>
                    <xdr:col>40</xdr:col>
                    <xdr:colOff>85725</xdr:colOff>
                    <xdr:row>3</xdr:row>
                    <xdr:rowOff>76200</xdr:rowOff>
                  </from>
                  <to>
                    <xdr:col>41</xdr:col>
                    <xdr:colOff>180975</xdr:colOff>
                    <xdr:row>4</xdr:row>
                    <xdr:rowOff>123825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Sheet1!$J$1:$J$12</xm:f>
          </x14:formula1>
          <xm:sqref>AA16:AF39</xm:sqref>
        </x14:dataValidation>
        <x14:dataValidation type="list" allowBlank="1" showInputMessage="1" showErrorMessage="1">
          <x14:formula1>
            <xm:f>Sheet1!$L$1:$L$6</xm:f>
          </x14:formula1>
          <xm:sqref>AL16:AP39</xm:sqref>
        </x14:dataValidation>
        <x14:dataValidation type="list" allowBlank="1" showInputMessage="1" showErrorMessage="1">
          <x14:formula1>
            <xm:f>Sheet1!$G$1:$G$12</xm:f>
          </x14:formula1>
          <xm:sqref>G16:L39</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7</vt:i4>
      </vt:variant>
    </vt:vector>
  </HeadingPairs>
  <TitlesOfParts>
    <vt:vector size="20" baseType="lpstr">
      <vt:lpstr>Assessment</vt:lpstr>
      <vt:lpstr>Sheet1</vt:lpstr>
      <vt:lpstr>Quote Request</vt:lpstr>
      <vt:lpstr>Quote</vt:lpstr>
      <vt:lpstr>Roll Stock Checklist</vt:lpstr>
      <vt:lpstr>ICM</vt:lpstr>
      <vt:lpstr> S+R</vt:lpstr>
      <vt:lpstr>Drawing</vt:lpstr>
      <vt:lpstr>Print Direction Chart</vt:lpstr>
      <vt:lpstr>GL Codes</vt:lpstr>
      <vt:lpstr>SPEC SHEET</vt:lpstr>
      <vt:lpstr>Pink Sheet</vt:lpstr>
      <vt:lpstr>PRESS SPEC SHEET</vt:lpstr>
      <vt:lpstr>Assessment!Print_Area</vt:lpstr>
      <vt:lpstr>'GL Codes'!Print_Area</vt:lpstr>
      <vt:lpstr>'Pink Sheet'!Print_Area</vt:lpstr>
      <vt:lpstr>'PRESS SPEC SHEET'!Print_Area</vt:lpstr>
      <vt:lpstr>Quote!Print_Area</vt:lpstr>
      <vt:lpstr>'Quote Request'!Print_Area</vt:lpstr>
      <vt:lpstr>'SPEC SHEET'!Print_Area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flexrip</dc:creator>
  <cp:lastModifiedBy>Haines, Victoria</cp:lastModifiedBy>
  <cp:lastPrinted>2016-07-08T20:43:46Z</cp:lastPrinted>
  <dcterms:created xsi:type="dcterms:W3CDTF">2010-11-26T20:02:27Z</dcterms:created>
  <dcterms:modified xsi:type="dcterms:W3CDTF">2016-07-13T17:59:51Z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