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H:\MK\Marketing Forms\Marketing\"/>
    </mc:Choice>
  </mc:AlternateContent>
  <bookViews>
    <workbookView xWindow="285" yWindow="285" windowWidth="14535" windowHeight="13170" tabRatio="871"/>
  </bookViews>
  <sheets>
    <sheet name="Roll Stock Checklist" sheetId="8" r:id="rId1"/>
    <sheet name="ICM" sheetId="21" r:id="rId2"/>
    <sheet name=" S+R" sheetId="20" r:id="rId3"/>
    <sheet name="Drawing" sheetId="25" r:id="rId4"/>
    <sheet name="Print Direction Chart" sheetId="13" r:id="rId5"/>
    <sheet name="GL Codes" sheetId="16" state="hidden" r:id="rId6"/>
    <sheet name="Cust Specific" sheetId="24" r:id="rId7"/>
  </sheets>
  <definedNames>
    <definedName name="_xlnm.Print_Area" localSheetId="5">'GL Codes'!$A$1:$L$54</definedName>
  </definedNames>
  <calcPr calcId="171027" concurrentCalc="0"/>
</workbook>
</file>

<file path=xl/calcChain.xml><?xml version="1.0" encoding="utf-8"?>
<calcChain xmlns="http://schemas.openxmlformats.org/spreadsheetml/2006/main">
  <c r="F17" i="21" l="1"/>
  <c r="D17" i="21"/>
  <c r="E65" i="21"/>
  <c r="E71" i="21"/>
  <c r="E67" i="21"/>
  <c r="E63" i="21"/>
  <c r="E69" i="21"/>
  <c r="E61" i="21"/>
  <c r="A71" i="21"/>
  <c r="F23" i="8"/>
  <c r="A27" i="8"/>
  <c r="B41" i="20"/>
  <c r="F35" i="8"/>
  <c r="I7" i="20"/>
  <c r="I81" i="21"/>
  <c r="B31" i="8"/>
  <c r="B83" i="21"/>
  <c r="E39" i="21"/>
  <c r="F23" i="20"/>
  <c r="B53" i="21"/>
  <c r="F53" i="21"/>
  <c r="I31" i="21"/>
  <c r="F19" i="20"/>
  <c r="I33" i="20"/>
  <c r="F29" i="20"/>
  <c r="F51" i="21"/>
  <c r="B3" i="21"/>
  <c r="F5" i="21"/>
  <c r="F31" i="8"/>
  <c r="F27" i="21"/>
  <c r="H35" i="21"/>
  <c r="H33" i="21"/>
  <c r="F85" i="21"/>
  <c r="I33" i="21"/>
  <c r="I35" i="21"/>
  <c r="I3" i="20"/>
  <c r="E73" i="21"/>
  <c r="F44" i="21"/>
  <c r="B59" i="21"/>
  <c r="F17" i="8"/>
  <c r="G37" i="21"/>
  <c r="F37" i="8"/>
  <c r="C9" i="20"/>
  <c r="B11" i="8"/>
  <c r="F3" i="21"/>
  <c r="B5" i="21"/>
  <c r="B9" i="21"/>
  <c r="I9" i="21"/>
  <c r="C11" i="21"/>
  <c r="I11" i="21"/>
  <c r="B13" i="21"/>
  <c r="I13" i="21"/>
  <c r="B15" i="21"/>
  <c r="I15" i="21"/>
  <c r="B23" i="21"/>
  <c r="B25" i="21"/>
  <c r="H25" i="21"/>
  <c r="B27" i="21"/>
  <c r="B29" i="21"/>
  <c r="F29" i="21"/>
  <c r="I29" i="21"/>
  <c r="I44" i="21"/>
  <c r="B51" i="21"/>
  <c r="I59" i="21"/>
  <c r="A61" i="21"/>
  <c r="H61" i="21"/>
  <c r="A63" i="21"/>
  <c r="H63" i="21"/>
  <c r="A65" i="21"/>
  <c r="A67" i="21"/>
  <c r="A69" i="21"/>
  <c r="B77" i="21"/>
  <c r="I77" i="21"/>
  <c r="B79" i="21"/>
  <c r="C79" i="21"/>
  <c r="I79" i="21"/>
  <c r="I83" i="21"/>
  <c r="B85" i="21"/>
  <c r="I85" i="21"/>
  <c r="F3" i="20"/>
  <c r="B7" i="20"/>
  <c r="B9" i="20"/>
  <c r="I9" i="20"/>
  <c r="E15" i="20"/>
  <c r="B17" i="20"/>
  <c r="I17" i="20"/>
  <c r="B19" i="20"/>
  <c r="I19" i="20"/>
  <c r="B21" i="20"/>
  <c r="F21" i="20"/>
  <c r="I21" i="20"/>
  <c r="I23" i="20"/>
  <c r="B29" i="20"/>
  <c r="B31" i="20"/>
  <c r="F31" i="20"/>
  <c r="I35" i="20"/>
  <c r="B37" i="20"/>
  <c r="I37" i="20"/>
</calcChain>
</file>

<file path=xl/sharedStrings.xml><?xml version="1.0" encoding="utf-8"?>
<sst xmlns="http://schemas.openxmlformats.org/spreadsheetml/2006/main" count="449" uniqueCount="397">
  <si>
    <t>Bleed (if appl.):</t>
  </si>
  <si>
    <t>Structure:</t>
  </si>
  <si>
    <r>
      <t>Image Width</t>
    </r>
    <r>
      <rPr>
        <b/>
        <sz val="8"/>
        <rFont val="Arial"/>
      </rPr>
      <t xml:space="preserve"> (F)</t>
    </r>
    <r>
      <rPr>
        <sz val="8"/>
        <rFont val="Arial"/>
      </rPr>
      <t>:</t>
    </r>
  </si>
  <si>
    <t xml:space="preserve"> Operator:</t>
  </si>
  <si>
    <t>Print Centered
on Web:</t>
  </si>
  <si>
    <t>Registered or
Continuous Print?</t>
  </si>
  <si>
    <t>Colours as per:</t>
  </si>
  <si>
    <t>0516</t>
  </si>
  <si>
    <t>Bleed:</t>
  </si>
  <si>
    <t>'0073</t>
  </si>
  <si>
    <r>
      <t xml:space="preserve">Image Length </t>
    </r>
    <r>
      <rPr>
        <b/>
        <sz val="8"/>
        <rFont val="Arial"/>
      </rPr>
      <t>(B)</t>
    </r>
    <r>
      <rPr>
        <sz val="8"/>
        <rFont val="Arial"/>
      </rPr>
      <t>:</t>
    </r>
  </si>
  <si>
    <t>Print Position (if not centered):</t>
  </si>
  <si>
    <r>
      <t xml:space="preserve">Pkg Width </t>
    </r>
    <r>
      <rPr>
        <b/>
        <sz val="8"/>
        <rFont val="Arial"/>
      </rPr>
      <t>(ac)</t>
    </r>
    <r>
      <rPr>
        <sz val="8"/>
        <rFont val="Arial"/>
      </rPr>
      <t>:</t>
    </r>
  </si>
  <si>
    <t>0822</t>
  </si>
  <si>
    <t>0075</t>
  </si>
  <si>
    <t>0664</t>
  </si>
  <si>
    <t>Guideline Colour:</t>
  </si>
  <si>
    <t>Art as Per:</t>
  </si>
  <si>
    <t>Baker, Andrea</t>
  </si>
  <si>
    <t>0567</t>
  </si>
  <si>
    <t>0480</t>
  </si>
  <si>
    <t>0454</t>
  </si>
  <si>
    <t># AC / Web:</t>
  </si>
  <si>
    <t>Medical Packaging</t>
  </si>
  <si>
    <t>Date Required:</t>
  </si>
  <si>
    <t>No</t>
  </si>
  <si>
    <r>
      <t xml:space="preserve">Image Width </t>
    </r>
    <r>
      <rPr>
        <b/>
        <sz val="8"/>
        <rFont val="Arial"/>
      </rPr>
      <t>(B)</t>
    </r>
    <r>
      <rPr>
        <sz val="8"/>
        <rFont val="Arial"/>
      </rPr>
      <t>:</t>
    </r>
  </si>
  <si>
    <t>Dupey Equipment</t>
  </si>
  <si>
    <t>0666</t>
  </si>
  <si>
    <t>0628</t>
  </si>
  <si>
    <t>ADDITIONAL COMMENTS / INSTRUCTIONS</t>
  </si>
  <si>
    <t>Print Direction #:</t>
  </si>
  <si>
    <t>15 x 8</t>
  </si>
  <si>
    <t>PO:</t>
  </si>
  <si>
    <t>0049</t>
  </si>
  <si>
    <t>0523</t>
  </si>
  <si>
    <t>Total # Items:</t>
  </si>
  <si>
    <t>Distortion:</t>
  </si>
  <si>
    <t>House - US</t>
  </si>
  <si>
    <t>Hamill, David</t>
  </si>
  <si>
    <t>0014</t>
  </si>
  <si>
    <t>0334</t>
  </si>
  <si>
    <t>0319</t>
  </si>
  <si>
    <t>Maxwell, Colleen</t>
  </si>
  <si>
    <t>Coordinator:</t>
  </si>
  <si>
    <t>Laser Score Pos.
(if applicable):</t>
  </si>
  <si>
    <t>Type of Proof:</t>
  </si>
  <si>
    <t>Kingston, Kraig</t>
  </si>
  <si>
    <t xml:space="preserve">Medical Application: </t>
  </si>
  <si>
    <t>Bergsma, Mark</t>
  </si>
  <si>
    <t>Print:</t>
  </si>
  <si>
    <t>Print Position
(if not centered):</t>
  </si>
  <si>
    <t>0829</t>
  </si>
  <si>
    <t># Impr. Across:</t>
  </si>
  <si>
    <t>Customer:</t>
  </si>
  <si>
    <t>P.C.:</t>
  </si>
  <si>
    <t># Eyes AC / Web:</t>
  </si>
  <si>
    <t>0511</t>
  </si>
  <si>
    <t>Billable Plates:</t>
  </si>
  <si>
    <t>0474</t>
  </si>
  <si>
    <t>0569</t>
  </si>
  <si>
    <t>Web Width:</t>
  </si>
  <si>
    <t>USDA # / EST #:</t>
  </si>
  <si>
    <t>CUSTOMER STEP INFO</t>
  </si>
  <si>
    <t>0662</t>
  </si>
  <si>
    <t># Up (AR):</t>
  </si>
  <si>
    <t>PRINT POSITION</t>
  </si>
  <si>
    <t>0610</t>
  </si>
  <si>
    <t>Eyespot Distance:</t>
  </si>
  <si>
    <t>0485</t>
  </si>
  <si>
    <t>0566</t>
  </si>
  <si>
    <t>0052</t>
  </si>
  <si>
    <t>0463</t>
  </si>
  <si>
    <t>0490</t>
  </si>
  <si>
    <t>LAYOUT SKETCH</t>
  </si>
  <si>
    <t>0611</t>
  </si>
  <si>
    <t>0616</t>
  </si>
  <si>
    <t>Type of Print :</t>
  </si>
  <si>
    <t>Position Eyes AR:</t>
  </si>
  <si>
    <t>0032</t>
  </si>
  <si>
    <t>0494</t>
  </si>
  <si>
    <t>Repeat:</t>
  </si>
  <si>
    <t>Clear</t>
  </si>
  <si>
    <t>0572</t>
  </si>
  <si>
    <t>0344</t>
  </si>
  <si>
    <t>Pkg cent'd on Web:</t>
  </si>
  <si>
    <t>0362</t>
  </si>
  <si>
    <t>0046</t>
  </si>
  <si>
    <t>Movex #
(for layout):</t>
  </si>
  <si>
    <t>0542</t>
  </si>
  <si>
    <t>Pt to Pt incl. trim?</t>
  </si>
  <si>
    <t>0669</t>
  </si>
  <si>
    <t>0661</t>
  </si>
  <si>
    <t>Print Cent'd on Pkg:</t>
  </si>
  <si>
    <t>Pkg Cent'd on Web:</t>
  </si>
  <si>
    <t>0561</t>
  </si>
  <si>
    <t>0526</t>
  </si>
  <si>
    <t>Wetoska Packaging</t>
  </si>
  <si>
    <t>0827</t>
  </si>
  <si>
    <t>0808</t>
  </si>
  <si>
    <t>0368</t>
  </si>
  <si>
    <t>0499</t>
  </si>
  <si>
    <t>Northern Star</t>
  </si>
  <si>
    <t>0663</t>
  </si>
  <si>
    <t>0563</t>
  </si>
  <si>
    <t>C.O. #:</t>
  </si>
  <si>
    <t>DATE, REVISIONS, REMARKS</t>
  </si>
  <si>
    <t>ROLLSTOCK CHECKLIST</t>
  </si>
  <si>
    <t>Date Submitted:</t>
  </si>
  <si>
    <t># Colours Changing:</t>
  </si>
  <si>
    <t>0487</t>
  </si>
  <si>
    <t>Haversack, Jeff</t>
  </si>
  <si>
    <t>Laser Scored:</t>
  </si>
  <si>
    <t>Die Cavity #'s:</t>
  </si>
  <si>
    <t>0803</t>
  </si>
  <si>
    <t>0335</t>
  </si>
  <si>
    <t>0507</t>
  </si>
  <si>
    <t>Customer Acct. #:</t>
  </si>
  <si>
    <t># Sides:</t>
  </si>
  <si>
    <t>Combo Step:</t>
  </si>
  <si>
    <t>0452</t>
  </si>
  <si>
    <t>UPC #:</t>
  </si>
  <si>
    <t>Other Distance:</t>
  </si>
  <si>
    <t>Jenkins, Sid</t>
  </si>
  <si>
    <t>0023</t>
  </si>
  <si>
    <t>19 x 7</t>
  </si>
  <si>
    <t>0496</t>
  </si>
  <si>
    <t>Baker, Andrea LTD US$</t>
  </si>
  <si>
    <t>0502</t>
  </si>
  <si>
    <t>0609</t>
  </si>
  <si>
    <t>Design Name:</t>
  </si>
  <si>
    <t>Design Desc.:</t>
  </si>
  <si>
    <t>0005</t>
  </si>
  <si>
    <t>Pellerin, Phillippe</t>
  </si>
  <si>
    <t>Time Req'd:</t>
  </si>
  <si>
    <t>S+R SPECIFICATIONS</t>
  </si>
  <si>
    <t>0805</t>
  </si>
  <si>
    <t>0500</t>
  </si>
  <si>
    <t># Pkgs AC / Web:</t>
  </si>
  <si>
    <t># Pkgs AR (Index):</t>
  </si>
  <si>
    <t>0643</t>
  </si>
  <si>
    <t>Kuhn, Vance</t>
  </si>
  <si>
    <t># Impr. Up:</t>
  </si>
  <si>
    <t>0606</t>
  </si>
  <si>
    <t>0607</t>
  </si>
  <si>
    <t>0593</t>
  </si>
  <si>
    <t>LET'S TALK</t>
  </si>
  <si>
    <t>0821</t>
  </si>
  <si>
    <t>0562</t>
  </si>
  <si>
    <t>N/A</t>
  </si>
  <si>
    <t>Eyespot Size:</t>
  </si>
  <si>
    <t>Medical Appl.:</t>
  </si>
  <si>
    <t># Webs Across:</t>
  </si>
  <si>
    <t>Die Cavity #'s?</t>
  </si>
  <si>
    <t>0588</t>
  </si>
  <si>
    <t>Multivac Mexico</t>
  </si>
  <si>
    <t>12 x 6</t>
  </si>
  <si>
    <t>Horn, Justin</t>
  </si>
  <si>
    <t>0668</t>
  </si>
  <si>
    <t>0672</t>
  </si>
  <si>
    <t>0680</t>
  </si>
  <si>
    <t>0811</t>
  </si>
  <si>
    <t>Gach, Greg</t>
  </si>
  <si>
    <t>0810</t>
  </si>
  <si>
    <t>Coleman, Tom</t>
  </si>
  <si>
    <t>0072</t>
  </si>
  <si>
    <t>0804</t>
  </si>
  <si>
    <t>Eyespot  Colour:</t>
  </si>
  <si>
    <t>Eyespots Req'd?</t>
  </si>
  <si>
    <t>G/L Code:</t>
  </si>
  <si>
    <t>Polgardi, Nick</t>
  </si>
  <si>
    <t>0503</t>
  </si>
  <si>
    <t>0807</t>
  </si>
  <si>
    <t>0660</t>
  </si>
  <si>
    <t>6916/100</t>
  </si>
  <si>
    <t>0200</t>
  </si>
  <si>
    <t>0812</t>
  </si>
  <si>
    <r>
      <t xml:space="preserve">Image Length </t>
    </r>
    <r>
      <rPr>
        <b/>
        <sz val="8"/>
        <rFont val="Arial"/>
      </rPr>
      <t>(F)</t>
    </r>
    <r>
      <rPr>
        <sz val="8"/>
        <rFont val="Arial"/>
      </rPr>
      <t>:</t>
    </r>
  </si>
  <si>
    <t>RWC or New?</t>
  </si>
  <si>
    <t>Print Index (in):</t>
  </si>
  <si>
    <t>Print Index (mm):</t>
  </si>
  <si>
    <t>Slit Roll Width (in):</t>
  </si>
  <si>
    <t>Customer Index:</t>
  </si>
  <si>
    <t>0508</t>
  </si>
  <si>
    <t>1-UP LAYOUT</t>
  </si>
  <si>
    <t>0533</t>
  </si>
  <si>
    <t>Print Cylinder:</t>
  </si>
  <si>
    <t>Eyespot  Size:</t>
  </si>
  <si>
    <t>0064</t>
  </si>
  <si>
    <t>PRINTED INFORMATION / TEXT</t>
  </si>
  <si>
    <t>0505</t>
  </si>
  <si>
    <t>0646</t>
  </si>
  <si>
    <t>Forming or Non?</t>
  </si>
  <si>
    <t>0574</t>
  </si>
  <si>
    <t>DATE, CHANGES, REMARKS</t>
  </si>
  <si>
    <t>Point to Point:</t>
  </si>
  <si>
    <t>0553</t>
  </si>
  <si>
    <t>Eyespot Colour:</t>
  </si>
  <si>
    <t>Reference PO:</t>
  </si>
  <si>
    <t>Plates:</t>
  </si>
  <si>
    <t>0554</t>
  </si>
  <si>
    <t>See Layout</t>
  </si>
  <si>
    <t>West Coast Foodpak</t>
  </si>
  <si>
    <t>0011</t>
  </si>
  <si>
    <t>Parsons, Keith</t>
  </si>
  <si>
    <t>0659</t>
  </si>
  <si>
    <t>0806</t>
  </si>
  <si>
    <t>0411</t>
  </si>
  <si>
    <t>INTERNAL CHANGE MEMO - ROLLSTOCK</t>
  </si>
  <si>
    <t>Hohensinner, Scott</t>
  </si>
  <si>
    <t>0506</t>
  </si>
  <si>
    <t>Laser Score Pos:</t>
  </si>
  <si>
    <t>0683</t>
  </si>
  <si>
    <t>Richardson, Eric</t>
  </si>
  <si>
    <t>0685</t>
  </si>
  <si>
    <t>Last ammended:</t>
  </si>
  <si>
    <t>0551</t>
  </si>
  <si>
    <t>Movex #
(if applicable):</t>
  </si>
  <si>
    <t>Riekes Material Handling</t>
  </si>
  <si>
    <t xml:space="preserve"> Checker:</t>
  </si>
  <si>
    <t>0015</t>
  </si>
  <si>
    <t>0809</t>
  </si>
  <si>
    <t>Print Direction Chart</t>
  </si>
  <si>
    <t xml:space="preserve">Duerbig, Bill </t>
  </si>
  <si>
    <t>0604</t>
  </si>
  <si>
    <t>Stagger?</t>
  </si>
  <si>
    <t>Slit Roll Width (mm):</t>
  </si>
  <si>
    <t>Laminated to:</t>
  </si>
  <si>
    <t>0444</t>
  </si>
  <si>
    <t>0013</t>
  </si>
  <si>
    <t>0513</t>
  </si>
  <si>
    <t>0524</t>
  </si>
  <si>
    <t>0525</t>
  </si>
  <si>
    <t>Design layout
as per:</t>
  </si>
  <si>
    <t>Machine Model:</t>
  </si>
  <si>
    <t>0514</t>
  </si>
  <si>
    <t>0626</t>
  </si>
  <si>
    <t>0584</t>
  </si>
  <si>
    <t>Art as per:</t>
  </si>
  <si>
    <t>Rondeau, Rick</t>
  </si>
  <si>
    <t># of Colours:</t>
  </si>
  <si>
    <t>0047</t>
  </si>
  <si>
    <t>0559</t>
  </si>
  <si>
    <t>Kelly, Roger</t>
  </si>
  <si>
    <t>COLOURS</t>
  </si>
  <si>
    <t>Duerbig, Bill-Nelson PKG</t>
  </si>
  <si>
    <t>Billable Keys:</t>
  </si>
  <si>
    <t>0645</t>
  </si>
  <si>
    <t>Close &amp; Inovice?</t>
  </si>
  <si>
    <t>Cust. Item Desc.:</t>
  </si>
  <si>
    <r>
      <t xml:space="preserve">Pkg Length </t>
    </r>
    <r>
      <rPr>
        <b/>
        <sz val="8"/>
        <rFont val="Arial"/>
      </rPr>
      <t>(ar)</t>
    </r>
    <r>
      <rPr>
        <sz val="8"/>
        <rFont val="Arial"/>
      </rPr>
      <t>:</t>
    </r>
  </si>
  <si>
    <t>TRAPPING / STEP &amp; REPEAT</t>
  </si>
  <si>
    <t>0493</t>
  </si>
  <si>
    <t>0573</t>
  </si>
  <si>
    <t>0010</t>
  </si>
  <si>
    <t>0826</t>
  </si>
  <si>
    <t>Customer Print Direction #:</t>
  </si>
  <si>
    <t>0625</t>
  </si>
  <si>
    <t>0637</t>
  </si>
  <si>
    <t>0068</t>
  </si>
  <si>
    <t>Sharpless, Bill (WHS)</t>
  </si>
  <si>
    <t>0079</t>
  </si>
  <si>
    <t>Carman, Ted</t>
  </si>
  <si>
    <t>McNeil, Don</t>
  </si>
  <si>
    <t>0658</t>
  </si>
  <si>
    <t>0686</t>
  </si>
  <si>
    <t>0675</t>
  </si>
  <si>
    <t>Wilson, Leslie (WFI)</t>
  </si>
  <si>
    <t>Continuous?</t>
  </si>
  <si>
    <t>1-UP SPECIFICATIONS</t>
  </si>
  <si>
    <t>0000</t>
  </si>
  <si>
    <t>Inter Co</t>
  </si>
  <si>
    <t>Box, Brian</t>
  </si>
  <si>
    <t>Date:</t>
  </si>
  <si>
    <t>Indicate information specific to this item or customer:</t>
  </si>
  <si>
    <t>PROOF REQUIRED:</t>
  </si>
  <si>
    <t>C.O.#:</t>
  </si>
  <si>
    <t>0082</t>
  </si>
  <si>
    <t>Bennett, Kevin</t>
  </si>
  <si>
    <t>Sales Rep #:</t>
  </si>
  <si>
    <t>Besant, Steve - MB</t>
  </si>
  <si>
    <t>Graham, Robert (WPP-ON)</t>
  </si>
  <si>
    <t>Hurley, Steven</t>
  </si>
  <si>
    <t>Besant, Steve - AB, SK</t>
  </si>
  <si>
    <t>Hamill, David - LTD US$</t>
  </si>
  <si>
    <t>Carman, Ted - LTD US$</t>
  </si>
  <si>
    <t>Carman, Ted - LTD $CAD</t>
  </si>
  <si>
    <t>0076</t>
  </si>
  <si>
    <t>Cutler, Dave (WPP)</t>
  </si>
  <si>
    <t>McCormac, Frank</t>
  </si>
  <si>
    <t>0084</t>
  </si>
  <si>
    <t>Cameron, Herman (WFI)</t>
  </si>
  <si>
    <t>0333</t>
  </si>
  <si>
    <t>Romig, Bill</t>
  </si>
  <si>
    <t>Matthews, Mike</t>
  </si>
  <si>
    <t>McCormick, Kevin</t>
  </si>
  <si>
    <t>Johnson, Eric (WPP)</t>
  </si>
  <si>
    <t>Abernethy, Chip</t>
  </si>
  <si>
    <t>Fiedler, David (WFI)</t>
  </si>
  <si>
    <t>Cote, Jeff - Direct</t>
  </si>
  <si>
    <t>Jones, Greg - Dist</t>
  </si>
  <si>
    <t>Scheiller, Al</t>
  </si>
  <si>
    <t>Harrison, Ron - Dist</t>
  </si>
  <si>
    <t>Klips, Ryan - Dist</t>
  </si>
  <si>
    <t>House Texas Direct</t>
  </si>
  <si>
    <t>House Texas Distributors</t>
  </si>
  <si>
    <t>Cote, Jess - Dist</t>
  </si>
  <si>
    <t>Harrison, Ron - Direct</t>
  </si>
  <si>
    <t>House - Inc.</t>
  </si>
  <si>
    <t>Guerrerro, Bobby - Dist</t>
  </si>
  <si>
    <t>Sayad, David</t>
  </si>
  <si>
    <t>Briggs, Bob (WPP)</t>
  </si>
  <si>
    <t>Gregg, Darin</t>
  </si>
  <si>
    <t>Sattler, Barbara (WPP)</t>
  </si>
  <si>
    <t>Guerrerro, Bobby - Direct</t>
  </si>
  <si>
    <t>Vista International</t>
  </si>
  <si>
    <t>Smith, Matthew</t>
  </si>
  <si>
    <t>Woelfel, Terry</t>
  </si>
  <si>
    <t>Prena, Dan</t>
  </si>
  <si>
    <t>Rondeau, Rick - US$</t>
  </si>
  <si>
    <t>Lauck, Jacob</t>
  </si>
  <si>
    <t>Gustashaw, Ben - Direct</t>
  </si>
  <si>
    <t>Gustashaw, Ben - Dist</t>
  </si>
  <si>
    <t>Advanced Packaging</t>
  </si>
  <si>
    <t>Miller, Clyde Red</t>
  </si>
  <si>
    <t>Butcher &amp; Packer</t>
  </si>
  <si>
    <t>Bobbs, Kathy (WFI)</t>
  </si>
  <si>
    <t>Davis, Glenn</t>
  </si>
  <si>
    <t>Manley, Tom</t>
  </si>
  <si>
    <t>Topps, Chris</t>
  </si>
  <si>
    <t>0656</t>
  </si>
  <si>
    <t>Fenske, Kathy (WPP)</t>
  </si>
  <si>
    <t>Ruggiero, Peterson &amp; Assoc</t>
  </si>
  <si>
    <t>McMacken, Paul</t>
  </si>
  <si>
    <t>Packaging Resource LLC</t>
  </si>
  <si>
    <t>Cyrus, Jim</t>
  </si>
  <si>
    <t>Jones, Greg</t>
  </si>
  <si>
    <t>Toilette, Bud</t>
  </si>
  <si>
    <t>0673</t>
  </si>
  <si>
    <t>0676</t>
  </si>
  <si>
    <t>Johnson, Lance</t>
  </si>
  <si>
    <t>0677</t>
  </si>
  <si>
    <t>Wetoska Sales &amp; Service</t>
  </si>
  <si>
    <t>Colpack / Elore</t>
  </si>
  <si>
    <t>0684</t>
  </si>
  <si>
    <t>Bender, Greg 9WPP)</t>
  </si>
  <si>
    <t>McNeil-Papetti, Don</t>
  </si>
  <si>
    <t>Wheeler, Britton</t>
  </si>
  <si>
    <t>0688</t>
  </si>
  <si>
    <t>0689</t>
  </si>
  <si>
    <t>Wheeler, Britton (Southwest)</t>
  </si>
  <si>
    <t>0690</t>
  </si>
  <si>
    <t>Anderson, Chad</t>
  </si>
  <si>
    <t>0691</t>
  </si>
  <si>
    <t>Luciano, Sandra</t>
  </si>
  <si>
    <t xml:space="preserve"> Argentina</t>
  </si>
  <si>
    <t xml:space="preserve"> Brazil</t>
  </si>
  <si>
    <t>Central America</t>
  </si>
  <si>
    <t>Columbia</t>
  </si>
  <si>
    <t>Costa Rica</t>
  </si>
  <si>
    <t>Equador</t>
  </si>
  <si>
    <t>Resendez - Sigma</t>
  </si>
  <si>
    <t>Peru</t>
  </si>
  <si>
    <t>South America</t>
  </si>
  <si>
    <t>Venezuela</t>
  </si>
  <si>
    <t>Foodtek Car (PR)</t>
  </si>
  <si>
    <t>Chile</t>
  </si>
  <si>
    <t>Garcia, Ian - Mexico</t>
  </si>
  <si>
    <t>Resendez</t>
  </si>
  <si>
    <t>0830</t>
  </si>
  <si>
    <t>Dominiccan Republic</t>
  </si>
  <si>
    <t>0832</t>
  </si>
  <si>
    <t>Swartz, Todd (WHS)</t>
  </si>
  <si>
    <t>June 9, 2014</t>
  </si>
  <si>
    <t>Dunne, Keith</t>
  </si>
  <si>
    <t>Foodtek - Carib. CDN$</t>
  </si>
  <si>
    <t>Prena, Dan CDN$</t>
  </si>
  <si>
    <t>Charlebois, MJ - CDN$</t>
  </si>
  <si>
    <t>0086</t>
  </si>
  <si>
    <t>Guerrerro, Bobby - Dist LTD US$</t>
  </si>
  <si>
    <t>Foodtek - Carib. US$</t>
  </si>
  <si>
    <t>Export Ltd.  - US$</t>
  </si>
  <si>
    <t>Bennett, Kevin - US$</t>
  </si>
  <si>
    <t>Hurley, Steven - US$</t>
  </si>
  <si>
    <t>Pellerin, Phillippe - US$</t>
  </si>
  <si>
    <t>Bennett, Kevin - LTD / US$</t>
  </si>
  <si>
    <t>Hurley, Steven - LTD  / US$</t>
  </si>
  <si>
    <t>Klips, Ryan US$</t>
  </si>
  <si>
    <t>Norm Rowe Distributors</t>
  </si>
  <si>
    <t>Bergsma, MarK -  US$</t>
  </si>
  <si>
    <t>Besant, Steve - US$</t>
  </si>
  <si>
    <t>Andrea, Baker - Dist - LTD / US$</t>
  </si>
  <si>
    <t>Charlebois, MJ - US$</t>
  </si>
  <si>
    <t>Maxwell, Colleen - INC / US$</t>
  </si>
  <si>
    <t>0692</t>
  </si>
  <si>
    <t>Averwater, Lee</t>
  </si>
  <si>
    <r>
      <t xml:space="preserve">mm from left edge
</t>
    </r>
    <r>
      <rPr>
        <sz val="7.5"/>
        <rFont val="Arial"/>
      </rPr>
      <t>(based artwork only, not eyespots)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</si>
</sst>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&quot;$&quot;#,##0.00_);[Red]\(&quot;$&quot;#,##0.00\)"/>
    <numFmt numFmtId="164" formatCode="mmmm\ d\,\ yyyy"/>
    <numFmt numFmtId="165" formatCode="d\-mmm\-yyyy"/>
    <numFmt numFmtId="166" formatCode="0.000"/>
    <numFmt numFmtId="167" formatCode="[$-1009]d/mmm/yy;@"/>
  </numFmts>
  <fonts count="29" x14ac:knownFonts="1">
    <font>
      <sz val="10"/>
      <name val="Arial"/>
    </font>
    <font>
      <sz val="10"/>
      <name val="Arial"/>
    </font>
    <font>
      <sz val="12"/>
      <name val="Arial"/>
      <family val="2"/>
    </font>
    <font>
      <b/>
      <sz val="12"/>
      <name val="Arial"/>
      <family val="2"/>
    </font>
    <font>
      <sz val="8"/>
      <name val="Arial"/>
    </font>
    <font>
      <u/>
      <sz val="15"/>
      <color indexed="12"/>
      <name val="Arial"/>
    </font>
    <font>
      <b/>
      <sz val="10"/>
      <name val="Arial"/>
    </font>
    <font>
      <sz val="9"/>
      <name val="Arial"/>
    </font>
    <font>
      <b/>
      <sz val="10"/>
      <color indexed="9"/>
      <name val="Arial"/>
    </font>
    <font>
      <sz val="10"/>
      <color indexed="9"/>
      <name val="Arial"/>
    </font>
    <font>
      <b/>
      <sz val="11"/>
      <color indexed="9"/>
      <name val="Arial"/>
    </font>
    <font>
      <b/>
      <sz val="14"/>
      <name val="Arial"/>
    </font>
    <font>
      <b/>
      <sz val="9"/>
      <name val="Arial"/>
    </font>
    <font>
      <b/>
      <sz val="8"/>
      <name val="Arial"/>
    </font>
    <font>
      <sz val="10"/>
      <name val="Arial Black"/>
    </font>
    <font>
      <sz val="8"/>
      <name val="Verdana"/>
    </font>
    <font>
      <b/>
      <sz val="10"/>
      <name val="Arial"/>
    </font>
    <font>
      <b/>
      <sz val="14"/>
      <color indexed="13"/>
      <name val="Arial"/>
    </font>
    <font>
      <sz val="7.5"/>
      <name val="Arial"/>
    </font>
    <font>
      <b/>
      <sz val="14"/>
      <color indexed="43"/>
      <name val="Arial"/>
    </font>
    <font>
      <sz val="7.75"/>
      <name val="Arial"/>
    </font>
    <font>
      <b/>
      <u/>
      <sz val="8"/>
      <color indexed="24"/>
      <name val="Arial Bold"/>
    </font>
    <font>
      <i/>
      <sz val="9"/>
      <name val="Arial"/>
    </font>
    <font>
      <sz val="9.5"/>
      <name val="Arial Black"/>
    </font>
    <font>
      <sz val="12"/>
      <name val="Arial Black"/>
    </font>
    <font>
      <b/>
      <sz val="8.5"/>
      <name val="Arial"/>
    </font>
    <font>
      <b/>
      <sz val="7.5"/>
      <color rgb="FFFF0000"/>
      <name val="Arial"/>
    </font>
    <font>
      <sz val="8"/>
      <color rgb="FF000000"/>
      <name val="Tahoma"/>
      <family val="2"/>
    </font>
    <font>
      <sz val="10"/>
      <color rgb="FF000000"/>
      <name val="Geneva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/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/>
      <bottom/>
      <diagonal/>
    </border>
    <border>
      <left/>
      <right/>
      <top style="dotted">
        <color indexed="55"/>
      </top>
      <bottom/>
      <diagonal/>
    </border>
    <border>
      <left/>
      <right/>
      <top style="dotted">
        <color indexed="22"/>
      </top>
      <bottom style="dotted">
        <color indexed="22"/>
      </bottom>
      <diagonal/>
    </border>
    <border>
      <left/>
      <right/>
      <top/>
      <bottom style="dotted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tted">
        <color indexed="22"/>
      </top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74">
    <xf numFmtId="0" fontId="0" fillId="0" borderId="0" xfId="0"/>
    <xf numFmtId="0" fontId="3" fillId="0" borderId="0" xfId="0" applyFont="1"/>
    <xf numFmtId="0" fontId="2" fillId="0" borderId="0" xfId="0" applyFont="1"/>
    <xf numFmtId="0" fontId="10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9" fillId="2" borderId="0" xfId="0" applyFont="1" applyFill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7" fillId="0" borderId="0" xfId="0" applyFont="1"/>
    <xf numFmtId="0" fontId="0" fillId="3" borderId="0" xfId="0" applyFill="1" applyAlignment="1" applyProtection="1">
      <alignment vertical="center"/>
    </xf>
    <xf numFmtId="0" fontId="7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</xf>
    <xf numFmtId="0" fontId="4" fillId="0" borderId="1" xfId="0" applyFont="1" applyBorder="1" applyAlignment="1" applyProtection="1">
      <alignment vertical="center" wrapText="1"/>
    </xf>
    <xf numFmtId="0" fontId="4" fillId="0" borderId="1" xfId="0" applyFont="1" applyBorder="1" applyAlignment="1" applyProtection="1">
      <alignment vertical="center"/>
    </xf>
    <xf numFmtId="0" fontId="4" fillId="3" borderId="1" xfId="0" applyFont="1" applyFill="1" applyBorder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4" fillId="3" borderId="1" xfId="0" applyFont="1" applyFill="1" applyBorder="1" applyAlignment="1" applyProtection="1">
      <alignment vertical="center" wrapText="1"/>
    </xf>
    <xf numFmtId="0" fontId="4" fillId="3" borderId="0" xfId="0" applyFont="1" applyFill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12" fillId="0" borderId="0" xfId="0" applyFont="1" applyAlignment="1" applyProtection="1">
      <alignment vertical="center"/>
    </xf>
    <xf numFmtId="0" fontId="4" fillId="0" borderId="0" xfId="0" applyFont="1" applyFill="1" applyBorder="1" applyAlignment="1" applyProtection="1">
      <alignment vertical="center" wrapText="1"/>
    </xf>
    <xf numFmtId="15" fontId="12" fillId="0" borderId="2" xfId="0" applyNumberFormat="1" applyFont="1" applyFill="1" applyBorder="1" applyAlignment="1" applyProtection="1">
      <alignment horizontal="left" vertical="center"/>
    </xf>
    <xf numFmtId="0" fontId="12" fillId="0" borderId="0" xfId="0" applyFont="1" applyFill="1" applyBorder="1" applyAlignment="1" applyProtection="1">
      <alignment horizontal="left" vertical="center" shrinkToFit="1"/>
    </xf>
    <xf numFmtId="1" fontId="12" fillId="0" borderId="0" xfId="0" applyNumberFormat="1" applyFont="1" applyFill="1" applyBorder="1" applyAlignment="1" applyProtection="1">
      <alignment horizontal="left" vertical="center"/>
    </xf>
    <xf numFmtId="0" fontId="13" fillId="0" borderId="3" xfId="0" applyFont="1" applyFill="1" applyBorder="1" applyAlignment="1" applyProtection="1">
      <alignment horizontal="left" vertical="center" shrinkToFit="1"/>
    </xf>
    <xf numFmtId="0" fontId="11" fillId="3" borderId="1" xfId="0" applyFont="1" applyFill="1" applyBorder="1" applyAlignment="1" applyProtection="1">
      <alignment vertical="center"/>
    </xf>
    <xf numFmtId="0" fontId="13" fillId="0" borderId="0" xfId="0" applyFont="1" applyFill="1" applyBorder="1" applyAlignment="1" applyProtection="1">
      <alignment horizontal="left" vertical="center" shrinkToFit="1"/>
    </xf>
    <xf numFmtId="0" fontId="6" fillId="0" borderId="0" xfId="0" applyFont="1" applyFill="1" applyBorder="1" applyAlignment="1" applyProtection="1">
      <alignment horizontal="left" vertical="center" shrinkToFit="1"/>
    </xf>
    <xf numFmtId="0" fontId="4" fillId="0" borderId="4" xfId="0" applyFont="1" applyFill="1" applyBorder="1" applyAlignment="1" applyProtection="1">
      <alignment horizontal="left" vertical="top" shrinkToFit="1"/>
    </xf>
    <xf numFmtId="0" fontId="6" fillId="0" borderId="5" xfId="0" applyNumberFormat="1" applyFont="1" applyFill="1" applyBorder="1" applyAlignment="1" applyProtection="1">
      <alignment horizontal="left" vertical="center" shrinkToFit="1"/>
    </xf>
    <xf numFmtId="0" fontId="6" fillId="0" borderId="0" xfId="0" applyNumberFormat="1" applyFont="1" applyFill="1" applyBorder="1" applyAlignment="1" applyProtection="1">
      <alignment horizontal="left" vertical="center" shrinkToFit="1"/>
    </xf>
    <xf numFmtId="0" fontId="13" fillId="0" borderId="2" xfId="0" applyNumberFormat="1" applyFont="1" applyFill="1" applyBorder="1" applyAlignment="1" applyProtection="1">
      <alignment horizontal="left" vertical="center" shrinkToFit="1"/>
    </xf>
    <xf numFmtId="0" fontId="13" fillId="0" borderId="0" xfId="0" applyNumberFormat="1" applyFont="1" applyFill="1" applyBorder="1" applyAlignment="1" applyProtection="1">
      <alignment horizontal="left" vertical="center" shrinkToFit="1"/>
    </xf>
    <xf numFmtId="0" fontId="0" fillId="0" borderId="0" xfId="0" applyNumberFormat="1" applyFill="1" applyBorder="1" applyAlignment="1" applyProtection="1">
      <alignment vertical="center"/>
    </xf>
    <xf numFmtId="0" fontId="12" fillId="0" borderId="0" xfId="0" applyFont="1" applyFill="1" applyBorder="1" applyAlignment="1" applyProtection="1">
      <alignment horizontal="center" vertical="center" textRotation="90"/>
    </xf>
    <xf numFmtId="0" fontId="6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left" vertical="top" shrinkToFit="1"/>
    </xf>
    <xf numFmtId="0" fontId="4" fillId="0" borderId="0" xfId="0" applyFont="1" applyFill="1" applyBorder="1" applyAlignment="1" applyProtection="1">
      <alignment horizontal="left" vertical="top" wrapText="1" shrinkToFit="1"/>
    </xf>
    <xf numFmtId="0" fontId="4" fillId="0" borderId="1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>
      <alignment horizontal="left" vertical="center"/>
      <protection locked="0"/>
    </xf>
    <xf numFmtId="0" fontId="4" fillId="0" borderId="1" xfId="0" applyFont="1" applyFill="1" applyBorder="1" applyAlignment="1" applyProtection="1">
      <alignment vertical="center" wrapText="1"/>
    </xf>
    <xf numFmtId="0" fontId="4" fillId="0" borderId="6" xfId="0" applyFont="1" applyFill="1" applyBorder="1" applyAlignment="1" applyProtection="1">
      <alignment vertical="center"/>
    </xf>
    <xf numFmtId="0" fontId="4" fillId="0" borderId="7" xfId="0" applyFont="1" applyFill="1" applyBorder="1" applyAlignment="1" applyProtection="1">
      <alignment vertical="center"/>
    </xf>
    <xf numFmtId="0" fontId="6" fillId="0" borderId="8" xfId="0" applyFont="1" applyFill="1" applyBorder="1" applyAlignment="1" applyProtection="1">
      <alignment horizontal="left" vertical="center"/>
    </xf>
    <xf numFmtId="0" fontId="6" fillId="0" borderId="6" xfId="0" applyFont="1" applyFill="1" applyBorder="1" applyAlignment="1" applyProtection="1">
      <alignment horizontal="left" vertical="center"/>
    </xf>
    <xf numFmtId="0" fontId="6" fillId="0" borderId="7" xfId="0" applyFont="1" applyFill="1" applyBorder="1" applyAlignment="1" applyProtection="1">
      <alignment vertical="center"/>
    </xf>
    <xf numFmtId="0" fontId="4" fillId="0" borderId="1" xfId="0" applyFont="1" applyFill="1" applyBorder="1" applyAlignment="1" applyProtection="1">
      <alignment horizontal="left" vertical="center"/>
    </xf>
    <xf numFmtId="0" fontId="4" fillId="0" borderId="1" xfId="0" applyFont="1" applyFill="1" applyBorder="1" applyAlignment="1" applyProtection="1">
      <alignment horizontal="left" vertical="center" shrinkToFit="1"/>
    </xf>
    <xf numFmtId="164" fontId="6" fillId="0" borderId="8" xfId="0" applyNumberFormat="1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horizontal="left" vertical="top"/>
    </xf>
    <xf numFmtId="0" fontId="4" fillId="0" borderId="0" xfId="0" applyFont="1" applyFill="1" applyBorder="1" applyAlignment="1" applyProtection="1">
      <alignment horizontal="left" vertical="top"/>
    </xf>
    <xf numFmtId="0" fontId="0" fillId="0" borderId="0" xfId="0" applyAlignment="1" applyProtection="1">
      <alignment horizontal="left" vertical="top" wrapText="1"/>
    </xf>
    <xf numFmtId="0" fontId="4" fillId="0" borderId="4" xfId="0" applyFont="1" applyBorder="1" applyAlignment="1">
      <alignment horizontal="left" vertical="top" shrinkToFit="1"/>
    </xf>
    <xf numFmtId="0" fontId="4" fillId="0" borderId="4" xfId="0" applyFont="1" applyBorder="1" applyAlignment="1">
      <alignment horizontal="left" vertical="top"/>
    </xf>
    <xf numFmtId="0" fontId="6" fillId="0" borderId="0" xfId="0" applyNumberFormat="1" applyFont="1" applyFill="1" applyBorder="1" applyAlignment="1" applyProtection="1">
      <alignment horizontal="center" vertical="center" shrinkToFit="1"/>
    </xf>
    <xf numFmtId="0" fontId="4" fillId="0" borderId="1" xfId="0" applyFont="1" applyBorder="1" applyAlignment="1" applyProtection="1">
      <alignment horizontal="left" vertical="center" wrapText="1"/>
    </xf>
    <xf numFmtId="0" fontId="6" fillId="0" borderId="2" xfId="0" applyFont="1" applyFill="1" applyBorder="1" applyAlignment="1" applyProtection="1">
      <alignment horizontal="left" vertical="center" shrinkToFit="1"/>
    </xf>
    <xf numFmtId="0" fontId="4" fillId="0" borderId="1" xfId="0" applyFont="1" applyBorder="1" applyAlignment="1">
      <alignment vertical="center" wrapText="1"/>
    </xf>
    <xf numFmtId="0" fontId="0" fillId="0" borderId="0" xfId="0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 textRotation="90" shrinkToFit="1"/>
    </xf>
    <xf numFmtId="0" fontId="13" fillId="0" borderId="0" xfId="0" applyFont="1" applyFill="1" applyBorder="1" applyAlignment="1" applyProtection="1">
      <alignment vertical="center" shrinkToFit="1"/>
    </xf>
    <xf numFmtId="0" fontId="0" fillId="0" borderId="0" xfId="0" applyBorder="1"/>
    <xf numFmtId="0" fontId="1" fillId="0" borderId="0" xfId="0" applyFont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 vertical="center"/>
    </xf>
    <xf numFmtId="0" fontId="0" fillId="0" borderId="0" xfId="0" applyAlignment="1">
      <alignment horizontal="left"/>
    </xf>
    <xf numFmtId="0" fontId="6" fillId="0" borderId="5" xfId="0" applyFont="1" applyFill="1" applyBorder="1" applyAlignment="1" applyProtection="1">
      <alignment horizontal="left" vertical="center" wrapText="1" shrinkToFit="1"/>
    </xf>
    <xf numFmtId="0" fontId="1" fillId="0" borderId="9" xfId="0" applyFont="1" applyBorder="1" applyAlignment="1" applyProtection="1">
      <alignment horizontal="left" vertical="top" wrapText="1"/>
    </xf>
    <xf numFmtId="0" fontId="1" fillId="0" borderId="10" xfId="0" applyFont="1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8" xfId="0" applyBorder="1" applyAlignment="1" applyProtection="1">
      <alignment horizontal="left" vertical="top" wrapText="1"/>
    </xf>
    <xf numFmtId="0" fontId="4" fillId="0" borderId="0" xfId="0" applyFont="1" applyBorder="1" applyAlignment="1" applyProtection="1">
      <alignment horizontal="right" vertical="center" wrapText="1"/>
    </xf>
    <xf numFmtId="0" fontId="4" fillId="0" borderId="1" xfId="0" applyFont="1" applyBorder="1" applyAlignment="1">
      <alignment vertical="center"/>
    </xf>
    <xf numFmtId="0" fontId="17" fillId="0" borderId="0" xfId="0" applyFont="1" applyFill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1" fillId="0" borderId="11" xfId="0" applyFont="1" applyBorder="1" applyAlignment="1" applyProtection="1">
      <alignment horizontal="left" vertical="top" wrapText="1"/>
    </xf>
    <xf numFmtId="0" fontId="0" fillId="0" borderId="2" xfId="0" applyBorder="1" applyAlignment="1" applyProtection="1">
      <alignment vertical="center"/>
    </xf>
    <xf numFmtId="0" fontId="0" fillId="0" borderId="8" xfId="0" applyBorder="1" applyAlignment="1" applyProtection="1">
      <alignment vertical="center"/>
    </xf>
    <xf numFmtId="15" fontId="4" fillId="0" borderId="1" xfId="0" applyNumberFormat="1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left" vertical="center"/>
    </xf>
    <xf numFmtId="8" fontId="0" fillId="0" borderId="0" xfId="0" applyNumberFormat="1" applyAlignment="1" applyProtection="1">
      <alignment vertical="center"/>
    </xf>
    <xf numFmtId="0" fontId="6" fillId="0" borderId="0" xfId="0" applyFont="1" applyAlignment="1">
      <alignment horizontal="center" vertical="center"/>
    </xf>
    <xf numFmtId="0" fontId="20" fillId="0" borderId="1" xfId="0" applyFont="1" applyBorder="1" applyAlignment="1" applyProtection="1">
      <alignment horizontal="left" vertical="center" wrapText="1"/>
    </xf>
    <xf numFmtId="0" fontId="4" fillId="0" borderId="12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0" fontId="0" fillId="0" borderId="0" xfId="0" applyFill="1" applyAlignment="1" applyProtection="1">
      <alignment horizontal="left" vertical="top" wrapText="1"/>
    </xf>
    <xf numFmtId="0" fontId="4" fillId="0" borderId="12" xfId="0" applyFont="1" applyBorder="1" applyAlignment="1" applyProtection="1">
      <alignment horizontal="left" vertical="center"/>
    </xf>
    <xf numFmtId="0" fontId="0" fillId="0" borderId="0" xfId="0" applyBorder="1" applyAlignment="1">
      <alignment horizontal="left" indent="1"/>
    </xf>
    <xf numFmtId="0" fontId="0" fillId="0" borderId="13" xfId="0" quotePrefix="1" applyFill="1" applyBorder="1" applyAlignment="1">
      <alignment horizontal="center" vertical="center"/>
    </xf>
    <xf numFmtId="0" fontId="0" fillId="0" borderId="13" xfId="0" applyFill="1" applyBorder="1" applyAlignment="1">
      <alignment horizontal="left" vertical="center" indent="1"/>
    </xf>
    <xf numFmtId="0" fontId="0" fillId="0" borderId="0" xfId="0" applyAlignment="1">
      <alignment vertical="center"/>
    </xf>
    <xf numFmtId="0" fontId="6" fillId="4" borderId="5" xfId="0" applyFont="1" applyFill="1" applyBorder="1" applyAlignment="1" applyProtection="1">
      <alignment horizontal="left" vertical="center" wrapText="1" shrinkToFit="1"/>
      <protection locked="0"/>
    </xf>
    <xf numFmtId="0" fontId="21" fillId="2" borderId="4" xfId="1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left" vertical="center"/>
    </xf>
    <xf numFmtId="49" fontId="6" fillId="5" borderId="14" xfId="0" applyNumberFormat="1" applyFont="1" applyFill="1" applyBorder="1" applyAlignment="1" applyProtection="1">
      <alignment horizontal="left" vertical="center" shrinkToFit="1"/>
      <protection locked="0"/>
    </xf>
    <xf numFmtId="0" fontId="6" fillId="5" borderId="14" xfId="0" applyFont="1" applyFill="1" applyBorder="1" applyAlignment="1" applyProtection="1">
      <alignment horizontal="left" vertical="center" shrinkToFit="1"/>
      <protection locked="0"/>
    </xf>
    <xf numFmtId="0" fontId="6" fillId="5" borderId="14" xfId="0" applyFont="1" applyFill="1" applyBorder="1" applyAlignment="1" applyProtection="1">
      <alignment horizontal="left" vertical="center"/>
      <protection locked="0"/>
    </xf>
    <xf numFmtId="1" fontId="6" fillId="5" borderId="14" xfId="0" applyNumberFormat="1" applyFont="1" applyFill="1" applyBorder="1" applyAlignment="1" applyProtection="1">
      <alignment horizontal="left" vertical="center"/>
      <protection locked="0"/>
    </xf>
    <xf numFmtId="0" fontId="6" fillId="5" borderId="14" xfId="0" applyFont="1" applyFill="1" applyBorder="1" applyAlignment="1" applyProtection="1">
      <alignment horizontal="left" vertical="center" wrapText="1"/>
      <protection locked="0"/>
    </xf>
    <xf numFmtId="166" fontId="6" fillId="5" borderId="14" xfId="0" applyNumberFormat="1" applyFont="1" applyFill="1" applyBorder="1" applyAlignment="1" applyProtection="1">
      <alignment horizontal="left" vertical="center"/>
      <protection locked="0"/>
    </xf>
    <xf numFmtId="0" fontId="0" fillId="0" borderId="13" xfId="0" applyFont="1" applyFill="1" applyBorder="1" applyAlignment="1">
      <alignment horizontal="left" vertical="center" indent="1"/>
    </xf>
    <xf numFmtId="0" fontId="0" fillId="0" borderId="13" xfId="0" applyFill="1" applyBorder="1" applyAlignment="1">
      <alignment horizontal="center" vertical="center"/>
    </xf>
    <xf numFmtId="0" fontId="18" fillId="0" borderId="1" xfId="0" applyFont="1" applyBorder="1" applyAlignment="1" applyProtection="1">
      <alignment horizontal="left" vertical="center" wrapText="1"/>
    </xf>
    <xf numFmtId="18" fontId="14" fillId="6" borderId="14" xfId="0" applyNumberFormat="1" applyFont="1" applyFill="1" applyBorder="1" applyAlignment="1" applyProtection="1">
      <alignment horizontal="left" vertical="center"/>
      <protection locked="0"/>
    </xf>
    <xf numFmtId="18" fontId="14" fillId="7" borderId="14" xfId="0" applyNumberFormat="1" applyFont="1" applyFill="1" applyBorder="1" applyAlignment="1" applyProtection="1">
      <alignment horizontal="left" vertical="center"/>
      <protection locked="0"/>
    </xf>
    <xf numFmtId="165" fontId="23" fillId="5" borderId="14" xfId="0" applyNumberFormat="1" applyFont="1" applyFill="1" applyBorder="1" applyAlignment="1" applyProtection="1">
      <alignment horizontal="left" vertical="center"/>
      <protection locked="0"/>
    </xf>
    <xf numFmtId="0" fontId="4" fillId="5" borderId="14" xfId="0" applyFont="1" applyFill="1" applyBorder="1" applyAlignment="1" applyProtection="1">
      <alignment horizontal="left" vertical="center"/>
    </xf>
    <xf numFmtId="15" fontId="14" fillId="5" borderId="14" xfId="0" applyNumberFormat="1" applyFont="1" applyFill="1" applyBorder="1" applyAlignment="1" applyProtection="1">
      <alignment horizontal="left" vertical="center"/>
      <protection locked="0"/>
    </xf>
    <xf numFmtId="0" fontId="4" fillId="3" borderId="1" xfId="0" applyFont="1" applyFill="1" applyBorder="1" applyAlignment="1" applyProtection="1">
      <alignment vertical="center" shrinkToFit="1"/>
    </xf>
    <xf numFmtId="164" fontId="4" fillId="0" borderId="5" xfId="0" applyNumberFormat="1" applyFont="1" applyFill="1" applyBorder="1" applyAlignment="1" applyProtection="1">
      <alignment horizontal="left" vertical="center" shrinkToFit="1"/>
    </xf>
    <xf numFmtId="37" fontId="25" fillId="5" borderId="5" xfId="0" applyNumberFormat="1" applyFont="1" applyFill="1" applyBorder="1" applyAlignment="1" applyProtection="1">
      <alignment horizontal="left" vertical="center" wrapText="1"/>
    </xf>
    <xf numFmtId="37" fontId="12" fillId="5" borderId="5" xfId="0" applyNumberFormat="1" applyFont="1" applyFill="1" applyBorder="1" applyAlignment="1" applyProtection="1">
      <alignment horizontal="left" vertical="center" shrinkToFi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6" fillId="8" borderId="4" xfId="0" applyFont="1" applyFill="1" applyBorder="1" applyAlignment="1">
      <alignment horizontal="left" vertical="center" wrapText="1"/>
    </xf>
    <xf numFmtId="0" fontId="6" fillId="8" borderId="4" xfId="0" applyFont="1" applyFill="1" applyBorder="1" applyAlignment="1">
      <alignment wrapText="1"/>
    </xf>
    <xf numFmtId="167" fontId="0" fillId="0" borderId="0" xfId="0" applyNumberFormat="1" applyAlignment="1">
      <alignment horizontal="left" vertical="center" wrapText="1"/>
    </xf>
    <xf numFmtId="0" fontId="10" fillId="2" borderId="15" xfId="0" applyFont="1" applyFill="1" applyBorder="1" applyAlignment="1" applyProtection="1">
      <alignment vertical="center"/>
    </xf>
    <xf numFmtId="0" fontId="10" fillId="2" borderId="16" xfId="0" applyFont="1" applyFill="1" applyBorder="1" applyAlignment="1" applyProtection="1">
      <alignment vertical="center"/>
    </xf>
    <xf numFmtId="0" fontId="9" fillId="2" borderId="16" xfId="0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left" vertical="top" wrapText="1"/>
    </xf>
    <xf numFmtId="0" fontId="1" fillId="0" borderId="17" xfId="0" applyFont="1" applyBorder="1" applyAlignment="1" applyProtection="1">
      <alignment horizontal="left" vertical="top" wrapText="1"/>
    </xf>
    <xf numFmtId="0" fontId="1" fillId="0" borderId="2" xfId="0" applyFont="1" applyBorder="1" applyAlignment="1" applyProtection="1">
      <alignment horizontal="left" vertical="top" wrapText="1"/>
    </xf>
    <xf numFmtId="1" fontId="6" fillId="8" borderId="14" xfId="0" applyNumberFormat="1" applyFont="1" applyFill="1" applyBorder="1" applyAlignment="1" applyProtection="1">
      <alignment horizontal="left" vertical="center"/>
    </xf>
    <xf numFmtId="166" fontId="6" fillId="8" borderId="14" xfId="0" applyNumberFormat="1" applyFont="1" applyFill="1" applyBorder="1" applyAlignment="1" applyProtection="1">
      <alignment horizontal="left" vertical="center"/>
    </xf>
    <xf numFmtId="0" fontId="6" fillId="8" borderId="14" xfId="0" applyFont="1" applyFill="1" applyBorder="1" applyAlignment="1" applyProtection="1">
      <alignment horizontal="left" vertical="center"/>
    </xf>
    <xf numFmtId="2" fontId="6" fillId="8" borderId="14" xfId="0" applyNumberFormat="1" applyFont="1" applyFill="1" applyBorder="1" applyAlignment="1" applyProtection="1">
      <alignment horizontal="left" vertical="center"/>
    </xf>
    <xf numFmtId="0" fontId="6" fillId="8" borderId="5" xfId="0" applyFont="1" applyFill="1" applyBorder="1" applyAlignment="1" applyProtection="1">
      <alignment horizontal="left" vertical="center" shrinkToFit="1"/>
    </xf>
    <xf numFmtId="49" fontId="6" fillId="8" borderId="14" xfId="0" applyNumberFormat="1" applyFont="1" applyFill="1" applyBorder="1" applyAlignment="1" applyProtection="1">
      <alignment horizontal="left" vertical="center" shrinkToFit="1"/>
    </xf>
    <xf numFmtId="0" fontId="6" fillId="8" borderId="14" xfId="0" applyFont="1" applyFill="1" applyBorder="1" applyAlignment="1" applyProtection="1">
      <alignment horizontal="left" vertical="center" shrinkToFit="1"/>
    </xf>
    <xf numFmtId="49" fontId="6" fillId="8" borderId="14" xfId="0" applyNumberFormat="1" applyFont="1" applyFill="1" applyBorder="1" applyAlignment="1" applyProtection="1">
      <alignment horizontal="center" vertical="center" shrinkToFit="1"/>
    </xf>
    <xf numFmtId="1" fontId="6" fillId="8" borderId="14" xfId="0" applyNumberFormat="1" applyFont="1" applyFill="1" applyBorder="1" applyAlignment="1" applyProtection="1">
      <alignment horizontal="left" vertical="center" shrinkToFit="1"/>
    </xf>
    <xf numFmtId="0" fontId="4" fillId="9" borderId="1" xfId="0" applyFont="1" applyFill="1" applyBorder="1" applyAlignment="1" applyProtection="1">
      <alignment vertical="center" wrapText="1"/>
    </xf>
    <xf numFmtId="0" fontId="6" fillId="8" borderId="14" xfId="0" applyNumberFormat="1" applyFont="1" applyFill="1" applyBorder="1" applyAlignment="1" applyProtection="1">
      <alignment horizontal="left" vertical="center" wrapText="1"/>
    </xf>
    <xf numFmtId="37" fontId="12" fillId="8" borderId="5" xfId="0" applyNumberFormat="1" applyFont="1" applyFill="1" applyBorder="1" applyAlignment="1" applyProtection="1">
      <alignment horizontal="left" vertical="center" shrinkToFit="1"/>
    </xf>
    <xf numFmtId="0" fontId="6" fillId="8" borderId="14" xfId="0" applyFont="1" applyFill="1" applyBorder="1" applyAlignment="1">
      <alignment horizontal="left" vertical="center"/>
    </xf>
    <xf numFmtId="166" fontId="6" fillId="8" borderId="14" xfId="0" applyNumberFormat="1" applyFont="1" applyFill="1" applyBorder="1" applyAlignment="1" applyProtection="1">
      <alignment horizontal="left" vertical="center" wrapText="1"/>
    </xf>
    <xf numFmtId="0" fontId="6" fillId="8" borderId="14" xfId="0" applyNumberFormat="1" applyFont="1" applyFill="1" applyBorder="1" applyAlignment="1" applyProtection="1">
      <alignment horizontal="left" vertical="center"/>
    </xf>
    <xf numFmtId="49" fontId="24" fillId="5" borderId="14" xfId="0" applyNumberFormat="1" applyFont="1" applyFill="1" applyBorder="1" applyAlignment="1" applyProtection="1">
      <alignment horizontal="left" vertical="center"/>
      <protection locked="0"/>
    </xf>
    <xf numFmtId="49" fontId="24" fillId="8" borderId="14" xfId="0" applyNumberFormat="1" applyFont="1" applyFill="1" applyBorder="1" applyAlignment="1" applyProtection="1">
      <alignment horizontal="left" vertical="center"/>
    </xf>
    <xf numFmtId="0" fontId="6" fillId="8" borderId="14" xfId="0" applyFont="1" applyFill="1" applyBorder="1" applyAlignment="1" applyProtection="1">
      <alignment horizontal="left" vertical="center" wrapText="1" shrinkToFit="1"/>
      <protection locked="0"/>
    </xf>
    <xf numFmtId="2" fontId="6" fillId="8" borderId="18" xfId="0" applyNumberFormat="1" applyFont="1" applyFill="1" applyBorder="1" applyAlignment="1" applyProtection="1">
      <alignment horizontal="left" vertical="center"/>
      <protection locked="0"/>
    </xf>
    <xf numFmtId="0" fontId="6" fillId="8" borderId="4" xfId="0" applyFont="1" applyFill="1" applyBorder="1" applyAlignment="1" applyProtection="1">
      <alignment horizontal="left" vertical="center"/>
      <protection locked="0"/>
    </xf>
    <xf numFmtId="0" fontId="6" fillId="8" borderId="14" xfId="0" applyFont="1" applyFill="1" applyBorder="1" applyAlignment="1" applyProtection="1">
      <alignment horizontal="left" vertical="center"/>
      <protection locked="0"/>
    </xf>
    <xf numFmtId="0" fontId="22" fillId="8" borderId="2" xfId="0" applyFont="1" applyFill="1" applyBorder="1" applyAlignment="1" applyProtection="1">
      <alignment vertical="center"/>
    </xf>
    <xf numFmtId="0" fontId="22" fillId="8" borderId="0" xfId="0" applyFont="1" applyFill="1" applyBorder="1" applyAlignment="1" applyProtection="1">
      <alignment vertical="center"/>
    </xf>
    <xf numFmtId="0" fontId="22" fillId="8" borderId="8" xfId="0" applyFont="1" applyFill="1" applyBorder="1" applyAlignment="1" applyProtection="1">
      <alignment vertical="center"/>
    </xf>
    <xf numFmtId="0" fontId="22" fillId="8" borderId="19" xfId="0" applyFont="1" applyFill="1" applyBorder="1" applyAlignment="1" applyProtection="1">
      <alignment vertical="center"/>
    </xf>
    <xf numFmtId="0" fontId="22" fillId="8" borderId="6" xfId="0" applyFont="1" applyFill="1" applyBorder="1" applyAlignment="1" applyProtection="1">
      <alignment vertical="center"/>
    </xf>
    <xf numFmtId="0" fontId="22" fillId="8" borderId="20" xfId="0" applyFont="1" applyFill="1" applyBorder="1" applyAlignment="1" applyProtection="1">
      <alignment vertical="center"/>
    </xf>
    <xf numFmtId="0" fontId="12" fillId="5" borderId="14" xfId="0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 applyAlignment="1" applyProtection="1">
      <alignment horizontal="left" vertical="center" shrinkToFit="1"/>
      <protection locked="0"/>
    </xf>
    <xf numFmtId="49" fontId="12" fillId="5" borderId="14" xfId="0" applyNumberFormat="1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 applyAlignment="1" applyProtection="1">
      <alignment vertical="center" shrinkToFit="1"/>
      <protection locked="0"/>
    </xf>
    <xf numFmtId="0" fontId="12" fillId="8" borderId="14" xfId="0" applyFont="1" applyFill="1" applyBorder="1" applyAlignment="1" applyProtection="1">
      <alignment horizontal="left" vertic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0" fillId="8" borderId="13" xfId="0" quotePrefix="1" applyFill="1" applyBorder="1" applyAlignment="1">
      <alignment horizontal="center" vertical="center"/>
    </xf>
    <xf numFmtId="0" fontId="0" fillId="8" borderId="13" xfId="0" applyFill="1" applyBorder="1" applyAlignment="1">
      <alignment horizontal="left" vertical="center" indent="1"/>
    </xf>
    <xf numFmtId="0" fontId="0" fillId="8" borderId="13" xfId="0" applyFill="1" applyBorder="1" applyAlignment="1">
      <alignment horizontal="center" vertical="center"/>
    </xf>
    <xf numFmtId="0" fontId="0" fillId="8" borderId="0" xfId="0" applyFill="1" applyAlignment="1">
      <alignment vertical="center"/>
    </xf>
    <xf numFmtId="0" fontId="0" fillId="8" borderId="13" xfId="0" applyFont="1" applyFill="1" applyBorder="1" applyAlignment="1">
      <alignment horizontal="left" vertical="center" indent="1"/>
    </xf>
    <xf numFmtId="0" fontId="12" fillId="8" borderId="14" xfId="0" applyFont="1" applyFill="1" applyBorder="1" applyAlignment="1" applyProtection="1">
      <alignment horizontal="left" vertical="center" wrapText="1"/>
      <protection locked="0"/>
    </xf>
    <xf numFmtId="0" fontId="12" fillId="8" borderId="4" xfId="0" applyFont="1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left" vertical="top" wrapText="1"/>
    </xf>
    <xf numFmtId="0" fontId="6" fillId="8" borderId="5" xfId="0" applyFont="1" applyFill="1" applyBorder="1" applyAlignment="1" applyProtection="1">
      <alignment horizontal="left" vertical="center" wrapText="1"/>
      <protection locked="0"/>
    </xf>
    <xf numFmtId="0" fontId="16" fillId="8" borderId="5" xfId="0" applyFont="1" applyFill="1" applyBorder="1" applyAlignment="1" applyProtection="1">
      <alignment horizontal="left" vertical="center" wrapText="1"/>
      <protection locked="0"/>
    </xf>
    <xf numFmtId="0" fontId="16" fillId="8" borderId="14" xfId="0" applyFont="1" applyFill="1" applyBorder="1" applyAlignment="1" applyProtection="1">
      <alignment horizontal="left" vertical="center" wrapText="1"/>
      <protection locked="0"/>
    </xf>
    <xf numFmtId="0" fontId="6" fillId="8" borderId="5" xfId="0" applyFont="1" applyFill="1" applyBorder="1" applyAlignment="1" applyProtection="1">
      <alignment horizontal="left" vertical="center"/>
      <protection locked="0"/>
    </xf>
    <xf numFmtId="0" fontId="6" fillId="8" borderId="14" xfId="0" applyFont="1" applyFill="1" applyBorder="1" applyAlignment="1" applyProtection="1">
      <alignment horizontal="left" vertical="center"/>
      <protection locked="0"/>
    </xf>
    <xf numFmtId="1" fontId="6" fillId="8" borderId="5" xfId="0" applyNumberFormat="1" applyFont="1" applyFill="1" applyBorder="1" applyAlignment="1" applyProtection="1">
      <alignment horizontal="left" vertical="center" wrapText="1"/>
      <protection locked="0"/>
    </xf>
    <xf numFmtId="1" fontId="6" fillId="8" borderId="14" xfId="0" applyNumberFormat="1" applyFont="1" applyFill="1" applyBorder="1" applyAlignment="1" applyProtection="1">
      <alignment horizontal="left" vertical="center" wrapText="1"/>
      <protection locked="0"/>
    </xf>
    <xf numFmtId="0" fontId="10" fillId="2" borderId="0" xfId="0" applyFont="1" applyFill="1" applyBorder="1" applyAlignment="1" applyProtection="1">
      <alignment horizontal="left" vertical="center"/>
    </xf>
    <xf numFmtId="0" fontId="22" fillId="8" borderId="21" xfId="0" applyFont="1" applyFill="1" applyBorder="1" applyAlignment="1" applyProtection="1">
      <alignment horizontal="center" vertical="center"/>
      <protection locked="0"/>
    </xf>
    <xf numFmtId="0" fontId="22" fillId="8" borderId="7" xfId="0" applyFont="1" applyFill="1" applyBorder="1" applyAlignment="1" applyProtection="1">
      <alignment horizontal="center" vertical="center"/>
      <protection locked="0"/>
    </xf>
    <xf numFmtId="0" fontId="22" fillId="8" borderId="22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left" vertical="center" wrapText="1"/>
      <protection locked="0"/>
    </xf>
    <xf numFmtId="0" fontId="12" fillId="8" borderId="14" xfId="0" applyFont="1" applyFill="1" applyBorder="1" applyAlignment="1" applyProtection="1">
      <alignment horizontal="left" vertical="center" wrapText="1"/>
      <protection locked="0"/>
    </xf>
    <xf numFmtId="0" fontId="6" fillId="8" borderId="5" xfId="0" applyFont="1" applyFill="1" applyBorder="1" applyAlignment="1" applyProtection="1">
      <alignment horizontal="left" vertical="center" shrinkToFit="1"/>
      <protection locked="0"/>
    </xf>
    <xf numFmtId="0" fontId="6" fillId="8" borderId="14" xfId="0" applyFont="1" applyFill="1" applyBorder="1" applyAlignment="1" applyProtection="1">
      <alignment horizontal="left" vertical="center" shrinkToFit="1"/>
      <protection locked="0"/>
    </xf>
    <xf numFmtId="0" fontId="6" fillId="8" borderId="19" xfId="0" applyFont="1" applyFill="1" applyBorder="1" applyAlignment="1" applyProtection="1">
      <alignment horizontal="left" vertical="center"/>
      <protection locked="0"/>
    </xf>
    <xf numFmtId="0" fontId="6" fillId="8" borderId="20" xfId="0" applyFont="1" applyFill="1" applyBorder="1" applyAlignment="1" applyProtection="1">
      <alignment horizontal="left" vertical="center"/>
      <protection locked="0"/>
    </xf>
    <xf numFmtId="0" fontId="6" fillId="8" borderId="14" xfId="0" applyFont="1" applyFill="1" applyBorder="1" applyAlignment="1" applyProtection="1">
      <alignment horizontal="left" vertical="center" wrapText="1"/>
      <protection locked="0"/>
    </xf>
    <xf numFmtId="0" fontId="6" fillId="0" borderId="5" xfId="0" applyFont="1" applyFill="1" applyBorder="1" applyAlignment="1" applyProtection="1">
      <alignment horizontal="left" vertical="center" wrapText="1" shrinkToFit="1"/>
    </xf>
    <xf numFmtId="0" fontId="6" fillId="0" borderId="5" xfId="0" applyFont="1" applyFill="1" applyBorder="1" applyAlignment="1" applyProtection="1">
      <alignment horizontal="left" vertical="center" shrinkToFit="1"/>
    </xf>
    <xf numFmtId="0" fontId="6" fillId="0" borderId="14" xfId="0" applyFont="1" applyFill="1" applyBorder="1" applyAlignment="1" applyProtection="1">
      <alignment horizontal="left" vertical="center" shrinkToFit="1"/>
    </xf>
    <xf numFmtId="0" fontId="26" fillId="0" borderId="0" xfId="0" applyFont="1" applyAlignment="1" applyProtection="1">
      <alignment horizontal="center" vertical="center" wrapText="1"/>
    </xf>
    <xf numFmtId="0" fontId="4" fillId="0" borderId="21" xfId="0" applyFont="1" applyBorder="1" applyAlignment="1" applyProtection="1">
      <alignment horizontal="left" vertical="center"/>
    </xf>
    <xf numFmtId="0" fontId="4" fillId="0" borderId="22" xfId="0" applyFont="1" applyBorder="1" applyAlignment="1" applyProtection="1">
      <alignment horizontal="left" vertical="center"/>
    </xf>
    <xf numFmtId="1" fontId="6" fillId="8" borderId="5" xfId="0" applyNumberFormat="1" applyFont="1" applyFill="1" applyBorder="1" applyAlignment="1" applyProtection="1">
      <alignment horizontal="left" vertical="center" shrinkToFit="1"/>
      <protection locked="0"/>
    </xf>
    <xf numFmtId="1" fontId="6" fillId="8" borderId="14" xfId="0" applyNumberFormat="1" applyFont="1" applyFill="1" applyBorder="1" applyAlignment="1" applyProtection="1">
      <alignment horizontal="left" vertical="center" shrinkToFit="1"/>
      <protection locked="0"/>
    </xf>
    <xf numFmtId="0" fontId="6" fillId="8" borderId="5" xfId="0" applyFont="1" applyFill="1" applyBorder="1" applyAlignment="1" applyProtection="1">
      <alignment horizontal="left" vertical="center" wrapText="1" shrinkToFit="1"/>
      <protection locked="0"/>
    </xf>
    <xf numFmtId="0" fontId="6" fillId="8" borderId="14" xfId="0" applyFont="1" applyFill="1" applyBorder="1" applyAlignment="1" applyProtection="1">
      <alignment horizontal="left" vertical="center" wrapText="1" shrinkToFit="1"/>
      <protection locked="0"/>
    </xf>
    <xf numFmtId="49" fontId="6" fillId="8" borderId="5" xfId="0" applyNumberFormat="1" applyFont="1" applyFill="1" applyBorder="1" applyAlignment="1" applyProtection="1">
      <alignment horizontal="left" vertical="center" shrinkToFit="1"/>
      <protection locked="0"/>
    </xf>
    <xf numFmtId="49" fontId="6" fillId="8" borderId="14" xfId="0" applyNumberFormat="1" applyFont="1" applyFill="1" applyBorder="1" applyAlignment="1" applyProtection="1">
      <alignment horizontal="left" vertical="center" shrinkToFit="1"/>
      <protection locked="0"/>
    </xf>
    <xf numFmtId="49" fontId="6" fillId="8" borderId="5" xfId="0" applyNumberFormat="1" applyFont="1" applyFill="1" applyBorder="1" applyAlignment="1" applyProtection="1">
      <alignment horizontal="left" vertical="center"/>
      <protection locked="0"/>
    </xf>
    <xf numFmtId="49" fontId="6" fillId="8" borderId="14" xfId="0" applyNumberFormat="1" applyFont="1" applyFill="1" applyBorder="1" applyAlignment="1" applyProtection="1">
      <alignment horizontal="left" vertical="center"/>
      <protection locked="0"/>
    </xf>
    <xf numFmtId="0" fontId="6" fillId="8" borderId="5" xfId="0" applyFont="1" applyFill="1" applyBorder="1" applyAlignment="1" applyProtection="1">
      <alignment vertical="center"/>
      <protection locked="0"/>
    </xf>
    <xf numFmtId="0" fontId="6" fillId="8" borderId="14" xfId="0" applyFont="1" applyFill="1" applyBorder="1" applyAlignment="1" applyProtection="1">
      <alignment vertical="center"/>
      <protection locked="0"/>
    </xf>
    <xf numFmtId="164" fontId="6" fillId="8" borderId="5" xfId="0" applyNumberFormat="1" applyFont="1" applyFill="1" applyBorder="1" applyAlignment="1" applyProtection="1">
      <alignment horizontal="left" vertical="center"/>
      <protection locked="0"/>
    </xf>
    <xf numFmtId="164" fontId="6" fillId="8" borderId="14" xfId="0" applyNumberFormat="1" applyFont="1" applyFill="1" applyBorder="1" applyAlignment="1" applyProtection="1">
      <alignment horizontal="left" vertical="center"/>
      <protection locked="0"/>
    </xf>
    <xf numFmtId="0" fontId="14" fillId="0" borderId="0" xfId="0" applyNumberFormat="1" applyFont="1" applyFill="1" applyBorder="1" applyAlignment="1" applyProtection="1">
      <alignment horizontal="right" vertical="center" shrinkToFit="1"/>
    </xf>
    <xf numFmtId="0" fontId="4" fillId="0" borderId="21" xfId="0" applyFont="1" applyBorder="1" applyAlignment="1">
      <alignment horizontal="left"/>
    </xf>
    <xf numFmtId="0" fontId="4" fillId="0" borderId="22" xfId="0" applyFont="1" applyBorder="1" applyAlignment="1">
      <alignment horizontal="left"/>
    </xf>
    <xf numFmtId="0" fontId="12" fillId="8" borderId="19" xfId="0" applyFont="1" applyFill="1" applyBorder="1" applyAlignment="1" applyProtection="1">
      <alignment horizontal="left" vertical="center" shrinkToFit="1"/>
    </xf>
    <xf numFmtId="0" fontId="12" fillId="8" borderId="20" xfId="0" applyFont="1" applyFill="1" applyBorder="1" applyAlignment="1" applyProtection="1">
      <alignment horizontal="left" vertical="center" shrinkToFit="1"/>
    </xf>
    <xf numFmtId="0" fontId="12" fillId="0" borderId="0" xfId="0" applyNumberFormat="1" applyFont="1" applyFill="1" applyBorder="1" applyAlignment="1" applyProtection="1">
      <alignment horizontal="left" vertical="center" textRotation="90" shrinkToFit="1"/>
    </xf>
    <xf numFmtId="0" fontId="6" fillId="5" borderId="5" xfId="0" applyFont="1" applyFill="1" applyBorder="1" applyAlignment="1" applyProtection="1">
      <alignment horizontal="left" vertical="center" wrapText="1" shrinkToFit="1"/>
      <protection locked="0"/>
    </xf>
    <xf numFmtId="0" fontId="6" fillId="5" borderId="14" xfId="0" applyFont="1" applyFill="1" applyBorder="1" applyAlignment="1" applyProtection="1">
      <alignment horizontal="left" vertical="center" wrapText="1" shrinkToFit="1"/>
      <protection locked="0"/>
    </xf>
    <xf numFmtId="0" fontId="12" fillId="0" borderId="0" xfId="0" applyFont="1" applyFill="1" applyBorder="1" applyAlignment="1" applyProtection="1">
      <alignment horizontal="left" vertical="top" indent="6"/>
    </xf>
    <xf numFmtId="0" fontId="0" fillId="0" borderId="0" xfId="0" applyAlignment="1">
      <alignment horizontal="center"/>
    </xf>
    <xf numFmtId="0" fontId="6" fillId="0" borderId="0" xfId="0" applyFont="1" applyFill="1" applyBorder="1" applyAlignment="1" applyProtection="1">
      <alignment horizontal="left" vertical="center" indent="4"/>
    </xf>
    <xf numFmtId="0" fontId="12" fillId="5" borderId="5" xfId="0" applyFont="1" applyFill="1" applyBorder="1" applyAlignment="1" applyProtection="1">
      <alignment horizontal="left" vertical="center" shrinkToFit="1"/>
      <protection locked="0"/>
    </xf>
    <xf numFmtId="0" fontId="12" fillId="5" borderId="14" xfId="0" applyFont="1" applyFill="1" applyBorder="1" applyAlignment="1" applyProtection="1">
      <alignment horizontal="left" vertical="center" shrinkToFit="1"/>
      <protection locked="0"/>
    </xf>
    <xf numFmtId="0" fontId="12" fillId="8" borderId="1" xfId="0" applyNumberFormat="1" applyFont="1" applyFill="1" applyBorder="1" applyAlignment="1" applyProtection="1">
      <alignment horizontal="left" vertical="center" shrinkToFit="1"/>
    </xf>
    <xf numFmtId="0" fontId="12" fillId="8" borderId="14" xfId="0" applyNumberFormat="1" applyFont="1" applyFill="1" applyBorder="1" applyAlignment="1" applyProtection="1">
      <alignment horizontal="left" vertical="center" shrinkToFit="1"/>
    </xf>
    <xf numFmtId="0" fontId="6" fillId="8" borderId="5" xfId="0" applyFont="1" applyFill="1" applyBorder="1" applyAlignment="1" applyProtection="1">
      <alignment horizontal="left" vertical="center"/>
    </xf>
    <xf numFmtId="0" fontId="6" fillId="8" borderId="14" xfId="0" applyFont="1" applyFill="1" applyBorder="1" applyAlignment="1" applyProtection="1">
      <alignment horizontal="left" vertical="center"/>
    </xf>
    <xf numFmtId="0" fontId="17" fillId="2" borderId="0" xfId="0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left" vertical="center"/>
    </xf>
    <xf numFmtId="165" fontId="6" fillId="5" borderId="5" xfId="0" applyNumberFormat="1" applyFont="1" applyFill="1" applyBorder="1" applyAlignment="1" applyProtection="1">
      <alignment horizontal="left" vertical="center"/>
      <protection locked="0"/>
    </xf>
    <xf numFmtId="165" fontId="6" fillId="5" borderId="14" xfId="0" applyNumberFormat="1" applyFont="1" applyFill="1" applyBorder="1" applyAlignment="1" applyProtection="1">
      <alignment horizontal="left" vertical="center"/>
      <protection locked="0"/>
    </xf>
    <xf numFmtId="0" fontId="12" fillId="5" borderId="5" xfId="0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 applyAlignment="1" applyProtection="1">
      <alignment horizontal="left" vertical="center"/>
      <protection locked="0"/>
    </xf>
    <xf numFmtId="0" fontId="12" fillId="8" borderId="5" xfId="0" applyFont="1" applyFill="1" applyBorder="1" applyAlignment="1" applyProtection="1">
      <alignment horizontal="left" vertical="center"/>
    </xf>
    <xf numFmtId="0" fontId="12" fillId="8" borderId="14" xfId="0" applyFont="1" applyFill="1" applyBorder="1" applyAlignment="1" applyProtection="1">
      <alignment horizontal="left" vertical="center"/>
    </xf>
    <xf numFmtId="0" fontId="12" fillId="5" borderId="5" xfId="0" applyNumberFormat="1" applyFont="1" applyFill="1" applyBorder="1" applyAlignment="1" applyProtection="1">
      <alignment horizontal="left" vertical="center"/>
      <protection locked="0"/>
    </xf>
    <xf numFmtId="0" fontId="12" fillId="5" borderId="14" xfId="0" applyNumberFormat="1" applyFont="1" applyFill="1" applyBorder="1" applyAlignment="1" applyProtection="1">
      <alignment horizontal="left" vertical="center"/>
      <protection locked="0"/>
    </xf>
    <xf numFmtId="0" fontId="6" fillId="5" borderId="5" xfId="0" applyFont="1" applyFill="1" applyBorder="1" applyAlignment="1" applyProtection="1">
      <alignment horizontal="left" vertical="center"/>
      <protection locked="0"/>
    </xf>
    <xf numFmtId="0" fontId="6" fillId="5" borderId="14" xfId="0" applyFont="1" applyFill="1" applyBorder="1" applyAlignment="1" applyProtection="1">
      <alignment horizontal="left" vertical="center"/>
      <protection locked="0"/>
    </xf>
    <xf numFmtId="0" fontId="14" fillId="8" borderId="5" xfId="0" applyFont="1" applyFill="1" applyBorder="1" applyAlignment="1" applyProtection="1">
      <alignment horizontal="left" vertical="center" shrinkToFit="1"/>
    </xf>
    <xf numFmtId="0" fontId="14" fillId="8" borderId="14" xfId="0" applyFont="1" applyFill="1" applyBorder="1" applyAlignment="1" applyProtection="1">
      <alignment horizontal="left" vertical="center" shrinkToFit="1"/>
    </xf>
    <xf numFmtId="0" fontId="12" fillId="8" borderId="5" xfId="0" applyNumberFormat="1" applyFont="1" applyFill="1" applyBorder="1" applyAlignment="1" applyProtection="1">
      <alignment horizontal="left" vertical="center" shrinkToFit="1"/>
    </xf>
    <xf numFmtId="0" fontId="6" fillId="5" borderId="1" xfId="0" applyFont="1" applyFill="1" applyBorder="1" applyAlignment="1" applyProtection="1">
      <alignment horizontal="left" vertical="center"/>
      <protection locked="0"/>
    </xf>
    <xf numFmtId="0" fontId="12" fillId="8" borderId="1" xfId="0" applyFont="1" applyFill="1" applyBorder="1" applyAlignment="1" applyProtection="1">
      <alignment horizontal="left" vertical="center" shrinkToFit="1"/>
    </xf>
    <xf numFmtId="0" fontId="12" fillId="8" borderId="5" xfId="0" applyFont="1" applyFill="1" applyBorder="1" applyAlignment="1" applyProtection="1">
      <alignment horizontal="left" vertical="center" shrinkToFit="1"/>
    </xf>
    <xf numFmtId="0" fontId="12" fillId="8" borderId="14" xfId="0" applyFont="1" applyFill="1" applyBorder="1" applyAlignment="1" applyProtection="1">
      <alignment horizontal="left" vertical="center" shrinkToFit="1"/>
    </xf>
    <xf numFmtId="0" fontId="14" fillId="5" borderId="5" xfId="0" applyFont="1" applyFill="1" applyBorder="1" applyAlignment="1" applyProtection="1">
      <alignment horizontal="left" vertical="center"/>
      <protection locked="0"/>
    </xf>
    <xf numFmtId="0" fontId="14" fillId="5" borderId="14" xfId="0" applyFont="1" applyFill="1" applyBorder="1" applyAlignment="1" applyProtection="1">
      <alignment horizontal="left" vertical="center"/>
      <protection locked="0"/>
    </xf>
    <xf numFmtId="0" fontId="6" fillId="8" borderId="5" xfId="0" applyFont="1" applyFill="1" applyBorder="1" applyAlignment="1" applyProtection="1">
      <alignment horizontal="left" vertical="center" shrinkToFit="1"/>
    </xf>
    <xf numFmtId="0" fontId="6" fillId="8" borderId="14" xfId="0" applyFont="1" applyFill="1" applyBorder="1" applyAlignment="1" applyProtection="1">
      <alignment horizontal="left" vertical="center" shrinkToFit="1"/>
    </xf>
    <xf numFmtId="0" fontId="14" fillId="5" borderId="16" xfId="0" applyFont="1" applyFill="1" applyBorder="1" applyAlignment="1" applyProtection="1">
      <alignment horizontal="left" vertical="center"/>
      <protection locked="0"/>
    </xf>
    <xf numFmtId="0" fontId="14" fillId="5" borderId="23" xfId="0" applyFont="1" applyFill="1" applyBorder="1" applyAlignment="1" applyProtection="1">
      <alignment horizontal="left" vertical="center"/>
      <protection locked="0"/>
    </xf>
    <xf numFmtId="15" fontId="6" fillId="8" borderId="5" xfId="0" applyNumberFormat="1" applyFont="1" applyFill="1" applyBorder="1" applyAlignment="1" applyProtection="1">
      <alignment horizontal="left" vertical="center"/>
    </xf>
    <xf numFmtId="15" fontId="6" fillId="8" borderId="14" xfId="0" applyNumberFormat="1" applyFont="1" applyFill="1" applyBorder="1" applyAlignment="1" applyProtection="1">
      <alignment horizontal="left" vertical="center"/>
    </xf>
    <xf numFmtId="0" fontId="6" fillId="5" borderId="5" xfId="0" applyFont="1" applyFill="1" applyBorder="1" applyAlignment="1" applyProtection="1">
      <alignment horizontal="left" vertical="center" shrinkToFit="1"/>
      <protection locked="0"/>
    </xf>
    <xf numFmtId="0" fontId="6" fillId="5" borderId="14" xfId="0" applyFont="1" applyFill="1" applyBorder="1" applyAlignment="1" applyProtection="1">
      <alignment horizontal="left" vertical="center" shrinkToFit="1"/>
      <protection locked="0"/>
    </xf>
    <xf numFmtId="15" fontId="6" fillId="5" borderId="5" xfId="0" applyNumberFormat="1" applyFont="1" applyFill="1" applyBorder="1" applyAlignment="1" applyProtection="1">
      <alignment horizontal="left" vertical="center"/>
      <protection locked="0"/>
    </xf>
    <xf numFmtId="15" fontId="6" fillId="5" borderId="14" xfId="0" applyNumberFormat="1" applyFont="1" applyFill="1" applyBorder="1" applyAlignment="1" applyProtection="1">
      <alignment horizontal="left" vertical="center"/>
      <protection locked="0"/>
    </xf>
    <xf numFmtId="49" fontId="6" fillId="8" borderId="5" xfId="0" applyNumberFormat="1" applyFont="1" applyFill="1" applyBorder="1" applyAlignment="1" applyProtection="1">
      <alignment horizontal="left" vertical="center" shrinkToFit="1"/>
    </xf>
    <xf numFmtId="49" fontId="6" fillId="8" borderId="14" xfId="0" applyNumberFormat="1" applyFont="1" applyFill="1" applyBorder="1" applyAlignment="1" applyProtection="1">
      <alignment horizontal="left" vertical="center" shrinkToFit="1"/>
    </xf>
    <xf numFmtId="0" fontId="6" fillId="8" borderId="5" xfId="0" applyFont="1" applyFill="1" applyBorder="1" applyAlignment="1" applyProtection="1">
      <alignment horizontal="center" vertical="center" shrinkToFit="1"/>
      <protection locked="0" hidden="1"/>
    </xf>
    <xf numFmtId="0" fontId="4" fillId="0" borderId="1" xfId="0" applyFont="1" applyBorder="1" applyAlignment="1" applyProtection="1">
      <alignment horizontal="left" vertical="center" wrapText="1"/>
    </xf>
    <xf numFmtId="0" fontId="4" fillId="0" borderId="5" xfId="0" applyFont="1" applyBorder="1" applyAlignment="1" applyProtection="1">
      <alignment horizontal="left" vertical="center" wrapText="1"/>
    </xf>
    <xf numFmtId="0" fontId="6" fillId="5" borderId="5" xfId="0" applyFont="1" applyFill="1" applyBorder="1" applyAlignment="1" applyProtection="1">
      <alignment horizontal="left" vertical="center" wrapText="1"/>
      <protection locked="0"/>
    </xf>
    <xf numFmtId="0" fontId="6" fillId="5" borderId="14" xfId="0" applyFont="1" applyFill="1" applyBorder="1" applyAlignment="1" applyProtection="1">
      <alignment horizontal="left" vertical="center" wrapText="1"/>
      <protection locked="0"/>
    </xf>
    <xf numFmtId="49" fontId="6" fillId="8" borderId="5" xfId="0" applyNumberFormat="1" applyFont="1" applyFill="1" applyBorder="1" applyAlignment="1" applyProtection="1">
      <alignment horizontal="left" vertical="center"/>
    </xf>
    <xf numFmtId="49" fontId="6" fillId="8" borderId="14" xfId="0" applyNumberFormat="1" applyFont="1" applyFill="1" applyBorder="1" applyAlignment="1" applyProtection="1">
      <alignment horizontal="left" vertical="center"/>
    </xf>
    <xf numFmtId="0" fontId="19" fillId="2" borderId="0" xfId="0" applyFont="1" applyFill="1" applyAlignment="1" applyProtection="1">
      <alignment horizontal="center" vertical="center"/>
    </xf>
    <xf numFmtId="0" fontId="0" fillId="8" borderId="5" xfId="0" applyFont="1" applyFill="1" applyBorder="1" applyAlignment="1">
      <alignment horizontal="left" vertical="center" shrinkToFit="1"/>
    </xf>
    <xf numFmtId="0" fontId="0" fillId="8" borderId="14" xfId="0" applyFont="1" applyFill="1" applyBorder="1" applyAlignment="1">
      <alignment horizontal="left" vertical="center" shrinkToFit="1"/>
    </xf>
    <xf numFmtId="164" fontId="0" fillId="8" borderId="0" xfId="0" applyNumberForma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54"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  <border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condense val="0"/>
        <extend val="0"/>
        <color auto="1"/>
      </font>
      <fill>
        <patternFill>
          <bgColor indexed="43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ndense val="0"/>
        <extend val="0"/>
        <color indexed="8"/>
      </font>
      <fill>
        <patternFill>
          <bgColor indexed="8"/>
        </patternFill>
      </fill>
    </dxf>
    <dxf>
      <fill>
        <patternFill>
          <bgColor indexed="43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auto="1"/>
      </font>
      <fill>
        <patternFill patternType="solid">
          <fgColor indexed="64"/>
          <bgColor rgb="FFFFFF00"/>
        </patternFill>
      </fill>
      <border>
        <left style="thin">
          <color indexed="55"/>
        </left>
        <right/>
        <top style="thin">
          <color indexed="55"/>
        </top>
        <bottom style="thin">
          <color indexed="55"/>
        </bottom>
      </border>
    </dxf>
    <dxf>
      <font>
        <color theme="0"/>
      </font>
      <fill>
        <patternFill patternType="none">
          <fgColor indexed="64"/>
          <bgColor indexed="65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rgb="FFFFFF00"/>
        </patternFill>
      </fill>
      <border>
        <left style="thin">
          <color indexed="55"/>
        </left>
        <right/>
        <top style="thin">
          <color indexed="55"/>
        </top>
        <bottom style="thin">
          <color indexed="55"/>
        </bottom>
      </border>
    </dxf>
    <dxf>
      <font>
        <color theme="0"/>
      </font>
      <fill>
        <patternFill patternType="none">
          <fgColor indexed="64"/>
          <bgColor indexed="65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border>
        <right style="thin">
          <color indexed="55"/>
        </right>
        <top style="thin">
          <color indexed="55"/>
        </top>
        <bottom style="thin">
          <color indexed="55"/>
        </bottom>
      </border>
    </dxf>
    <dxf>
      <font>
        <color theme="0"/>
      </font>
      <fill>
        <patternFill patternType="none">
          <fgColor indexed="64"/>
          <bgColor indexed="65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lor theme="0" tint="-0.499984740745262"/>
      </font>
      <fill>
        <patternFill patternType="solid">
          <fgColor indexed="64"/>
          <bgColor theme="0" tint="-0.14999847407452621"/>
        </patternFill>
      </fill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</dxf>
    <dxf>
      <font>
        <color theme="0" tint="-0.499984740745262"/>
      </font>
      <fill>
        <patternFill patternType="solid">
          <fgColor indexed="64"/>
          <bgColor theme="0" tint="-0.14999847407452621"/>
        </patternFill>
      </fill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ill>
        <patternFill>
          <bgColor indexed="43"/>
        </patternFill>
      </fill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</dxf>
    <dxf>
      <font>
        <condense val="0"/>
        <extend val="0"/>
        <color indexed="34"/>
      </font>
      <fill>
        <patternFill>
          <bgColor indexed="34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ndense val="0"/>
        <extend val="0"/>
        <color auto="1"/>
      </font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ont>
        <color theme="5" tint="-0.249977111117893"/>
      </font>
      <fill>
        <patternFill patternType="solid">
          <fgColor theme="0"/>
          <bgColor theme="8" tint="0.59999389629810485"/>
        </patternFill>
      </fill>
    </dxf>
    <dxf>
      <font>
        <color rgb="FFCD1B1B"/>
      </font>
      <fill>
        <patternFill patternType="solid">
          <fgColor theme="0" tint="-0.249977111117893"/>
          <bgColor theme="8" tint="0.59999389629810485"/>
        </patternFill>
      </fill>
    </dxf>
    <dxf>
      <font>
        <color rgb="FFCD1B1B"/>
      </font>
      <fill>
        <patternFill patternType="solid">
          <fgColor indexed="64"/>
          <bgColor theme="8" tint="0.59999389629810485"/>
        </patternFill>
      </fill>
    </dxf>
    <dxf>
      <font>
        <color theme="8" tint="0.59999389629810485"/>
      </font>
    </dxf>
    <dxf>
      <font>
        <color theme="8" tint="0.59999389629810485"/>
      </font>
      <fill>
        <patternFill patternType="solid">
          <fgColor indexed="64"/>
          <bgColor theme="8" tint="0.59999389629810485"/>
        </patternFill>
      </fill>
    </dxf>
    <dxf>
      <font>
        <condense val="0"/>
        <extend val="0"/>
        <color indexed="24"/>
      </font>
    </dxf>
    <dxf>
      <font>
        <color rgb="FFCD1B1B"/>
      </font>
      <fill>
        <patternFill patternType="solid">
          <fgColor indexed="64"/>
          <bgColor theme="8" tint="0.59999389629810485"/>
        </patternFill>
      </fill>
    </dxf>
    <dxf>
      <font>
        <color theme="8" tint="0.59999389629810485"/>
      </font>
    </dxf>
    <dxf>
      <font>
        <color theme="8" tint="0.59999389629810485"/>
      </font>
    </dxf>
    <dxf>
      <font>
        <condense val="0"/>
        <extend val="0"/>
        <color indexed="27"/>
      </font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D9DAD8"/>
      <rgbColor rgb="0079DD95"/>
      <rgbColor rgb="00C4C4BF"/>
      <rgbColor rgb="00ACD1E1"/>
      <rgbColor rgb="006711FF"/>
      <rgbColor rgb="00FADF7F"/>
      <rgbColor rgb="00865357"/>
      <rgbColor rgb="00A2BD90"/>
      <rgbColor rgb="0063AAFE"/>
      <rgbColor rgb="00DD2D32"/>
      <rgbColor rgb="00FFFBB0"/>
      <rgbColor rgb="006F9C79"/>
      <rgbColor rgb="006711FF"/>
      <rgbColor rgb="00FEA746"/>
      <rgbColor rgb="00865357"/>
      <rgbColor rgb="00A2BD90"/>
      <rgbColor rgb="0000CCFF"/>
      <rgbColor rgb="00CCFFFF"/>
      <rgbColor rgb="00CCFFCC"/>
      <rgbColor rgb="00F8FF0F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ICM!$J$3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0</xdr:rowOff>
        </xdr:from>
        <xdr:to>
          <xdr:col>2</xdr:col>
          <xdr:colOff>781050</xdr:colOff>
          <xdr:row>25</xdr:row>
          <xdr:rowOff>0</xdr:rowOff>
        </xdr:to>
        <xdr:sp macro="" textlink="">
          <xdr:nvSpPr>
            <xdr:cNvPr id="2313" name="Group Box 265" hidden="1">
              <a:extLst>
                <a:ext uri="{63B3BB69-23CF-44E3-9099-C40C66FF867C}">
                  <a14:compatExt spid="_x0000_s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66675</xdr:rowOff>
        </xdr:from>
        <xdr:to>
          <xdr:col>1</xdr:col>
          <xdr:colOff>152400</xdr:colOff>
          <xdr:row>23</xdr:row>
          <xdr:rowOff>0</xdr:rowOff>
        </xdr:to>
        <xdr:sp macro="" textlink="">
          <xdr:nvSpPr>
            <xdr:cNvPr id="2315" name="Option Button 267" hidden="1">
              <a:extLst>
                <a:ext uri="{63B3BB69-23CF-44E3-9099-C40C66FF867C}">
                  <a14:compatExt spid="_x0000_s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New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66675</xdr:rowOff>
        </xdr:from>
        <xdr:to>
          <xdr:col>2</xdr:col>
          <xdr:colOff>638175</xdr:colOff>
          <xdr:row>24</xdr:row>
          <xdr:rowOff>200025</xdr:rowOff>
        </xdr:to>
        <xdr:sp macro="" textlink="">
          <xdr:nvSpPr>
            <xdr:cNvPr id="2316" name="Option Button 268" hidden="1">
              <a:extLst>
                <a:ext uri="{63B3BB69-23CF-44E3-9099-C40C66FF867C}">
                  <a14:compatExt spid="_x0000_s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RWC (indicate movex #)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28575</xdr:colOff>
      <xdr:row>50</xdr:row>
      <xdr:rowOff>0</xdr:rowOff>
    </xdr:from>
    <xdr:to>
      <xdr:col>9</xdr:col>
      <xdr:colOff>720756</xdr:colOff>
      <xdr:row>104</xdr:row>
      <xdr:rowOff>123825</xdr:rowOff>
    </xdr:to>
    <xdr:sp macro="" textlink="" fLocksText="0">
      <xdr:nvSpPr>
        <xdr:cNvPr id="6" name="Text Box 10"/>
        <xdr:cNvSpPr txBox="1">
          <a:spLocks noChangeArrowheads="1"/>
        </xdr:cNvSpPr>
      </xdr:nvSpPr>
      <xdr:spPr bwMode="auto">
        <a:xfrm>
          <a:off x="38100" y="9461500"/>
          <a:ext cx="6667500" cy="834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rtlCol="0"/>
        <a:lstStyle/>
        <a:p>
          <a:pPr algn="l"/>
          <a:endParaRPr lang="en-US" sz="900"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266700</xdr:colOff>
      <xdr:row>60</xdr:row>
      <xdr:rowOff>152400</xdr:rowOff>
    </xdr:from>
    <xdr:to>
      <xdr:col>8</xdr:col>
      <xdr:colOff>333375</xdr:colOff>
      <xdr:row>69</xdr:row>
      <xdr:rowOff>9525</xdr:rowOff>
    </xdr:to>
    <xdr:pic>
      <xdr:nvPicPr>
        <xdr:cNvPr id="2152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9575" y="7181850"/>
          <a:ext cx="1019175" cy="1085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31750</xdr:colOff>
      <xdr:row>85</xdr:row>
      <xdr:rowOff>10584</xdr:rowOff>
    </xdr:from>
    <xdr:to>
      <xdr:col>8</xdr:col>
      <xdr:colOff>993572</xdr:colOff>
      <xdr:row>130</xdr:row>
      <xdr:rowOff>156633</xdr:rowOff>
    </xdr:to>
    <xdr:sp macro="" textlink="" fLocksText="0">
      <xdr:nvSpPr>
        <xdr:cNvPr id="13322" name="Text Box 10"/>
        <xdr:cNvSpPr txBox="1">
          <a:spLocks noChangeArrowheads="1"/>
        </xdr:cNvSpPr>
      </xdr:nvSpPr>
      <xdr:spPr bwMode="auto">
        <a:xfrm>
          <a:off x="41275" y="10625667"/>
          <a:ext cx="6694828" cy="67204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rtlCol="0"/>
        <a:lstStyle/>
        <a:p>
          <a:pPr algn="l"/>
          <a:endParaRPr lang="en-US" sz="900"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838200</xdr:colOff>
      <xdr:row>65</xdr:row>
      <xdr:rowOff>66675</xdr:rowOff>
    </xdr:from>
    <xdr:to>
      <xdr:col>8</xdr:col>
      <xdr:colOff>838200</xdr:colOff>
      <xdr:row>67</xdr:row>
      <xdr:rowOff>28575</xdr:rowOff>
    </xdr:to>
    <xdr:sp macro="" textlink="">
      <xdr:nvSpPr>
        <xdr:cNvPr id="21526" name="Line 38"/>
        <xdr:cNvSpPr>
          <a:spLocks noChangeShapeType="1"/>
        </xdr:cNvSpPr>
      </xdr:nvSpPr>
      <xdr:spPr bwMode="auto">
        <a:xfrm flipV="1">
          <a:off x="5743575" y="7800975"/>
          <a:ext cx="0" cy="22860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56</xdr:row>
          <xdr:rowOff>152400</xdr:rowOff>
        </xdr:from>
        <xdr:to>
          <xdr:col>5</xdr:col>
          <xdr:colOff>628650</xdr:colOff>
          <xdr:row>58</xdr:row>
          <xdr:rowOff>104775</xdr:rowOff>
        </xdr:to>
        <xdr:sp macro="" textlink="">
          <xdr:nvSpPr>
            <xdr:cNvPr id="3" name="Check Box -1021" hidden="1">
              <a:extLst>
                <a:ext uri="{63B3BB69-23CF-44E3-9099-C40C66FF867C}">
                  <a14:compatExt spid="_x0000_s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-1021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56</xdr:row>
          <xdr:rowOff>152400</xdr:rowOff>
        </xdr:from>
        <xdr:to>
          <xdr:col>5</xdr:col>
          <xdr:colOff>628650</xdr:colOff>
          <xdr:row>58</xdr:row>
          <xdr:rowOff>104775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-1021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56</xdr:row>
          <xdr:rowOff>152400</xdr:rowOff>
        </xdr:from>
        <xdr:to>
          <xdr:col>5</xdr:col>
          <xdr:colOff>628650</xdr:colOff>
          <xdr:row>58</xdr:row>
          <xdr:rowOff>104775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-1021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56</xdr:row>
          <xdr:rowOff>152400</xdr:rowOff>
        </xdr:from>
        <xdr:to>
          <xdr:col>5</xdr:col>
          <xdr:colOff>628650</xdr:colOff>
          <xdr:row>58</xdr:row>
          <xdr:rowOff>104775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-1021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51</xdr:row>
      <xdr:rowOff>38100</xdr:rowOff>
    </xdr:from>
    <xdr:to>
      <xdr:col>8</xdr:col>
      <xdr:colOff>885825</xdr:colOff>
      <xdr:row>68</xdr:row>
      <xdr:rowOff>95250</xdr:rowOff>
    </xdr:to>
    <xdr:pic>
      <xdr:nvPicPr>
        <xdr:cNvPr id="17868" name="Picture 7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6324600"/>
          <a:ext cx="5591175" cy="2886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53975</xdr:colOff>
      <xdr:row>67</xdr:row>
      <xdr:rowOff>38100</xdr:rowOff>
    </xdr:from>
    <xdr:to>
      <xdr:col>8</xdr:col>
      <xdr:colOff>50851</xdr:colOff>
      <xdr:row>68</xdr:row>
      <xdr:rowOff>95250</xdr:rowOff>
    </xdr:to>
    <xdr:sp macro="" textlink="">
      <xdr:nvSpPr>
        <xdr:cNvPr id="12313" name="Text Box 25"/>
        <xdr:cNvSpPr txBox="1">
          <a:spLocks noChangeArrowheads="1"/>
        </xdr:cNvSpPr>
      </xdr:nvSpPr>
      <xdr:spPr bwMode="auto">
        <a:xfrm>
          <a:off x="4483100" y="9042400"/>
          <a:ext cx="102870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Operator:</a:t>
          </a:r>
        </a:p>
      </xdr:txBody>
    </xdr:sp>
    <xdr:clientData/>
  </xdr:twoCellAnchor>
  <xdr:twoCellAnchor>
    <xdr:from>
      <xdr:col>8</xdr:col>
      <xdr:colOff>50800</xdr:colOff>
      <xdr:row>67</xdr:row>
      <xdr:rowOff>38100</xdr:rowOff>
    </xdr:from>
    <xdr:to>
      <xdr:col>8</xdr:col>
      <xdr:colOff>844382</xdr:colOff>
      <xdr:row>68</xdr:row>
      <xdr:rowOff>95250</xdr:rowOff>
    </xdr:to>
    <xdr:sp macro="" textlink="">
      <xdr:nvSpPr>
        <xdr:cNvPr id="12314" name="Text Box 26"/>
        <xdr:cNvSpPr txBox="1">
          <a:spLocks noChangeArrowheads="1"/>
        </xdr:cNvSpPr>
      </xdr:nvSpPr>
      <xdr:spPr bwMode="auto">
        <a:xfrm>
          <a:off x="5511800" y="9042400"/>
          <a:ext cx="92710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Checker:</a:t>
          </a:r>
        </a:p>
      </xdr:txBody>
    </xdr:sp>
    <xdr:clientData/>
  </xdr:twoCellAnchor>
  <xdr:twoCellAnchor>
    <xdr:from>
      <xdr:col>0</xdr:col>
      <xdr:colOff>27516</xdr:colOff>
      <xdr:row>41</xdr:row>
      <xdr:rowOff>44452</xdr:rowOff>
    </xdr:from>
    <xdr:to>
      <xdr:col>8</xdr:col>
      <xdr:colOff>862697</xdr:colOff>
      <xdr:row>49</xdr:row>
      <xdr:rowOff>116418</xdr:rowOff>
    </xdr:to>
    <xdr:sp macro="" textlink="" fLocksText="0">
      <xdr:nvSpPr>
        <xdr:cNvPr id="12320" name="Text Box 32"/>
        <xdr:cNvSpPr txBox="1">
          <a:spLocks noChangeArrowheads="1"/>
        </xdr:cNvSpPr>
      </xdr:nvSpPr>
      <xdr:spPr bwMode="auto">
        <a:xfrm>
          <a:off x="37041" y="4986869"/>
          <a:ext cx="6346942" cy="1172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1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3</xdr:row>
      <xdr:rowOff>28575</xdr:rowOff>
    </xdr:from>
    <xdr:to>
      <xdr:col>14</xdr:col>
      <xdr:colOff>85725</xdr:colOff>
      <xdr:row>21</xdr:row>
      <xdr:rowOff>66675</xdr:rowOff>
    </xdr:to>
    <xdr:pic>
      <xdr:nvPicPr>
        <xdr:cNvPr id="7518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609600"/>
          <a:ext cx="8286750" cy="2981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P105"/>
  <sheetViews>
    <sheetView showGridLines="0" tabSelected="1" zoomScale="120" zoomScaleNormal="120" workbookViewId="0">
      <selection activeCell="B3" sqref="B3:F3"/>
    </sheetView>
  </sheetViews>
  <sheetFormatPr defaultColWidth="8.85546875" defaultRowHeight="12.75" x14ac:dyDescent="0.2"/>
  <cols>
    <col min="1" max="1" width="13.42578125" style="6" customWidth="1"/>
    <col min="2" max="2" width="4.140625" style="6" customWidth="1"/>
    <col min="3" max="3" width="11.85546875" style="6" customWidth="1"/>
    <col min="4" max="4" width="1" style="6" customWidth="1"/>
    <col min="5" max="5" width="13.140625" style="6" customWidth="1"/>
    <col min="6" max="6" width="13" style="6" customWidth="1"/>
    <col min="7" max="7" width="1" style="6" customWidth="1"/>
    <col min="8" max="8" width="12.7109375" style="6" customWidth="1"/>
    <col min="9" max="9" width="6.85546875" style="6" customWidth="1"/>
    <col min="10" max="10" width="11.85546875" style="6" customWidth="1"/>
    <col min="11" max="16384" width="8.85546875" style="6"/>
  </cols>
  <sheetData>
    <row r="1" spans="1:10" ht="21" customHeight="1" x14ac:dyDescent="0.2">
      <c r="A1" s="3" t="s">
        <v>107</v>
      </c>
      <c r="B1" s="3"/>
      <c r="C1" s="4"/>
      <c r="D1" s="4"/>
      <c r="E1" s="4"/>
      <c r="F1" s="4"/>
      <c r="G1" s="4"/>
      <c r="H1" s="4"/>
      <c r="I1" s="4"/>
      <c r="J1" s="4"/>
    </row>
    <row r="2" spans="1:10" ht="6" customHeight="1" x14ac:dyDescent="0.2">
      <c r="A2" s="11"/>
      <c r="B2" s="11"/>
      <c r="C2" s="11"/>
      <c r="D2" s="11"/>
      <c r="E2" s="11"/>
      <c r="F2" s="11"/>
      <c r="G2" s="11"/>
      <c r="H2" s="11"/>
      <c r="I2" s="11"/>
      <c r="J2" s="11"/>
    </row>
    <row r="3" spans="1:10" ht="21.75" customHeight="1" x14ac:dyDescent="0.2">
      <c r="A3" s="22" t="s">
        <v>108</v>
      </c>
      <c r="B3" s="211"/>
      <c r="C3" s="211"/>
      <c r="D3" s="211"/>
      <c r="E3" s="211"/>
      <c r="F3" s="212"/>
      <c r="G3" s="12"/>
      <c r="H3" s="23" t="s">
        <v>44</v>
      </c>
      <c r="I3" s="180"/>
      <c r="J3" s="181"/>
    </row>
    <row r="4" spans="1:10" ht="6" customHeight="1" x14ac:dyDescent="0.2">
      <c r="A4" s="27"/>
      <c r="B4" s="27"/>
      <c r="C4" s="12"/>
      <c r="D4" s="12"/>
      <c r="E4" s="12"/>
      <c r="F4" s="12"/>
      <c r="G4" s="12"/>
      <c r="H4" s="27"/>
      <c r="I4" s="12"/>
      <c r="J4" s="12"/>
    </row>
    <row r="5" spans="1:10" ht="21.75" customHeight="1" x14ac:dyDescent="0.2">
      <c r="A5" s="22" t="s">
        <v>105</v>
      </c>
      <c r="B5" s="180"/>
      <c r="C5" s="180"/>
      <c r="D5" s="180"/>
      <c r="E5" s="180"/>
      <c r="F5" s="181"/>
      <c r="G5" s="12"/>
      <c r="H5" s="23" t="s">
        <v>279</v>
      </c>
      <c r="I5" s="207"/>
      <c r="J5" s="208"/>
    </row>
    <row r="6" spans="1:10" ht="6" customHeight="1" x14ac:dyDescent="0.2">
      <c r="A6" s="27"/>
      <c r="B6" s="27"/>
      <c r="C6" s="12"/>
      <c r="D6" s="12"/>
      <c r="E6" s="12"/>
      <c r="F6" s="12"/>
      <c r="G6" s="12"/>
      <c r="H6" s="27"/>
      <c r="I6" s="12"/>
      <c r="J6" s="12"/>
    </row>
    <row r="7" spans="1:10" ht="24" customHeight="1" x14ac:dyDescent="0.2">
      <c r="A7" s="22" t="s">
        <v>54</v>
      </c>
      <c r="B7" s="180"/>
      <c r="C7" s="180"/>
      <c r="D7" s="180"/>
      <c r="E7" s="180"/>
      <c r="F7" s="181"/>
      <c r="G7" s="12"/>
      <c r="H7" s="23" t="s">
        <v>117</v>
      </c>
      <c r="I7" s="207"/>
      <c r="J7" s="208"/>
    </row>
    <row r="8" spans="1:10" ht="6" customHeight="1" x14ac:dyDescent="0.2">
      <c r="A8" s="27"/>
      <c r="B8" s="27"/>
      <c r="C8" s="12"/>
      <c r="D8" s="12"/>
      <c r="E8" s="12"/>
      <c r="F8" s="12"/>
      <c r="G8" s="12"/>
      <c r="H8" s="27"/>
      <c r="I8" s="12"/>
      <c r="J8" s="12"/>
    </row>
    <row r="9" spans="1:10" ht="24" customHeight="1" x14ac:dyDescent="0.2">
      <c r="A9" s="22" t="s">
        <v>249</v>
      </c>
      <c r="B9" s="180"/>
      <c r="C9" s="180"/>
      <c r="D9" s="180"/>
      <c r="E9" s="180"/>
      <c r="F9" s="181"/>
      <c r="G9" s="12"/>
      <c r="H9" s="23" t="s">
        <v>36</v>
      </c>
      <c r="I9" s="180"/>
      <c r="J9" s="181"/>
    </row>
    <row r="10" spans="1:10" ht="6" customHeight="1" x14ac:dyDescent="0.2">
      <c r="A10" s="27"/>
      <c r="B10" s="27"/>
      <c r="C10" s="12"/>
      <c r="D10" s="12"/>
      <c r="E10" s="12"/>
      <c r="F10" s="12"/>
      <c r="G10" s="12"/>
      <c r="H10" s="27"/>
      <c r="I10" s="12"/>
      <c r="J10" s="12"/>
    </row>
    <row r="11" spans="1:10" ht="24" customHeight="1" x14ac:dyDescent="0.2">
      <c r="A11" s="22" t="s">
        <v>130</v>
      </c>
      <c r="B11" s="121">
        <f>ICM!B11</f>
        <v>0</v>
      </c>
      <c r="C11" s="203"/>
      <c r="D11" s="203"/>
      <c r="E11" s="203"/>
      <c r="F11" s="204"/>
      <c r="G11" s="12"/>
      <c r="H11" s="23" t="s">
        <v>121</v>
      </c>
      <c r="I11" s="201"/>
      <c r="J11" s="202"/>
    </row>
    <row r="12" spans="1:10" ht="6" customHeight="1" x14ac:dyDescent="0.2">
      <c r="A12" s="27"/>
      <c r="B12" s="27"/>
      <c r="C12" s="12"/>
      <c r="D12" s="12"/>
      <c r="E12" s="12"/>
      <c r="F12" s="12"/>
      <c r="G12" s="12"/>
      <c r="H12" s="27"/>
      <c r="I12" s="12"/>
      <c r="J12" s="12"/>
    </row>
    <row r="13" spans="1:10" ht="24" customHeight="1" x14ac:dyDescent="0.2">
      <c r="A13" s="27"/>
      <c r="B13" s="27"/>
      <c r="C13" s="12"/>
      <c r="D13" s="12"/>
      <c r="E13" s="12"/>
      <c r="F13" s="12"/>
      <c r="G13" s="12"/>
      <c r="H13" s="83" t="s">
        <v>62</v>
      </c>
      <c r="I13" s="205"/>
      <c r="J13" s="206"/>
    </row>
    <row r="14" spans="1:10" ht="6" customHeight="1" x14ac:dyDescent="0.2">
      <c r="A14" s="27"/>
      <c r="B14" s="27"/>
      <c r="C14" s="12"/>
      <c r="D14" s="12"/>
      <c r="E14" s="12"/>
      <c r="F14" s="12"/>
      <c r="G14" s="12"/>
      <c r="H14" s="27"/>
      <c r="I14" s="12"/>
      <c r="J14" s="12"/>
    </row>
    <row r="15" spans="1:10" ht="24" customHeight="1" x14ac:dyDescent="0.2">
      <c r="A15" s="22" t="s">
        <v>1</v>
      </c>
      <c r="B15" s="180"/>
      <c r="C15" s="180"/>
      <c r="D15" s="180"/>
      <c r="E15" s="180"/>
      <c r="F15" s="181"/>
      <c r="G15" s="12"/>
      <c r="H15" s="22" t="s">
        <v>192</v>
      </c>
      <c r="I15" s="180"/>
      <c r="J15" s="181"/>
    </row>
    <row r="16" spans="1:10" ht="6" customHeight="1" x14ac:dyDescent="0.2">
      <c r="A16" s="27"/>
      <c r="B16" s="27"/>
      <c r="C16" s="12"/>
      <c r="D16" s="12"/>
      <c r="E16" s="12"/>
      <c r="F16" s="12"/>
      <c r="G16" s="12"/>
      <c r="H16" s="12"/>
      <c r="I16" s="12"/>
      <c r="J16" s="12"/>
    </row>
    <row r="17" spans="1:16" ht="24" customHeight="1" x14ac:dyDescent="0.2">
      <c r="A17" s="22" t="s">
        <v>112</v>
      </c>
      <c r="B17" s="209"/>
      <c r="C17" s="210"/>
      <c r="D17" s="13"/>
      <c r="E17" s="67" t="s">
        <v>45</v>
      </c>
      <c r="F17" s="177" t="b">
        <f>IF(B17="No","N/A",IF(B17="Yes","Type laser position here"))</f>
        <v>0</v>
      </c>
      <c r="G17" s="177"/>
      <c r="H17" s="177"/>
      <c r="I17" s="177"/>
      <c r="J17" s="194"/>
    </row>
    <row r="18" spans="1:16" ht="6" customHeight="1" x14ac:dyDescent="0.2">
      <c r="A18" s="29"/>
      <c r="B18" s="29"/>
      <c r="C18" s="13"/>
      <c r="D18" s="13"/>
      <c r="E18" s="13"/>
      <c r="F18" s="13"/>
      <c r="G18" s="13"/>
      <c r="H18" s="13"/>
      <c r="I18" s="13"/>
      <c r="J18" s="13"/>
    </row>
    <row r="19" spans="1:16" ht="24" customHeight="1" x14ac:dyDescent="0.2">
      <c r="A19" s="25" t="s">
        <v>234</v>
      </c>
      <c r="B19" s="180"/>
      <c r="C19" s="180"/>
      <c r="D19" s="180"/>
      <c r="E19" s="180"/>
      <c r="F19" s="180"/>
      <c r="G19" s="180"/>
      <c r="H19" s="180"/>
      <c r="I19" s="180"/>
      <c r="J19" s="181"/>
    </row>
    <row r="20" spans="1:16" ht="6" customHeight="1" x14ac:dyDescent="0.2">
      <c r="A20" s="11"/>
      <c r="B20" s="11"/>
      <c r="C20" s="11"/>
      <c r="D20" s="11"/>
      <c r="E20" s="11"/>
      <c r="F20" s="11"/>
      <c r="G20" s="11"/>
      <c r="H20" s="11"/>
      <c r="I20" s="11"/>
      <c r="J20" s="11"/>
    </row>
    <row r="21" spans="1:16" ht="23.1" customHeight="1" x14ac:dyDescent="0.2">
      <c r="A21" s="3" t="s">
        <v>189</v>
      </c>
      <c r="B21" s="3"/>
      <c r="C21" s="8"/>
      <c r="D21" s="8"/>
      <c r="E21" s="8"/>
      <c r="F21" s="8"/>
      <c r="G21" s="8"/>
      <c r="H21" s="8"/>
      <c r="I21" s="8"/>
      <c r="J21" s="8"/>
    </row>
    <row r="22" spans="1:16" ht="6.75" customHeight="1" x14ac:dyDescent="0.2"/>
    <row r="23" spans="1:16" ht="23.1" customHeight="1" x14ac:dyDescent="0.2">
      <c r="A23" s="185"/>
      <c r="B23" s="186"/>
      <c r="C23" s="187"/>
      <c r="E23" s="21" t="s">
        <v>217</v>
      </c>
      <c r="F23" s="177" t="b">
        <f>IF(ICM!J3=1,"N/A", IF(ICM!J3=2,"Indicate Movex # here"))</f>
        <v>0</v>
      </c>
      <c r="G23" s="178"/>
      <c r="H23" s="178"/>
      <c r="I23" s="178"/>
      <c r="J23" s="179"/>
      <c r="N23" s="19"/>
    </row>
    <row r="24" spans="1:16" ht="6.75" customHeight="1" x14ac:dyDescent="0.2">
      <c r="A24" s="156"/>
      <c r="B24" s="157"/>
      <c r="C24" s="158"/>
      <c r="E24" s="24"/>
      <c r="F24" s="15"/>
      <c r="G24" s="15"/>
      <c r="H24" s="15"/>
      <c r="I24" s="15"/>
    </row>
    <row r="25" spans="1:16" ht="23.1" customHeight="1" x14ac:dyDescent="0.2">
      <c r="A25" s="159"/>
      <c r="B25" s="160"/>
      <c r="C25" s="161"/>
      <c r="D25" s="7"/>
      <c r="E25" s="22" t="s">
        <v>50</v>
      </c>
      <c r="F25" s="180"/>
      <c r="G25" s="180"/>
      <c r="H25" s="180"/>
      <c r="I25" s="180"/>
      <c r="J25" s="181"/>
    </row>
    <row r="26" spans="1:16" ht="6.75" customHeight="1" x14ac:dyDescent="0.2"/>
    <row r="27" spans="1:16" ht="23.1" customHeight="1" x14ac:dyDescent="0.2">
      <c r="A27" s="198" t="b">
        <f>IF(F23="N/A","NOTE: Winpak Graphics requires an exisiting printed sample if item is NEW to Winpak")</f>
        <v>0</v>
      </c>
      <c r="B27" s="198"/>
      <c r="C27" s="198"/>
      <c r="E27" s="22" t="s">
        <v>238</v>
      </c>
      <c r="F27" s="190"/>
      <c r="G27" s="190"/>
      <c r="H27" s="190"/>
      <c r="I27" s="190"/>
      <c r="J27" s="191"/>
    </row>
    <row r="28" spans="1:16" ht="6.75" customHeight="1" x14ac:dyDescent="0.2"/>
    <row r="29" spans="1:16" ht="21" customHeight="1" x14ac:dyDescent="0.2">
      <c r="A29" s="3" t="s">
        <v>66</v>
      </c>
      <c r="B29" s="3"/>
      <c r="C29" s="8"/>
      <c r="D29" s="8"/>
      <c r="E29" s="8"/>
      <c r="F29" s="8"/>
      <c r="G29" s="8"/>
      <c r="H29" s="8"/>
      <c r="I29" s="8"/>
      <c r="J29" s="8"/>
      <c r="P29"/>
    </row>
    <row r="30" spans="1:16" ht="15.75" customHeight="1" x14ac:dyDescent="0.2">
      <c r="A30" s="97" t="s">
        <v>181</v>
      </c>
      <c r="B30" s="199" t="s">
        <v>226</v>
      </c>
      <c r="C30" s="200"/>
      <c r="D30" s="95"/>
      <c r="E30" s="94" t="s">
        <v>179</v>
      </c>
      <c r="F30" s="94" t="s">
        <v>180</v>
      </c>
      <c r="N30"/>
      <c r="O30"/>
    </row>
    <row r="31" spans="1:16" ht="24" customHeight="1" x14ac:dyDescent="0.2">
      <c r="A31" s="153"/>
      <c r="B31" s="192">
        <f>FLOOR((A31*25.4+0.7),1)</f>
        <v>0</v>
      </c>
      <c r="C31" s="193"/>
      <c r="D31" s="15"/>
      <c r="E31" s="154"/>
      <c r="F31" s="154">
        <f>E31*25.4</f>
        <v>0</v>
      </c>
      <c r="G31" s="15"/>
    </row>
    <row r="32" spans="1:16" ht="6.75" customHeight="1" x14ac:dyDescent="0.2">
      <c r="A32" s="24"/>
      <c r="B32" s="24"/>
      <c r="C32" s="15"/>
      <c r="D32" s="15"/>
      <c r="E32" s="24"/>
      <c r="F32" s="15"/>
      <c r="G32" s="15"/>
      <c r="H32" s="24"/>
      <c r="I32" s="15"/>
    </row>
    <row r="33" spans="1:10" ht="24" customHeight="1" x14ac:dyDescent="0.2">
      <c r="A33" s="22" t="s">
        <v>142</v>
      </c>
      <c r="B33" s="180"/>
      <c r="C33" s="181"/>
      <c r="D33" s="15"/>
      <c r="E33" s="22" t="s">
        <v>53</v>
      </c>
      <c r="F33" s="155"/>
      <c r="G33" s="15"/>
      <c r="H33" s="50" t="s">
        <v>118</v>
      </c>
      <c r="I33" s="180"/>
      <c r="J33" s="181"/>
    </row>
    <row r="34" spans="1:10" ht="6.75" customHeight="1" x14ac:dyDescent="0.2">
      <c r="A34" s="24"/>
      <c r="B34" s="24"/>
      <c r="C34" s="15"/>
      <c r="D34" s="15"/>
      <c r="E34" s="24"/>
      <c r="F34" s="15"/>
      <c r="G34" s="15"/>
      <c r="H34" s="15"/>
      <c r="I34" s="15"/>
    </row>
    <row r="35" spans="1:10" ht="24" customHeight="1" x14ac:dyDescent="0.2">
      <c r="A35" s="21" t="s">
        <v>233</v>
      </c>
      <c r="B35" s="177"/>
      <c r="C35" s="194"/>
      <c r="D35" s="15"/>
      <c r="E35" s="21" t="s">
        <v>88</v>
      </c>
      <c r="F35" s="182" t="b">
        <f>IF(B35="Sample","N/A",IF(B35="Print Layout (Die Drawing)","N/A",IF(B35="Existing Item","Indicate Movex # here",IF(B35="Other (See Comments)","N/A"))))</f>
        <v>0</v>
      </c>
      <c r="G35" s="182"/>
      <c r="H35" s="182"/>
      <c r="I35" s="182"/>
      <c r="J35" s="183"/>
    </row>
    <row r="36" spans="1:10" ht="6.75" customHeight="1" x14ac:dyDescent="0.2">
      <c r="A36" s="24"/>
      <c r="B36" s="24"/>
      <c r="C36" s="31"/>
      <c r="D36" s="15"/>
      <c r="E36" s="24"/>
      <c r="F36" s="15"/>
      <c r="G36" s="15"/>
      <c r="H36" s="15"/>
      <c r="I36" s="15"/>
    </row>
    <row r="37" spans="1:10" ht="24" customHeight="1" x14ac:dyDescent="0.2">
      <c r="A37" s="21" t="s">
        <v>4</v>
      </c>
      <c r="B37" s="177"/>
      <c r="C37" s="194"/>
      <c r="D37" s="16"/>
      <c r="E37" s="21" t="s">
        <v>51</v>
      </c>
      <c r="F37" s="102" t="b">
        <f>IF(B37="Yes","N/A",IF(B37="No","Indicate Position Here"))</f>
        <v>0</v>
      </c>
      <c r="G37" s="77"/>
      <c r="H37" s="195" t="s">
        <v>396</v>
      </c>
      <c r="I37" s="196"/>
      <c r="J37" s="197"/>
    </row>
    <row r="38" spans="1:10" ht="6.75" customHeight="1" x14ac:dyDescent="0.2">
      <c r="A38" s="24"/>
      <c r="B38" s="24"/>
      <c r="C38" s="15"/>
      <c r="D38" s="15"/>
      <c r="E38" s="15"/>
      <c r="F38" s="15"/>
      <c r="G38" s="15"/>
      <c r="H38" s="15"/>
      <c r="I38" s="15"/>
    </row>
    <row r="39" spans="1:10" ht="24.75" customHeight="1" x14ac:dyDescent="0.2">
      <c r="A39" s="21" t="s">
        <v>5</v>
      </c>
      <c r="B39" s="177"/>
      <c r="C39" s="194"/>
      <c r="D39" s="15"/>
      <c r="E39" s="28" t="s">
        <v>48</v>
      </c>
      <c r="F39" s="155"/>
      <c r="G39" s="55"/>
      <c r="H39" s="21" t="s">
        <v>256</v>
      </c>
      <c r="I39" s="174"/>
      <c r="J39" s="103" t="s">
        <v>222</v>
      </c>
    </row>
    <row r="40" spans="1:10" ht="6.75" customHeight="1" x14ac:dyDescent="0.2">
      <c r="A40" s="24"/>
      <c r="B40" s="24"/>
      <c r="C40" s="15"/>
      <c r="D40" s="15"/>
      <c r="E40" s="15"/>
      <c r="F40" s="15"/>
      <c r="G40" s="15"/>
      <c r="H40" s="15"/>
      <c r="I40" s="15"/>
    </row>
    <row r="41" spans="1:10" ht="21.75" customHeight="1" x14ac:dyDescent="0.2">
      <c r="A41" s="184" t="s">
        <v>244</v>
      </c>
      <c r="B41" s="184"/>
      <c r="C41" s="184"/>
      <c r="D41" s="184"/>
      <c r="E41" s="184"/>
      <c r="F41" s="184"/>
      <c r="G41" s="184"/>
      <c r="H41" s="184"/>
      <c r="I41" s="18"/>
      <c r="J41" s="18"/>
    </row>
    <row r="42" spans="1:10" ht="6.75" customHeight="1" x14ac:dyDescent="0.2">
      <c r="A42" s="24"/>
      <c r="B42" s="24"/>
      <c r="C42" s="15"/>
      <c r="D42" s="15"/>
      <c r="E42" s="15"/>
      <c r="F42" s="15"/>
      <c r="G42" s="15"/>
      <c r="H42" s="15"/>
      <c r="I42" s="15"/>
    </row>
    <row r="43" spans="1:10" ht="24" customHeight="1" x14ac:dyDescent="0.2">
      <c r="A43" s="22" t="s">
        <v>6</v>
      </c>
      <c r="B43" s="177"/>
      <c r="C43" s="194"/>
      <c r="D43" s="15"/>
      <c r="E43" s="28" t="s">
        <v>240</v>
      </c>
      <c r="F43" s="152"/>
      <c r="G43" s="15"/>
      <c r="H43" s="22" t="s">
        <v>77</v>
      </c>
      <c r="I43" s="180"/>
      <c r="J43" s="181"/>
    </row>
    <row r="44" spans="1:10" ht="6.75" customHeight="1" x14ac:dyDescent="0.2"/>
    <row r="45" spans="1:10" ht="29.1" customHeight="1" x14ac:dyDescent="0.2">
      <c r="A45" s="175"/>
      <c r="B45" s="188"/>
      <c r="C45" s="189"/>
      <c r="D45" s="188"/>
      <c r="E45" s="189"/>
      <c r="F45" s="188"/>
      <c r="G45" s="189"/>
      <c r="H45" s="175"/>
      <c r="I45" s="188"/>
      <c r="J45" s="189"/>
    </row>
    <row r="46" spans="1:10" ht="6.75" customHeight="1" x14ac:dyDescent="0.2">
      <c r="A46" s="38"/>
      <c r="B46" s="38"/>
      <c r="C46" s="38"/>
      <c r="D46" s="38"/>
      <c r="E46" s="38"/>
      <c r="F46" s="38"/>
      <c r="G46" s="38"/>
      <c r="H46" s="72"/>
    </row>
    <row r="47" spans="1:10" ht="27.75" customHeight="1" x14ac:dyDescent="0.2">
      <c r="A47" s="175"/>
      <c r="B47" s="188"/>
      <c r="C47" s="189"/>
      <c r="D47" s="188"/>
      <c r="E47" s="189"/>
      <c r="F47" s="188"/>
      <c r="G47" s="189"/>
      <c r="H47" s="175"/>
      <c r="I47" s="188"/>
      <c r="J47" s="189"/>
    </row>
    <row r="48" spans="1:10" ht="6.75" customHeight="1" x14ac:dyDescent="0.2">
      <c r="A48" s="9"/>
      <c r="B48" s="9"/>
      <c r="C48" s="9"/>
    </row>
    <row r="49" spans="1:10" ht="21.75" customHeight="1" x14ac:dyDescent="0.2">
      <c r="A49" s="3" t="s">
        <v>194</v>
      </c>
      <c r="B49" s="3"/>
      <c r="C49" s="8"/>
      <c r="D49" s="8"/>
      <c r="E49" s="8"/>
      <c r="F49" s="8"/>
      <c r="G49" s="8"/>
      <c r="H49" s="8"/>
      <c r="I49" s="8"/>
      <c r="J49" s="8"/>
    </row>
    <row r="50" spans="1:10" ht="6.75" customHeight="1" x14ac:dyDescent="0.2">
      <c r="A50" s="96"/>
      <c r="B50" s="96"/>
      <c r="C50" s="96"/>
      <c r="D50" s="96"/>
      <c r="E50" s="96"/>
      <c r="F50" s="96"/>
      <c r="G50" s="96"/>
      <c r="H50" s="96"/>
      <c r="I50" s="96"/>
      <c r="J50" s="96"/>
    </row>
    <row r="51" spans="1:10" x14ac:dyDescent="0.2">
      <c r="A51" s="176"/>
      <c r="B51" s="176"/>
      <c r="C51" s="176"/>
      <c r="D51" s="176"/>
      <c r="E51" s="176"/>
      <c r="F51" s="176"/>
      <c r="G51" s="176"/>
      <c r="H51" s="176"/>
      <c r="I51" s="176"/>
      <c r="J51" s="176"/>
    </row>
    <row r="52" spans="1:10" x14ac:dyDescent="0.2">
      <c r="A52" s="176"/>
      <c r="B52" s="176"/>
      <c r="C52" s="176"/>
      <c r="D52" s="176"/>
      <c r="E52" s="176"/>
      <c r="F52" s="176"/>
      <c r="G52" s="176"/>
      <c r="H52" s="176"/>
      <c r="I52" s="176"/>
      <c r="J52" s="176"/>
    </row>
    <row r="53" spans="1:10" x14ac:dyDescent="0.2">
      <c r="A53" s="176"/>
      <c r="B53" s="176"/>
      <c r="C53" s="176"/>
      <c r="D53" s="176"/>
      <c r="E53" s="176"/>
      <c r="F53" s="176"/>
      <c r="G53" s="176"/>
      <c r="H53" s="176"/>
      <c r="I53" s="176"/>
      <c r="J53" s="176"/>
    </row>
    <row r="54" spans="1:10" x14ac:dyDescent="0.2">
      <c r="A54" s="176"/>
      <c r="B54" s="176"/>
      <c r="C54" s="176"/>
      <c r="D54" s="176"/>
      <c r="E54" s="176"/>
      <c r="F54" s="176"/>
      <c r="G54" s="176"/>
      <c r="H54" s="176"/>
      <c r="I54" s="176"/>
      <c r="J54" s="176"/>
    </row>
    <row r="55" spans="1:10" x14ac:dyDescent="0.2">
      <c r="A55" s="176"/>
      <c r="B55" s="176"/>
      <c r="C55" s="176"/>
      <c r="D55" s="176"/>
      <c r="E55" s="176"/>
      <c r="F55" s="176"/>
      <c r="G55" s="176"/>
      <c r="H55" s="176"/>
      <c r="I55" s="176"/>
      <c r="J55" s="176"/>
    </row>
    <row r="56" spans="1:10" x14ac:dyDescent="0.2">
      <c r="A56" s="176"/>
      <c r="B56" s="176"/>
      <c r="C56" s="176"/>
      <c r="D56" s="176"/>
      <c r="E56" s="176"/>
      <c r="F56" s="176"/>
      <c r="G56" s="176"/>
      <c r="H56" s="176"/>
      <c r="I56" s="176"/>
      <c r="J56" s="176"/>
    </row>
    <row r="57" spans="1:10" x14ac:dyDescent="0.2">
      <c r="A57" s="176"/>
      <c r="B57" s="176"/>
      <c r="C57" s="176"/>
      <c r="D57" s="176"/>
      <c r="E57" s="176"/>
      <c r="F57" s="176"/>
      <c r="G57" s="176"/>
      <c r="H57" s="176"/>
      <c r="I57" s="176"/>
      <c r="J57" s="176"/>
    </row>
    <row r="58" spans="1:10" x14ac:dyDescent="0.2">
      <c r="A58" s="176"/>
      <c r="B58" s="176"/>
      <c r="C58" s="176"/>
      <c r="D58" s="176"/>
      <c r="E58" s="176"/>
      <c r="F58" s="176"/>
      <c r="G58" s="176"/>
      <c r="H58" s="176"/>
      <c r="I58" s="176"/>
      <c r="J58" s="176"/>
    </row>
    <row r="59" spans="1:10" x14ac:dyDescent="0.2">
      <c r="A59" s="176"/>
      <c r="B59" s="176"/>
      <c r="C59" s="176"/>
      <c r="D59" s="176"/>
      <c r="E59" s="176"/>
      <c r="F59" s="176"/>
      <c r="G59" s="176"/>
      <c r="H59" s="176"/>
      <c r="I59" s="176"/>
      <c r="J59" s="176"/>
    </row>
    <row r="60" spans="1:10" x14ac:dyDescent="0.2">
      <c r="A60" s="176"/>
      <c r="B60" s="176"/>
      <c r="C60" s="176"/>
      <c r="D60" s="176"/>
      <c r="E60" s="176"/>
      <c r="F60" s="176"/>
      <c r="G60" s="176"/>
      <c r="H60" s="176"/>
      <c r="I60" s="176"/>
      <c r="J60" s="176"/>
    </row>
    <row r="61" spans="1:10" x14ac:dyDescent="0.2">
      <c r="A61" s="176"/>
      <c r="B61" s="176"/>
      <c r="C61" s="176"/>
      <c r="D61" s="176"/>
      <c r="E61" s="176"/>
      <c r="F61" s="176"/>
      <c r="G61" s="176"/>
      <c r="H61" s="176"/>
      <c r="I61" s="176"/>
      <c r="J61" s="176"/>
    </row>
    <row r="62" spans="1:10" x14ac:dyDescent="0.2">
      <c r="A62" s="176"/>
      <c r="B62" s="176"/>
      <c r="C62" s="176"/>
      <c r="D62" s="176"/>
      <c r="E62" s="176"/>
      <c r="F62" s="176"/>
      <c r="G62" s="176"/>
      <c r="H62" s="176"/>
      <c r="I62" s="176"/>
      <c r="J62" s="176"/>
    </row>
    <row r="63" spans="1:10" x14ac:dyDescent="0.2">
      <c r="A63" s="176"/>
      <c r="B63" s="176"/>
      <c r="C63" s="176"/>
      <c r="D63" s="176"/>
      <c r="E63" s="176"/>
      <c r="F63" s="176"/>
      <c r="G63" s="176"/>
      <c r="H63" s="176"/>
      <c r="I63" s="176"/>
      <c r="J63" s="176"/>
    </row>
    <row r="64" spans="1:10" x14ac:dyDescent="0.2">
      <c r="A64" s="176"/>
      <c r="B64" s="176"/>
      <c r="C64" s="176"/>
      <c r="D64" s="176"/>
      <c r="E64" s="176"/>
      <c r="F64" s="176"/>
      <c r="G64" s="176"/>
      <c r="H64" s="176"/>
      <c r="I64" s="176"/>
      <c r="J64" s="176"/>
    </row>
    <row r="65" spans="1:10" x14ac:dyDescent="0.2">
      <c r="A65" s="176"/>
      <c r="B65" s="176"/>
      <c r="C65" s="176"/>
      <c r="D65" s="176"/>
      <c r="E65" s="176"/>
      <c r="F65" s="176"/>
      <c r="G65" s="176"/>
      <c r="H65" s="176"/>
      <c r="I65" s="176"/>
      <c r="J65" s="176"/>
    </row>
    <row r="66" spans="1:10" x14ac:dyDescent="0.2">
      <c r="A66" s="176"/>
      <c r="B66" s="176"/>
      <c r="C66" s="176"/>
      <c r="D66" s="176"/>
      <c r="E66" s="176"/>
      <c r="F66" s="176"/>
      <c r="G66" s="176"/>
      <c r="H66" s="176"/>
      <c r="I66" s="176"/>
      <c r="J66" s="176"/>
    </row>
    <row r="67" spans="1:10" x14ac:dyDescent="0.2">
      <c r="A67" s="176"/>
      <c r="B67" s="176"/>
      <c r="C67" s="176"/>
      <c r="D67" s="176"/>
      <c r="E67" s="176"/>
      <c r="F67" s="176"/>
      <c r="G67" s="176"/>
      <c r="H67" s="176"/>
      <c r="I67" s="176"/>
      <c r="J67" s="176"/>
    </row>
    <row r="68" spans="1:10" x14ac:dyDescent="0.2">
      <c r="A68" s="176"/>
      <c r="B68" s="176"/>
      <c r="C68" s="176"/>
      <c r="D68" s="176"/>
      <c r="E68" s="176"/>
      <c r="F68" s="176"/>
      <c r="G68" s="176"/>
      <c r="H68" s="176"/>
      <c r="I68" s="176"/>
      <c r="J68" s="176"/>
    </row>
    <row r="69" spans="1:10" x14ac:dyDescent="0.2">
      <c r="A69" s="176"/>
      <c r="B69" s="176"/>
      <c r="C69" s="176"/>
      <c r="D69" s="176"/>
      <c r="E69" s="176"/>
      <c r="F69" s="176"/>
      <c r="G69" s="176"/>
      <c r="H69" s="176"/>
      <c r="I69" s="176"/>
      <c r="J69" s="176"/>
    </row>
    <row r="70" spans="1:10" x14ac:dyDescent="0.2">
      <c r="A70" s="176"/>
      <c r="B70" s="176"/>
      <c r="C70" s="176"/>
      <c r="D70" s="176"/>
      <c r="E70" s="176"/>
      <c r="F70" s="176"/>
      <c r="G70" s="176"/>
      <c r="H70" s="176"/>
      <c r="I70" s="176"/>
      <c r="J70" s="176"/>
    </row>
    <row r="71" spans="1:10" x14ac:dyDescent="0.2">
      <c r="A71" s="176"/>
      <c r="B71" s="176"/>
      <c r="C71" s="176"/>
      <c r="D71" s="176"/>
      <c r="E71" s="176"/>
      <c r="F71" s="176"/>
      <c r="G71" s="176"/>
      <c r="H71" s="176"/>
      <c r="I71" s="176"/>
      <c r="J71" s="176"/>
    </row>
    <row r="72" spans="1:10" x14ac:dyDescent="0.2">
      <c r="A72" s="176"/>
      <c r="B72" s="176"/>
      <c r="C72" s="176"/>
      <c r="D72" s="176"/>
      <c r="E72" s="176"/>
      <c r="F72" s="176"/>
      <c r="G72" s="176"/>
      <c r="H72" s="176"/>
      <c r="I72" s="176"/>
      <c r="J72" s="176"/>
    </row>
    <row r="73" spans="1:10" x14ac:dyDescent="0.2">
      <c r="A73" s="176"/>
      <c r="B73" s="176"/>
      <c r="C73" s="176"/>
      <c r="D73" s="176"/>
      <c r="E73" s="176"/>
      <c r="F73" s="176"/>
      <c r="G73" s="176"/>
      <c r="H73" s="176"/>
      <c r="I73" s="176"/>
      <c r="J73" s="176"/>
    </row>
    <row r="74" spans="1:10" x14ac:dyDescent="0.2">
      <c r="A74" s="176"/>
      <c r="B74" s="176"/>
      <c r="C74" s="176"/>
      <c r="D74" s="176"/>
      <c r="E74" s="176"/>
      <c r="F74" s="176"/>
      <c r="G74" s="176"/>
      <c r="H74" s="176"/>
      <c r="I74" s="176"/>
      <c r="J74" s="176"/>
    </row>
    <row r="75" spans="1:10" x14ac:dyDescent="0.2">
      <c r="A75" s="176"/>
      <c r="B75" s="176"/>
      <c r="C75" s="176"/>
      <c r="D75" s="176"/>
      <c r="E75" s="176"/>
      <c r="F75" s="176"/>
      <c r="G75" s="176"/>
      <c r="H75" s="176"/>
      <c r="I75" s="176"/>
      <c r="J75" s="176"/>
    </row>
    <row r="76" spans="1:10" x14ac:dyDescent="0.2">
      <c r="A76" s="176"/>
      <c r="B76" s="176"/>
      <c r="C76" s="176"/>
      <c r="D76" s="176"/>
      <c r="E76" s="176"/>
      <c r="F76" s="176"/>
      <c r="G76" s="176"/>
      <c r="H76" s="176"/>
      <c r="I76" s="176"/>
      <c r="J76" s="176"/>
    </row>
    <row r="77" spans="1:10" x14ac:dyDescent="0.2">
      <c r="A77" s="176"/>
      <c r="B77" s="176"/>
      <c r="C77" s="176"/>
      <c r="D77" s="176"/>
      <c r="E77" s="176"/>
      <c r="F77" s="176"/>
      <c r="G77" s="176"/>
      <c r="H77" s="176"/>
      <c r="I77" s="176"/>
      <c r="J77" s="176"/>
    </row>
    <row r="78" spans="1:10" x14ac:dyDescent="0.2">
      <c r="A78" s="176"/>
      <c r="B78" s="176"/>
      <c r="C78" s="176"/>
      <c r="D78" s="176"/>
      <c r="E78" s="176"/>
      <c r="F78" s="176"/>
      <c r="G78" s="176"/>
      <c r="H78" s="176"/>
      <c r="I78" s="176"/>
      <c r="J78" s="176"/>
    </row>
    <row r="79" spans="1:10" x14ac:dyDescent="0.2">
      <c r="A79" s="176"/>
      <c r="B79" s="176"/>
      <c r="C79" s="176"/>
      <c r="D79" s="176"/>
      <c r="E79" s="176"/>
      <c r="F79" s="176"/>
      <c r="G79" s="176"/>
      <c r="H79" s="176"/>
      <c r="I79" s="176"/>
      <c r="J79" s="176"/>
    </row>
    <row r="80" spans="1:10" x14ac:dyDescent="0.2">
      <c r="A80" s="176"/>
      <c r="B80" s="176"/>
      <c r="C80" s="176"/>
      <c r="D80" s="176"/>
      <c r="E80" s="176"/>
      <c r="F80" s="176"/>
      <c r="G80" s="176"/>
      <c r="H80" s="176"/>
      <c r="I80" s="176"/>
      <c r="J80" s="176"/>
    </row>
    <row r="81" spans="1:10" x14ac:dyDescent="0.2">
      <c r="A81" s="176"/>
      <c r="B81" s="176"/>
      <c r="C81" s="176"/>
      <c r="D81" s="176"/>
      <c r="E81" s="176"/>
      <c r="F81" s="176"/>
      <c r="G81" s="176"/>
      <c r="H81" s="176"/>
      <c r="I81" s="176"/>
      <c r="J81" s="176"/>
    </row>
    <row r="82" spans="1:10" x14ac:dyDescent="0.2">
      <c r="A82" s="176"/>
      <c r="B82" s="176"/>
      <c r="C82" s="176"/>
      <c r="D82" s="176"/>
      <c r="E82" s="176"/>
      <c r="F82" s="176"/>
      <c r="G82" s="176"/>
      <c r="H82" s="176"/>
      <c r="I82" s="176"/>
      <c r="J82" s="176"/>
    </row>
    <row r="83" spans="1:10" x14ac:dyDescent="0.2">
      <c r="A83" s="176"/>
      <c r="B83" s="176"/>
      <c r="C83" s="176"/>
      <c r="D83" s="176"/>
      <c r="E83" s="176"/>
      <c r="F83" s="176"/>
      <c r="G83" s="176"/>
      <c r="H83" s="176"/>
      <c r="I83" s="176"/>
      <c r="J83" s="176"/>
    </row>
    <row r="84" spans="1:10" x14ac:dyDescent="0.2">
      <c r="A84" s="176"/>
      <c r="B84" s="176"/>
      <c r="C84" s="176"/>
      <c r="D84" s="176"/>
      <c r="E84" s="176"/>
      <c r="F84" s="176"/>
      <c r="G84" s="176"/>
      <c r="H84" s="176"/>
      <c r="I84" s="176"/>
      <c r="J84" s="176"/>
    </row>
    <row r="85" spans="1:10" x14ac:dyDescent="0.2">
      <c r="A85" s="176"/>
      <c r="B85" s="176"/>
      <c r="C85" s="176"/>
      <c r="D85" s="176"/>
      <c r="E85" s="176"/>
      <c r="F85" s="176"/>
      <c r="G85" s="176"/>
      <c r="H85" s="176"/>
      <c r="I85" s="176"/>
      <c r="J85" s="176"/>
    </row>
    <row r="86" spans="1:10" x14ac:dyDescent="0.2">
      <c r="A86" s="176"/>
      <c r="B86" s="176"/>
      <c r="C86" s="176"/>
      <c r="D86" s="176"/>
      <c r="E86" s="176"/>
      <c r="F86" s="176"/>
      <c r="G86" s="176"/>
      <c r="H86" s="176"/>
      <c r="I86" s="176"/>
      <c r="J86" s="176"/>
    </row>
    <row r="87" spans="1:10" x14ac:dyDescent="0.2">
      <c r="A87" s="176"/>
      <c r="B87" s="176"/>
      <c r="C87" s="176"/>
      <c r="D87" s="176"/>
      <c r="E87" s="176"/>
      <c r="F87" s="176"/>
      <c r="G87" s="176"/>
      <c r="H87" s="176"/>
      <c r="I87" s="176"/>
      <c r="J87" s="176"/>
    </row>
    <row r="88" spans="1:10" x14ac:dyDescent="0.2">
      <c r="A88" s="176"/>
      <c r="B88" s="176"/>
      <c r="C88" s="176"/>
      <c r="D88" s="176"/>
      <c r="E88" s="176"/>
      <c r="F88" s="176"/>
      <c r="G88" s="176"/>
      <c r="H88" s="176"/>
      <c r="I88" s="176"/>
      <c r="J88" s="176"/>
    </row>
    <row r="89" spans="1:10" x14ac:dyDescent="0.2">
      <c r="A89" s="176"/>
      <c r="B89" s="176"/>
      <c r="C89" s="176"/>
      <c r="D89" s="176"/>
      <c r="E89" s="176"/>
      <c r="F89" s="176"/>
      <c r="G89" s="176"/>
      <c r="H89" s="176"/>
      <c r="I89" s="176"/>
      <c r="J89" s="176"/>
    </row>
    <row r="90" spans="1:10" x14ac:dyDescent="0.2">
      <c r="A90" s="176"/>
      <c r="B90" s="176"/>
      <c r="C90" s="176"/>
      <c r="D90" s="176"/>
      <c r="E90" s="176"/>
      <c r="F90" s="176"/>
      <c r="G90" s="176"/>
      <c r="H90" s="176"/>
      <c r="I90" s="176"/>
      <c r="J90" s="176"/>
    </row>
    <row r="91" spans="1:10" x14ac:dyDescent="0.2">
      <c r="A91" s="176"/>
      <c r="B91" s="176"/>
      <c r="C91" s="176"/>
      <c r="D91" s="176"/>
      <c r="E91" s="176"/>
      <c r="F91" s="176"/>
      <c r="G91" s="176"/>
      <c r="H91" s="176"/>
      <c r="I91" s="176"/>
      <c r="J91" s="176"/>
    </row>
    <row r="92" spans="1:10" x14ac:dyDescent="0.2">
      <c r="A92" s="176"/>
      <c r="B92" s="176"/>
      <c r="C92" s="176"/>
      <c r="D92" s="176"/>
      <c r="E92" s="176"/>
      <c r="F92" s="176"/>
      <c r="G92" s="176"/>
      <c r="H92" s="176"/>
      <c r="I92" s="176"/>
      <c r="J92" s="176"/>
    </row>
    <row r="93" spans="1:10" x14ac:dyDescent="0.2">
      <c r="A93" s="176"/>
      <c r="B93" s="176"/>
      <c r="C93" s="176"/>
      <c r="D93" s="176"/>
      <c r="E93" s="176"/>
      <c r="F93" s="176"/>
      <c r="G93" s="176"/>
      <c r="H93" s="176"/>
      <c r="I93" s="176"/>
      <c r="J93" s="176"/>
    </row>
    <row r="94" spans="1:10" x14ac:dyDescent="0.2">
      <c r="A94" s="176"/>
      <c r="B94" s="176"/>
      <c r="C94" s="176"/>
      <c r="D94" s="176"/>
      <c r="E94" s="176"/>
      <c r="F94" s="176"/>
      <c r="G94" s="176"/>
      <c r="H94" s="176"/>
      <c r="I94" s="176"/>
      <c r="J94" s="176"/>
    </row>
    <row r="95" spans="1:10" x14ac:dyDescent="0.2">
      <c r="A95" s="176"/>
      <c r="B95" s="176"/>
      <c r="C95" s="176"/>
      <c r="D95" s="176"/>
      <c r="E95" s="176"/>
      <c r="F95" s="176"/>
      <c r="G95" s="176"/>
      <c r="H95" s="176"/>
      <c r="I95" s="176"/>
      <c r="J95" s="176"/>
    </row>
    <row r="96" spans="1:10" x14ac:dyDescent="0.2">
      <c r="A96" s="176"/>
      <c r="B96" s="176"/>
      <c r="C96" s="176"/>
      <c r="D96" s="176"/>
      <c r="E96" s="176"/>
      <c r="F96" s="176"/>
      <c r="G96" s="176"/>
      <c r="H96" s="176"/>
      <c r="I96" s="176"/>
      <c r="J96" s="176"/>
    </row>
    <row r="97" spans="1:10" x14ac:dyDescent="0.2">
      <c r="A97" s="176"/>
      <c r="B97" s="176"/>
      <c r="C97" s="176"/>
      <c r="D97" s="176"/>
      <c r="E97" s="176"/>
      <c r="F97" s="176"/>
      <c r="G97" s="176"/>
      <c r="H97" s="176"/>
      <c r="I97" s="176"/>
      <c r="J97" s="176"/>
    </row>
    <row r="98" spans="1:10" x14ac:dyDescent="0.2">
      <c r="A98" s="176"/>
      <c r="B98" s="176"/>
      <c r="C98" s="176"/>
      <c r="D98" s="176"/>
      <c r="E98" s="176"/>
      <c r="F98" s="176"/>
      <c r="G98" s="176"/>
      <c r="H98" s="176"/>
      <c r="I98" s="176"/>
      <c r="J98" s="176"/>
    </row>
    <row r="99" spans="1:10" x14ac:dyDescent="0.2">
      <c r="A99" s="176"/>
      <c r="B99" s="176"/>
      <c r="C99" s="176"/>
      <c r="D99" s="176"/>
      <c r="E99" s="176"/>
      <c r="F99" s="176"/>
      <c r="G99" s="176"/>
      <c r="H99" s="176"/>
      <c r="I99" s="176"/>
      <c r="J99" s="176"/>
    </row>
    <row r="100" spans="1:10" x14ac:dyDescent="0.2">
      <c r="A100" s="176"/>
      <c r="B100" s="176"/>
      <c r="C100" s="176"/>
      <c r="D100" s="176"/>
      <c r="E100" s="176"/>
      <c r="F100" s="176"/>
      <c r="G100" s="176"/>
      <c r="H100" s="176"/>
      <c r="I100" s="176"/>
      <c r="J100" s="176"/>
    </row>
    <row r="101" spans="1:10" x14ac:dyDescent="0.2">
      <c r="A101" s="176"/>
      <c r="B101" s="176"/>
      <c r="C101" s="176"/>
      <c r="D101" s="176"/>
      <c r="E101" s="176"/>
      <c r="F101" s="176"/>
      <c r="G101" s="176"/>
      <c r="H101" s="176"/>
      <c r="I101" s="176"/>
      <c r="J101" s="176"/>
    </row>
    <row r="102" spans="1:10" x14ac:dyDescent="0.2">
      <c r="A102" s="176"/>
      <c r="B102" s="176"/>
      <c r="C102" s="176"/>
      <c r="D102" s="176"/>
      <c r="E102" s="176"/>
      <c r="F102" s="176"/>
      <c r="G102" s="176"/>
      <c r="H102" s="176"/>
      <c r="I102" s="176"/>
      <c r="J102" s="176"/>
    </row>
    <row r="103" spans="1:10" x14ac:dyDescent="0.2">
      <c r="A103" s="176"/>
      <c r="B103" s="176"/>
      <c r="C103" s="176"/>
      <c r="D103" s="176"/>
      <c r="E103" s="176"/>
      <c r="F103" s="176"/>
      <c r="G103" s="176"/>
      <c r="H103" s="176"/>
      <c r="I103" s="176"/>
      <c r="J103" s="176"/>
    </row>
    <row r="104" spans="1:10" x14ac:dyDescent="0.2">
      <c r="A104" s="176"/>
      <c r="B104" s="176"/>
      <c r="C104" s="176"/>
      <c r="D104" s="176"/>
      <c r="E104" s="176"/>
      <c r="F104" s="176"/>
      <c r="G104" s="176"/>
      <c r="H104" s="176"/>
      <c r="I104" s="176"/>
      <c r="J104" s="176"/>
    </row>
    <row r="105" spans="1:10" x14ac:dyDescent="0.2">
      <c r="A105" s="176"/>
      <c r="B105" s="176"/>
      <c r="C105" s="176"/>
      <c r="D105" s="176"/>
      <c r="E105" s="176"/>
      <c r="F105" s="176"/>
      <c r="G105" s="176"/>
      <c r="H105" s="176"/>
      <c r="I105" s="176"/>
      <c r="J105" s="176"/>
    </row>
  </sheetData>
  <sheetProtection sheet="1" objects="1" scenarios="1" insertHyperlinks="0"/>
  <mergeCells count="42">
    <mergeCell ref="I3:J3"/>
    <mergeCell ref="I5:J5"/>
    <mergeCell ref="I7:J7"/>
    <mergeCell ref="I9:J9"/>
    <mergeCell ref="B17:C17"/>
    <mergeCell ref="B3:F3"/>
    <mergeCell ref="B5:F5"/>
    <mergeCell ref="B7:F7"/>
    <mergeCell ref="B9:F9"/>
    <mergeCell ref="A27:C27"/>
    <mergeCell ref="B30:C30"/>
    <mergeCell ref="F17:J17"/>
    <mergeCell ref="I11:J11"/>
    <mergeCell ref="B19:J19"/>
    <mergeCell ref="I15:J15"/>
    <mergeCell ref="C11:F11"/>
    <mergeCell ref="I13:J13"/>
    <mergeCell ref="B15:F15"/>
    <mergeCell ref="B31:C31"/>
    <mergeCell ref="B39:C39"/>
    <mergeCell ref="I45:J45"/>
    <mergeCell ref="B43:C43"/>
    <mergeCell ref="B37:C37"/>
    <mergeCell ref="H37:J37"/>
    <mergeCell ref="B35:C35"/>
    <mergeCell ref="B33:C33"/>
    <mergeCell ref="A51:J105"/>
    <mergeCell ref="F23:J23"/>
    <mergeCell ref="I43:J43"/>
    <mergeCell ref="I33:J33"/>
    <mergeCell ref="F35:J35"/>
    <mergeCell ref="A41:H41"/>
    <mergeCell ref="A23:C23"/>
    <mergeCell ref="D45:E45"/>
    <mergeCell ref="F45:G45"/>
    <mergeCell ref="B45:C45"/>
    <mergeCell ref="I47:J47"/>
    <mergeCell ref="B47:C47"/>
    <mergeCell ref="F27:J27"/>
    <mergeCell ref="F25:J25"/>
    <mergeCell ref="D47:E47"/>
    <mergeCell ref="F47:G47"/>
  </mergeCells>
  <phoneticPr fontId="4" type="noConversion"/>
  <conditionalFormatting sqref="G37:J37">
    <cfRule type="cellIs" dxfId="53" priority="4" stopIfTrue="1" operator="equal">
      <formula>FALSE</formula>
    </cfRule>
  </conditionalFormatting>
  <conditionalFormatting sqref="F31 B31:C31">
    <cfRule type="cellIs" dxfId="52" priority="5" stopIfTrue="1" operator="equal">
      <formula>0</formula>
    </cfRule>
  </conditionalFormatting>
  <conditionalFormatting sqref="F35:J35">
    <cfRule type="cellIs" dxfId="51" priority="6" stopIfTrue="1" operator="equal">
      <formula>FALSE</formula>
    </cfRule>
    <cfRule type="cellIs" dxfId="50" priority="7" stopIfTrue="1" operator="equal">
      <formula>"Indicate Movex # here"</formula>
    </cfRule>
  </conditionalFormatting>
  <conditionalFormatting sqref="B11">
    <cfRule type="cellIs" dxfId="49" priority="8" stopIfTrue="1" operator="equal">
      <formula>0</formula>
    </cfRule>
  </conditionalFormatting>
  <conditionalFormatting sqref="F17:J17 F37">
    <cfRule type="cellIs" dxfId="48" priority="9" stopIfTrue="1" operator="equal">
      <formula>FALSE</formula>
    </cfRule>
  </conditionalFormatting>
  <conditionalFormatting sqref="F23:J23">
    <cfRule type="cellIs" dxfId="47" priority="11" stopIfTrue="1" operator="equal">
      <formula>FALSE</formula>
    </cfRule>
    <cfRule type="cellIs" dxfId="46" priority="12" stopIfTrue="1" operator="equal">
      <formula>"Indicate Movex # here"</formula>
    </cfRule>
  </conditionalFormatting>
  <conditionalFormatting sqref="F17:J17">
    <cfRule type="containsText" dxfId="45" priority="3" operator="containsText" text="Type laser position here">
      <formula>NOT(ISERROR(SEARCH("Type laser position here",F17)))</formula>
    </cfRule>
  </conditionalFormatting>
  <conditionalFormatting sqref="F37">
    <cfRule type="containsText" dxfId="44" priority="2" operator="containsText" text="Indicate Position Here">
      <formula>NOT(ISERROR(SEARCH("Indicate Position Here",F37)))</formula>
    </cfRule>
  </conditionalFormatting>
  <conditionalFormatting sqref="A27:C27">
    <cfRule type="containsText" dxfId="43" priority="1" operator="containsText" text="FALSE">
      <formula>NOT(ISERROR(SEARCH("FALSE",A27)))</formula>
    </cfRule>
  </conditionalFormatting>
  <dataValidations xWindow="237" yWindow="941" count="34">
    <dataValidation type="decimal" allowBlank="1" showInputMessage="1" showErrorMessage="1" prompt="Enter IMPERIAL slit roll width OR METRIC IN NEXT FIELD." sqref="E31">
      <formula1>1</formula1>
      <formula2>20000</formula2>
    </dataValidation>
    <dataValidation type="textLength" showInputMessage="1" showErrorMessage="1" sqref="I11:J11 I7:J7">
      <formula1>1</formula1>
      <formula2>20</formula2>
    </dataValidation>
    <dataValidation type="textLength" showInputMessage="1" showErrorMessage="1" sqref="I3:J3 I5:J5">
      <formula1>1</formula1>
      <formula2>15</formula2>
    </dataValidation>
    <dataValidation type="whole" showInputMessage="1" showErrorMessage="1" sqref="F33 B33:C33">
      <formula1>1</formula1>
      <formula2>100</formula2>
    </dataValidation>
    <dataValidation type="list" showInputMessage="1" showErrorMessage="1" prompt="Select Yes or No." sqref="F39">
      <formula1>"Yes, No"</formula1>
    </dataValidation>
    <dataValidation type="list" showInputMessage="1" showErrorMessage="1" prompt="Choose print type." sqref="I43:J43">
      <formula1>"MCP, Line, Process"</formula1>
    </dataValidation>
    <dataValidation type="list" showInputMessage="1" showErrorMessage="1" prompt="Select # sides." sqref="I33:J33">
      <formula1>"1, 2"</formula1>
    </dataValidation>
    <dataValidation type="textLength" allowBlank="1" showInputMessage="1" showErrorMessage="1" prompt="If &quot;Existing Item&quot; selected, indicate Movex Item # to use for layout." sqref="F35:J35">
      <formula1>1</formula1>
      <formula2>100</formula2>
    </dataValidation>
    <dataValidation type="textLength" allowBlank="1" showInputMessage="1" showErrorMessage="1" prompt="If &quot;No&quot; selected, indicate print position" sqref="G37">
      <formula1>1</formula1>
      <formula2>200</formula2>
    </dataValidation>
    <dataValidation showInputMessage="1" showErrorMessage="1" prompt="Enter print direction # or &quot;see below&quot;." sqref="I39"/>
    <dataValidation type="list" showInputMessage="1" showErrorMessage="1" prompt="Select colour match option." sqref="B43">
      <formula1>"Sample, PMS, Other (see comments)"</formula1>
    </dataValidation>
    <dataValidation type="list" allowBlank="1" showInputMessage="1" showErrorMessage="1" prompt="Select # of colours." sqref="F43">
      <formula1>"1, 2, 3, 4, 5, 6, 7, 8, 9, 10, See Comments"</formula1>
    </dataValidation>
    <dataValidation type="textLength" showInputMessage="1" showErrorMessage="1" sqref="B15:F15">
      <formula1>1</formula1>
      <formula2>40</formula2>
    </dataValidation>
    <dataValidation type="list" showInputMessage="1" showErrorMessage="1" sqref="I15:J15">
      <formula1>"Forming, Non-Forming"</formula1>
    </dataValidation>
    <dataValidation type="list" showInputMessage="1" showErrorMessage="1" prompt="Select appropriate option from list." sqref="F27:J27">
      <formula1>"Assessed art file, Assessed art file with changes (see comments), Sample, Sample with changes (see comments), Previous art with changes (see comments), Other (see comments)"</formula1>
    </dataValidation>
    <dataValidation type="decimal" showInputMessage="1" showErrorMessage="1" prompt="Enter IMPERIAL slit roll width OR METRIC IN NEXT FIELD." sqref="A31">
      <formula1>1</formula1>
      <formula2>2000</formula2>
    </dataValidation>
    <dataValidation type="textLength" allowBlank="1" showInputMessage="1" showErrorMessage="1" prompt="Enter METRIC here if provided (overwrite conversion formula)." sqref="B31">
      <formula1>1</formula1>
      <formula2>25</formula2>
    </dataValidation>
    <dataValidation allowBlank="1" showErrorMessage="1" prompt="_x000a_" sqref="A51:J105"/>
    <dataValidation allowBlank="1" showInputMessage="1" showErrorMessage="1" prompt="If RWC, indicate movex #." sqref="F23:J23"/>
    <dataValidation type="list" showInputMessage="1" showErrorMessage="1" prompt="Select Yes or No. If &quot;No&quot;, tab to next field to enter measurement." sqref="B37">
      <formula1>"Yes, No"</formula1>
    </dataValidation>
    <dataValidation type="textLength" allowBlank="1" showInputMessage="1" showErrorMessage="1" prompt="If &quot;No&quot; selected, indicate mm from artwork to edge (not including eyemarks)." sqref="F37">
      <formula1>1</formula1>
      <formula2>200</formula2>
    </dataValidation>
    <dataValidation type="whole" showInputMessage="1" showErrorMessage="1" prompt="Total # items on sales order." sqref="I9:J9">
      <formula1>1</formula1>
      <formula2>100</formula2>
    </dataValidation>
    <dataValidation type="textLength" showInputMessage="1" showErrorMessage="1" prompt="Enter METRIC here if provided (overwrite conversion formula)." sqref="F31">
      <formula1>1</formula1>
      <formula2>20</formula2>
    </dataValidation>
    <dataValidation type="textLength" showInputMessage="1" showErrorMessage="1" sqref="B19:J19">
      <formula1>1</formula1>
      <formula2>80</formula2>
    </dataValidation>
    <dataValidation type="textLength" showInputMessage="1" showErrorMessage="1" sqref="B5:F5 B9:F9">
      <formula1>1</formula1>
      <formula2>50</formula2>
    </dataValidation>
    <dataValidation type="list" showInputMessage="1" showErrorMessage="1" prompt="Select Yes or No." sqref="B17:C17">
      <formula1>"Yes, No"</formula1>
    </dataValidation>
    <dataValidation type="textLength" showInputMessage="1" showErrorMessage="1" sqref="F17:J17">
      <formula1>1</formula1>
      <formula2>50</formula2>
    </dataValidation>
    <dataValidation type="list" allowBlank="1" showInputMessage="1" showErrorMessage="1" prompt="Select appropriate option." sqref="B39:C39">
      <formula1>"Registered, Continuous"</formula1>
    </dataValidation>
    <dataValidation type="list" showInputMessage="1" showErrorMessage="1" prompt="Surface or Reverse?" sqref="F25:J25">
      <formula1>"Sandwich, Sandwich with Matte OL, Surface with OL, Surface without OL,Surface at Pouch,Sandwich - 2 pass,Sandwich with Matte OL - 2 pass,Sandwich with Surface AND Reverse Plates,Print readable from sealable side (Surface Plates)"</formula1>
    </dataValidation>
    <dataValidation type="textLength" showInputMessage="1" showErrorMessage="1" sqref="C11:F11">
      <formula1>1</formula1>
      <formula2>50</formula2>
    </dataValidation>
    <dataValidation type="textLength" showInputMessage="1" showErrorMessage="1" sqref="B7:F7">
      <formula1>1</formula1>
      <formula2>40</formula2>
    </dataValidation>
    <dataValidation type="list" showInputMessage="1" showErrorMessage="1" prompt="Select appropriate option. If &quot;Existing Item&quot;, please indicate Movex # in the next field." sqref="B35:C35">
      <formula1>"Existing Item, Sample, Print Layout (Die Drawing), Other (See Comments)"</formula1>
    </dataValidation>
    <dataValidation type="textLength" allowBlank="1" showInputMessage="1" showErrorMessage="1" sqref="I13:J13">
      <formula1>1</formula1>
      <formula2>20</formula2>
    </dataValidation>
    <dataValidation type="textLength" allowBlank="1" showInputMessage="1" showErrorMessage="1" sqref="A45 B45:C45 D45:E45 F45:G45 H45 I45:J45 I47:J47 H47 F47:G47 D47:E47 B47:C47 A47">
      <formula1>0</formula1>
      <formula2>40</formula2>
    </dataValidation>
  </dataValidations>
  <hyperlinks>
    <hyperlink ref="J39" location="'Print Direction Chart'!A1" display="Print Direction Chart"/>
  </hyperlinks>
  <printOptions horizontalCentered="1"/>
  <pageMargins left="0.5" right="0.5" top="0.25" bottom="0.5" header="0.13" footer="0.13"/>
  <pageSetup orientation="portrait" blackAndWhite="1" horizontalDpi="4294967292" verticalDpi="4294967292" r:id="rId1"/>
  <headerFooter alignWithMargins="0">
    <oddFooter xml:space="preserve">&amp;C&amp;K000000Issue Date: 1-Sep-98  Revision: 4  Revision Date: 04-Apr-16
</oddFooter>
  </headerFooter>
  <rowBreaks count="1" manualBreakCount="1">
    <brk id="4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3" r:id="rId4" name="Group Box 265">
              <controlPr defaultSize="0" print="0" autoFill="0" autoPict="0">
                <anchor moveWithCells="1">
                  <from>
                    <xdr:col>0</xdr:col>
                    <xdr:colOff>9525</xdr:colOff>
                    <xdr:row>22</xdr:row>
                    <xdr:rowOff>0</xdr:rowOff>
                  </from>
                  <to>
                    <xdr:col>2</xdr:col>
                    <xdr:colOff>781050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5" name="Option Button 267">
              <controlPr defaultSize="0" autoFill="0" autoLine="0" autoPict="0">
                <anchor moveWithCells="1">
                  <from>
                    <xdr:col>0</xdr:col>
                    <xdr:colOff>123825</xdr:colOff>
                    <xdr:row>22</xdr:row>
                    <xdr:rowOff>66675</xdr:rowOff>
                  </from>
                  <to>
                    <xdr:col>1</xdr:col>
                    <xdr:colOff>152400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6" name="Option Button 268">
              <controlPr defaultSize="0" autoFill="0" autoLine="0" autoPict="0">
                <anchor moveWithCells="1">
                  <from>
                    <xdr:col>0</xdr:col>
                    <xdr:colOff>123825</xdr:colOff>
                    <xdr:row>23</xdr:row>
                    <xdr:rowOff>66675</xdr:rowOff>
                  </from>
                  <to>
                    <xdr:col>2</xdr:col>
                    <xdr:colOff>638175</xdr:colOff>
                    <xdr:row>24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O133"/>
  <sheetViews>
    <sheetView showGridLines="0" zoomScale="120" zoomScaleNormal="120" workbookViewId="0">
      <selection activeCell="I3" sqref="I3"/>
    </sheetView>
  </sheetViews>
  <sheetFormatPr defaultColWidth="11.42578125" defaultRowHeight="12.75" x14ac:dyDescent="0.2"/>
  <cols>
    <col min="1" max="1" width="13" customWidth="1"/>
    <col min="2" max="2" width="5.7109375" customWidth="1"/>
    <col min="3" max="3" width="9.85546875" customWidth="1"/>
    <col min="4" max="4" width="1" customWidth="1"/>
    <col min="5" max="5" width="14.28515625" customWidth="1"/>
    <col min="6" max="6" width="14.42578125" customWidth="1"/>
    <col min="7" max="7" width="1" customWidth="1"/>
    <col min="8" max="8" width="14.28515625" customWidth="1"/>
    <col min="9" max="9" width="15.85546875" customWidth="1"/>
    <col min="10" max="10" width="11.42578125" style="76" hidden="1" customWidth="1"/>
  </cols>
  <sheetData>
    <row r="1" spans="1:10" s="6" customFormat="1" ht="17.100000000000001" customHeight="1" x14ac:dyDescent="0.2">
      <c r="A1" s="3" t="s">
        <v>208</v>
      </c>
      <c r="B1" s="3"/>
      <c r="C1" s="4"/>
      <c r="D1" s="4"/>
      <c r="E1" s="4"/>
      <c r="F1" s="4"/>
      <c r="G1" s="4"/>
      <c r="H1" s="4"/>
      <c r="I1" s="4"/>
      <c r="J1" s="70"/>
    </row>
    <row r="2" spans="1:10" s="6" customFormat="1" ht="5.0999999999999996" customHeight="1" x14ac:dyDescent="0.2">
      <c r="A2" s="11"/>
      <c r="B2" s="11"/>
      <c r="C2" s="11"/>
      <c r="D2" s="11"/>
      <c r="E2" s="11"/>
      <c r="F2" s="11"/>
      <c r="G2" s="11"/>
      <c r="H2" s="11"/>
      <c r="I2" s="11"/>
      <c r="J2" s="70"/>
    </row>
    <row r="3" spans="1:10" s="6" customFormat="1" ht="17.100000000000001" customHeight="1" x14ac:dyDescent="0.2">
      <c r="A3" s="89" t="s">
        <v>178</v>
      </c>
      <c r="B3" s="255" t="str">
        <f>IF(J3=1,"New Item",IF(J3=2,"RWC",IF(J3=0," ")))</f>
        <v xml:space="preserve"> </v>
      </c>
      <c r="C3" s="256"/>
      <c r="D3" s="33"/>
      <c r="E3" s="23" t="s">
        <v>117</v>
      </c>
      <c r="F3" s="140">
        <f>'Roll Stock Checklist'!I7</f>
        <v>0</v>
      </c>
      <c r="G3" s="12"/>
      <c r="H3" s="37" t="s">
        <v>33</v>
      </c>
      <c r="I3" s="150"/>
      <c r="J3" s="74">
        <v>0</v>
      </c>
    </row>
    <row r="4" spans="1:10" s="6" customFormat="1" ht="5.0999999999999996" customHeight="1" x14ac:dyDescent="0.2">
      <c r="A4" s="27"/>
      <c r="B4" s="27"/>
      <c r="C4" s="12"/>
      <c r="D4" s="12"/>
      <c r="E4" s="12"/>
      <c r="F4" s="12"/>
      <c r="G4" s="12"/>
      <c r="H4" s="27"/>
      <c r="I4" s="12"/>
      <c r="J4" s="70"/>
    </row>
    <row r="5" spans="1:10" s="6" customFormat="1" ht="17.100000000000001" customHeight="1" x14ac:dyDescent="0.2">
      <c r="A5" s="25" t="s">
        <v>199</v>
      </c>
      <c r="B5" s="257" t="b">
        <f>IF(B3="New Item","All new plates")</f>
        <v>0</v>
      </c>
      <c r="C5" s="258"/>
      <c r="D5" s="68"/>
      <c r="E5" s="59" t="s">
        <v>109</v>
      </c>
      <c r="F5" s="106" t="b">
        <f>IF(B3="New Item","N/A")</f>
        <v>0</v>
      </c>
      <c r="G5" s="12"/>
      <c r="H5" s="23" t="s">
        <v>198</v>
      </c>
      <c r="I5" s="105"/>
      <c r="J5" s="70"/>
    </row>
    <row r="6" spans="1:10" s="6" customFormat="1" ht="5.0999999999999996" customHeight="1" x14ac:dyDescent="0.2">
      <c r="A6" s="27"/>
      <c r="B6" s="27"/>
      <c r="C6" s="12"/>
      <c r="D6" s="12"/>
      <c r="E6" s="12"/>
      <c r="F6" s="12"/>
      <c r="G6" s="12"/>
      <c r="H6" s="27"/>
      <c r="I6" s="12"/>
      <c r="J6" s="70"/>
    </row>
    <row r="7" spans="1:10" s="6" customFormat="1" ht="17.100000000000001" customHeight="1" x14ac:dyDescent="0.2">
      <c r="A7" s="90" t="s">
        <v>108</v>
      </c>
      <c r="B7" s="259"/>
      <c r="C7" s="260"/>
      <c r="D7" s="60"/>
      <c r="E7" s="120" t="s">
        <v>24</v>
      </c>
      <c r="F7" s="118"/>
      <c r="G7" s="12"/>
      <c r="H7" s="119" t="s">
        <v>134</v>
      </c>
      <c r="I7" s="115"/>
      <c r="J7" s="70"/>
    </row>
    <row r="8" spans="1:10" s="6" customFormat="1" ht="5.0999999999999996" customHeight="1" x14ac:dyDescent="0.2">
      <c r="A8" s="27"/>
      <c r="B8" s="27"/>
      <c r="C8" s="12"/>
      <c r="D8" s="12"/>
      <c r="E8" s="12"/>
      <c r="F8" s="12"/>
      <c r="G8" s="12"/>
      <c r="H8" s="27"/>
      <c r="I8" s="12"/>
      <c r="J8" s="70"/>
    </row>
    <row r="9" spans="1:10" s="6" customFormat="1" ht="17.100000000000001" customHeight="1" x14ac:dyDescent="0.2">
      <c r="A9" s="25" t="s">
        <v>54</v>
      </c>
      <c r="B9" s="242">
        <f>'Roll Stock Checklist'!B7</f>
        <v>0</v>
      </c>
      <c r="C9" s="242"/>
      <c r="D9" s="242"/>
      <c r="E9" s="242"/>
      <c r="F9" s="243"/>
      <c r="G9" s="12"/>
      <c r="H9" s="23" t="s">
        <v>105</v>
      </c>
      <c r="I9" s="141">
        <f>'Roll Stock Checklist'!B5</f>
        <v>0</v>
      </c>
      <c r="J9" s="70"/>
    </row>
    <row r="10" spans="1:10" s="6" customFormat="1" ht="5.0999999999999996" customHeight="1" x14ac:dyDescent="0.2">
      <c r="A10" s="27"/>
      <c r="B10" s="27"/>
      <c r="C10" s="12"/>
      <c r="D10" s="12"/>
      <c r="E10" s="12"/>
      <c r="F10" s="12"/>
      <c r="G10" s="12"/>
      <c r="H10" s="27"/>
      <c r="I10" s="12"/>
      <c r="J10" s="70"/>
    </row>
    <row r="11" spans="1:10" s="6" customFormat="1" ht="17.100000000000001" customHeight="1" x14ac:dyDescent="0.2">
      <c r="A11" s="22" t="s">
        <v>131</v>
      </c>
      <c r="B11" s="122"/>
      <c r="C11" s="261">
        <f>'Roll Stock Checklist'!C11</f>
        <v>0</v>
      </c>
      <c r="D11" s="261"/>
      <c r="E11" s="261"/>
      <c r="F11" s="262"/>
      <c r="G11" s="12"/>
      <c r="H11" s="23" t="s">
        <v>121</v>
      </c>
      <c r="I11" s="143">
        <f>'Roll Stock Checklist'!I11</f>
        <v>0</v>
      </c>
      <c r="J11" s="70"/>
    </row>
    <row r="12" spans="1:10" s="6" customFormat="1" ht="5.0999999999999996" customHeight="1" x14ac:dyDescent="0.2">
      <c r="A12" s="26"/>
      <c r="B12" s="26"/>
      <c r="C12" s="34"/>
      <c r="D12" s="34"/>
      <c r="E12" s="34"/>
      <c r="F12" s="34"/>
      <c r="G12" s="14"/>
      <c r="H12" s="26"/>
      <c r="I12" s="35"/>
      <c r="J12" s="70"/>
    </row>
    <row r="13" spans="1:10" s="6" customFormat="1" ht="17.100000000000001" customHeight="1" x14ac:dyDescent="0.2">
      <c r="A13" s="58" t="s">
        <v>234</v>
      </c>
      <c r="B13" s="251">
        <f>'Roll Stock Checklist'!B19</f>
        <v>0</v>
      </c>
      <c r="C13" s="251"/>
      <c r="D13" s="251"/>
      <c r="E13" s="251"/>
      <c r="F13" s="252"/>
      <c r="G13" s="14"/>
      <c r="H13" s="83" t="s">
        <v>62</v>
      </c>
      <c r="I13" s="135">
        <f>'Roll Stock Checklist'!I13</f>
        <v>0</v>
      </c>
      <c r="J13" s="70"/>
    </row>
    <row r="14" spans="1:10" s="6" customFormat="1" ht="5.0999999999999996" customHeight="1" x14ac:dyDescent="0.2">
      <c r="A14" s="26"/>
      <c r="B14" s="26"/>
      <c r="C14" s="34"/>
      <c r="D14" s="34"/>
      <c r="E14" s="34"/>
      <c r="F14" s="34"/>
      <c r="G14" s="14"/>
      <c r="H14" s="26"/>
      <c r="I14" s="35"/>
      <c r="J14" s="70"/>
    </row>
    <row r="15" spans="1:10" s="6" customFormat="1" ht="17.100000000000001" customHeight="1" x14ac:dyDescent="0.2">
      <c r="A15" s="58" t="s">
        <v>1</v>
      </c>
      <c r="B15" s="251">
        <f>'Roll Stock Checklist'!B15</f>
        <v>0</v>
      </c>
      <c r="C15" s="251"/>
      <c r="D15" s="251"/>
      <c r="E15" s="251"/>
      <c r="F15" s="252"/>
      <c r="G15" s="14"/>
      <c r="H15" s="23" t="s">
        <v>36</v>
      </c>
      <c r="I15" s="107">
        <f>'Roll Stock Checklist'!I9</f>
        <v>0</v>
      </c>
      <c r="J15" s="70"/>
    </row>
    <row r="16" spans="1:10" s="6" customFormat="1" ht="5.0999999999999996" customHeight="1" x14ac:dyDescent="0.2">
      <c r="A16" s="26"/>
      <c r="B16" s="26"/>
      <c r="C16" s="34"/>
      <c r="D16" s="34"/>
      <c r="E16" s="34"/>
      <c r="F16" s="34"/>
      <c r="G16" s="14"/>
      <c r="H16" s="26"/>
      <c r="I16" s="35"/>
      <c r="J16" s="70"/>
    </row>
    <row r="17" spans="1:15" s="6" customFormat="1" ht="17.100000000000001" customHeight="1" x14ac:dyDescent="0.2">
      <c r="A17" s="25" t="s">
        <v>169</v>
      </c>
      <c r="B17" s="196" t="s">
        <v>174</v>
      </c>
      <c r="C17" s="196"/>
      <c r="D17" s="263" t="e">
        <f>VLOOKUP(F17,'GL Codes'!A1:C200,3,FALSE)</f>
        <v>#N/A</v>
      </c>
      <c r="E17" s="263"/>
      <c r="F17" s="142">
        <f>'Roll Stock Checklist'!I5</f>
        <v>0</v>
      </c>
      <c r="G17" s="12"/>
      <c r="H17" s="23" t="s">
        <v>55</v>
      </c>
      <c r="I17" s="108"/>
      <c r="J17" s="70"/>
    </row>
    <row r="18" spans="1:15" s="6" customFormat="1" ht="5.0999999999999996" customHeight="1" thickBot="1" x14ac:dyDescent="0.25">
      <c r="A18" s="27"/>
      <c r="B18" s="27"/>
      <c r="C18" s="12"/>
      <c r="D18" s="12"/>
      <c r="E18" s="12"/>
      <c r="F18" s="12"/>
      <c r="G18" s="12"/>
      <c r="H18" s="27"/>
      <c r="I18" s="12"/>
      <c r="J18" s="70"/>
    </row>
    <row r="19" spans="1:15" s="6" customFormat="1" ht="15.75" customHeight="1" thickBot="1" x14ac:dyDescent="0.25">
      <c r="A19" s="128" t="s">
        <v>275</v>
      </c>
      <c r="B19" s="129"/>
      <c r="C19" s="130"/>
      <c r="D19" s="253"/>
      <c r="E19" s="253"/>
      <c r="F19" s="253"/>
      <c r="G19" s="253"/>
      <c r="H19" s="253"/>
      <c r="I19" s="254"/>
      <c r="J19" s="70"/>
    </row>
    <row r="20" spans="1:15" s="6" customFormat="1" ht="5.0999999999999996" customHeight="1" x14ac:dyDescent="0.2">
      <c r="J20" s="70"/>
    </row>
    <row r="21" spans="1:15" s="6" customFormat="1" ht="15.75" customHeight="1" x14ac:dyDescent="0.2">
      <c r="A21" s="3" t="s">
        <v>269</v>
      </c>
      <c r="B21" s="3"/>
      <c r="C21" s="8"/>
      <c r="D21" s="8"/>
      <c r="E21" s="8"/>
      <c r="F21" s="8"/>
      <c r="G21" s="8"/>
      <c r="H21" s="8"/>
      <c r="I21" s="8"/>
    </row>
    <row r="22" spans="1:15" s="6" customFormat="1" ht="5.0999999999999996" customHeight="1" x14ac:dyDescent="0.2"/>
    <row r="23" spans="1:15" s="6" customFormat="1" ht="17.100000000000001" customHeight="1" x14ac:dyDescent="0.2">
      <c r="A23" s="22" t="s">
        <v>17</v>
      </c>
      <c r="B23" s="228">
        <f>'Roll Stock Checklist'!F27</f>
        <v>0</v>
      </c>
      <c r="C23" s="228"/>
      <c r="D23" s="228"/>
      <c r="E23" s="228"/>
      <c r="F23" s="229"/>
      <c r="G23"/>
      <c r="H23" s="214" t="s">
        <v>211</v>
      </c>
      <c r="I23" s="215"/>
    </row>
    <row r="24" spans="1:15" s="6" customFormat="1" ht="5.0999999999999996" customHeight="1" x14ac:dyDescent="0.2">
      <c r="H24" s="87"/>
      <c r="I24" s="88"/>
    </row>
    <row r="25" spans="1:15" s="6" customFormat="1" ht="15.75" customHeight="1" x14ac:dyDescent="0.2">
      <c r="A25" s="22" t="s">
        <v>50</v>
      </c>
      <c r="B25" s="228">
        <f>'Roll Stock Checklist'!F25</f>
        <v>0</v>
      </c>
      <c r="C25" s="228"/>
      <c r="D25" s="228"/>
      <c r="E25" s="228"/>
      <c r="F25" s="229"/>
      <c r="G25" s="82"/>
      <c r="H25" s="216" t="b">
        <f>'Roll Stock Checklist'!F17</f>
        <v>0</v>
      </c>
      <c r="I25" s="217"/>
      <c r="O25" s="70"/>
    </row>
    <row r="26" spans="1:15" s="6" customFormat="1" ht="5.0999999999999996" customHeight="1" x14ac:dyDescent="0.2">
      <c r="A26" s="24"/>
      <c r="B26" s="24"/>
      <c r="C26" s="15"/>
      <c r="D26" s="15"/>
      <c r="E26" s="15"/>
      <c r="F26" s="15"/>
      <c r="L26" s="91"/>
    </row>
    <row r="27" spans="1:15" s="6" customFormat="1" ht="17.100000000000001" customHeight="1" x14ac:dyDescent="0.2">
      <c r="A27" s="21" t="s">
        <v>61</v>
      </c>
      <c r="B27" s="228">
        <f>'Roll Stock Checklist'!B31</f>
        <v>0</v>
      </c>
      <c r="C27" s="229"/>
      <c r="E27" s="22" t="s">
        <v>182</v>
      </c>
      <c r="F27" s="138">
        <f>'Roll Stock Checklist'!F31</f>
        <v>0</v>
      </c>
      <c r="H27" s="22" t="s">
        <v>186</v>
      </c>
      <c r="I27" s="107"/>
    </row>
    <row r="28" spans="1:15" s="6" customFormat="1" ht="5.0999999999999996" customHeight="1" x14ac:dyDescent="0.2">
      <c r="A28" s="24"/>
      <c r="B28" s="24"/>
      <c r="C28" s="15"/>
      <c r="D28" s="15"/>
      <c r="E28" s="15"/>
      <c r="F28" s="15"/>
      <c r="G28" s="15"/>
      <c r="H28" s="15"/>
      <c r="I28" s="15"/>
    </row>
    <row r="29" spans="1:15" s="6" customFormat="1" ht="17.100000000000001" customHeight="1" x14ac:dyDescent="0.2">
      <c r="A29" s="22" t="s">
        <v>138</v>
      </c>
      <c r="B29" s="228">
        <f>'Roll Stock Checklist'!F33</f>
        <v>0</v>
      </c>
      <c r="C29" s="229"/>
      <c r="E29" s="22" t="s">
        <v>139</v>
      </c>
      <c r="F29" s="137">
        <f>'Roll Stock Checklist'!B33</f>
        <v>0</v>
      </c>
      <c r="H29" s="22" t="s">
        <v>37</v>
      </c>
      <c r="I29" s="136" t="e">
        <f>(((9.8806/I27)*100)-100)-(((9.8806/I27)*100)-100)-(((9.8806/I27*100)-100))</f>
        <v>#DIV/0!</v>
      </c>
    </row>
    <row r="30" spans="1:15" s="6" customFormat="1" ht="5.0999999999999996" customHeight="1" x14ac:dyDescent="0.2">
      <c r="A30" s="24"/>
      <c r="B30" s="24"/>
      <c r="C30" s="15"/>
      <c r="D30" s="15"/>
      <c r="E30" s="15"/>
      <c r="F30" s="15"/>
      <c r="G30"/>
      <c r="H30"/>
      <c r="I30"/>
    </row>
    <row r="31" spans="1:15" s="6" customFormat="1" ht="15.75" customHeight="1" x14ac:dyDescent="0.2">
      <c r="A31" s="22" t="s">
        <v>12</v>
      </c>
      <c r="B31" s="240"/>
      <c r="C31" s="241"/>
      <c r="D31" s="15"/>
      <c r="E31" s="22" t="s">
        <v>250</v>
      </c>
      <c r="F31" s="107"/>
      <c r="G31"/>
      <c r="H31" s="22" t="s">
        <v>268</v>
      </c>
      <c r="I31" s="137" t="b">
        <f>IF('Roll Stock Checklist'!B39="Continuous","Yes",IF('Roll Stock Checklist'!B39="Registered","No"))</f>
        <v>0</v>
      </c>
    </row>
    <row r="32" spans="1:15" s="6" customFormat="1" ht="5.0999999999999996" customHeight="1" x14ac:dyDescent="0.2">
      <c r="A32" s="24"/>
      <c r="B32" s="24"/>
      <c r="C32" s="15"/>
      <c r="D32" s="15"/>
      <c r="E32" s="24"/>
      <c r="F32" s="15"/>
      <c r="G32"/>
      <c r="H32"/>
      <c r="I32"/>
    </row>
    <row r="33" spans="1:13" s="6" customFormat="1" ht="15.75" customHeight="1" x14ac:dyDescent="0.2">
      <c r="A33" s="22" t="s">
        <v>2</v>
      </c>
      <c r="B33" s="240"/>
      <c r="C33" s="241"/>
      <c r="D33" s="15"/>
      <c r="E33" s="22" t="s">
        <v>177</v>
      </c>
      <c r="F33" s="107"/>
      <c r="H33" s="117" t="b">
        <f>IF(I31="Yes","# Images AC Web:",IF(I31="No","None"))</f>
        <v>0</v>
      </c>
      <c r="I33" s="107" t="b">
        <f>IF(I31="Yes"," ",IF(I31="No","None"))</f>
        <v>0</v>
      </c>
    </row>
    <row r="34" spans="1:13" s="6" customFormat="1" ht="5.0999999999999996" customHeight="1" x14ac:dyDescent="0.2">
      <c r="A34" s="24"/>
      <c r="B34" s="24"/>
      <c r="C34" s="15"/>
      <c r="D34" s="15"/>
      <c r="E34" s="24"/>
      <c r="F34" s="15"/>
    </row>
    <row r="35" spans="1:13" s="6" customFormat="1" ht="15.75" customHeight="1" x14ac:dyDescent="0.2">
      <c r="A35" s="22" t="s">
        <v>26</v>
      </c>
      <c r="B35" s="240" t="s">
        <v>149</v>
      </c>
      <c r="C35" s="241"/>
      <c r="D35" s="15"/>
      <c r="E35" s="22" t="s">
        <v>10</v>
      </c>
      <c r="F35" s="107" t="s">
        <v>149</v>
      </c>
      <c r="H35" s="117" t="b">
        <f>IF(I31="Yes","# Images AR Cyl.:",IF(I31="No","None"))</f>
        <v>0</v>
      </c>
      <c r="I35" s="107" t="b">
        <f>IF(I31="Yes"," ",IF(I31="No","None"))</f>
        <v>0</v>
      </c>
    </row>
    <row r="36" spans="1:13" s="6" customFormat="1" ht="5.0999999999999996" customHeight="1" x14ac:dyDescent="0.2"/>
    <row r="37" spans="1:13" s="6" customFormat="1" ht="17.100000000000001" customHeight="1" x14ac:dyDescent="0.2">
      <c r="A37" s="113" t="s">
        <v>93</v>
      </c>
      <c r="B37" s="266"/>
      <c r="C37" s="267"/>
      <c r="D37" s="16"/>
      <c r="E37" s="264" t="s">
        <v>11</v>
      </c>
      <c r="F37" s="265"/>
      <c r="G37" s="219" t="b">
        <f>IF(B37="Yes","N/A",IF(B37="See Comments","See Below",IF(B37="Random","N/A",IF(B37="See Drawing","See Below",IF(B37="No","Indicate position here")))))</f>
        <v>0</v>
      </c>
      <c r="H37" s="219"/>
      <c r="I37" s="220"/>
      <c r="L37" s="84"/>
      <c r="M37" s="84"/>
    </row>
    <row r="38" spans="1:13" s="6" customFormat="1" ht="5.0999999999999996" customHeight="1" x14ac:dyDescent="0.2">
      <c r="A38" s="222"/>
      <c r="B38" s="222"/>
      <c r="C38" s="222"/>
      <c r="D38" s="222"/>
      <c r="E38" s="222"/>
      <c r="F38" s="222"/>
      <c r="G38" s="222"/>
      <c r="H38" s="222"/>
      <c r="I38" s="222"/>
    </row>
    <row r="39" spans="1:13" s="6" customFormat="1" ht="17.100000000000001" customHeight="1" x14ac:dyDescent="0.2">
      <c r="A39" s="231" t="s">
        <v>63</v>
      </c>
      <c r="B39" s="231"/>
      <c r="C39" s="231"/>
      <c r="D39" s="8"/>
      <c r="E39" s="230" t="b">
        <f>IF(D19="Stepped PDF","REQUIRED!",IF(D19="Rev Stepped PDF","REQUIRED!",IF(D19="1 up &amp; Stepped PDF","REQUIRED!",IF(D19="ReV 1 up &amp; Stepped PDF","REQUIRED!",IF(D19="100% Stepped Proof","REQUIRED!",IF(D19="Rev 100% Stepped Proof","REQUIRED!"))))))</f>
        <v>0</v>
      </c>
      <c r="F39" s="230"/>
      <c r="G39" s="8"/>
      <c r="H39" s="8"/>
      <c r="I39" s="8"/>
      <c r="J39" s="70"/>
    </row>
    <row r="40" spans="1:13" s="6" customFormat="1" ht="5.0999999999999996" customHeight="1" x14ac:dyDescent="0.2">
      <c r="A40" s="222"/>
      <c r="B40" s="222"/>
      <c r="C40" s="222"/>
      <c r="D40" s="222"/>
      <c r="E40" s="222"/>
      <c r="F40" s="222"/>
      <c r="G40" s="222"/>
      <c r="H40" s="222"/>
      <c r="I40" s="222"/>
      <c r="J40" s="70"/>
    </row>
    <row r="41" spans="1:13" s="6" customFormat="1" ht="15" customHeight="1" x14ac:dyDescent="0.2">
      <c r="A41" s="25" t="s">
        <v>195</v>
      </c>
      <c r="B41" s="238"/>
      <c r="C41" s="239"/>
      <c r="D41"/>
      <c r="E41" s="22" t="s">
        <v>81</v>
      </c>
      <c r="F41" s="164"/>
      <c r="G41"/>
      <c r="H41" s="52" t="s">
        <v>90</v>
      </c>
      <c r="I41" s="162" t="s">
        <v>25</v>
      </c>
      <c r="J41" s="70"/>
    </row>
    <row r="42" spans="1:13" ht="17.100000000000001" hidden="1" customHeight="1" x14ac:dyDescent="0.2">
      <c r="F42" s="92" t="s">
        <v>201</v>
      </c>
      <c r="J42"/>
    </row>
    <row r="43" spans="1:13" s="6" customFormat="1" ht="5.0999999999999996" customHeight="1" x14ac:dyDescent="0.2">
      <c r="A43"/>
      <c r="B43"/>
      <c r="C43"/>
      <c r="D43"/>
      <c r="E43"/>
      <c r="F43"/>
      <c r="G43"/>
      <c r="H43"/>
      <c r="I43"/>
      <c r="J43" s="70"/>
    </row>
    <row r="44" spans="1:13" s="6" customFormat="1" ht="15" customHeight="1" x14ac:dyDescent="0.2">
      <c r="A44" s="25" t="s">
        <v>168</v>
      </c>
      <c r="B44" s="234"/>
      <c r="C44" s="235"/>
      <c r="D44"/>
      <c r="E44" s="21" t="s">
        <v>197</v>
      </c>
      <c r="F44" s="163" t="b">
        <f>IF(B44="No","N/A")</f>
        <v>0</v>
      </c>
      <c r="G44"/>
      <c r="H44" s="21" t="s">
        <v>150</v>
      </c>
      <c r="I44" s="162" t="b">
        <f>IF(B44="No","N/A")</f>
        <v>0</v>
      </c>
      <c r="J44" s="70"/>
    </row>
    <row r="45" spans="1:13" s="6" customFormat="1" ht="12" hidden="1" customHeight="1" x14ac:dyDescent="0.2">
      <c r="A45" s="24"/>
      <c r="B45" s="24"/>
      <c r="C45" s="15"/>
      <c r="D45"/>
      <c r="E45" s="15"/>
      <c r="F45" s="5"/>
      <c r="G45"/>
      <c r="H45" s="15"/>
      <c r="I45" s="5" t="s">
        <v>156</v>
      </c>
      <c r="J45" s="70"/>
    </row>
    <row r="46" spans="1:13" s="6" customFormat="1" ht="12" hidden="1" customHeight="1" x14ac:dyDescent="0.2">
      <c r="A46" s="24"/>
      <c r="B46" s="24"/>
      <c r="C46" s="15"/>
      <c r="D46"/>
      <c r="E46" s="15"/>
      <c r="F46" s="5"/>
      <c r="G46"/>
      <c r="H46" s="15"/>
      <c r="I46" s="5" t="s">
        <v>32</v>
      </c>
      <c r="J46" s="70"/>
    </row>
    <row r="47" spans="1:13" s="6" customFormat="1" ht="12" hidden="1" customHeight="1" x14ac:dyDescent="0.2">
      <c r="A47" s="24"/>
      <c r="B47" s="24"/>
      <c r="C47" s="15"/>
      <c r="D47"/>
      <c r="E47" s="15"/>
      <c r="F47" s="5"/>
      <c r="G47"/>
      <c r="H47" s="15"/>
      <c r="I47" s="5" t="s">
        <v>125</v>
      </c>
      <c r="J47" s="70"/>
    </row>
    <row r="48" spans="1:13" s="6" customFormat="1" ht="12" hidden="1" customHeight="1" x14ac:dyDescent="0.2">
      <c r="A48" s="24"/>
      <c r="B48" s="24"/>
      <c r="C48" s="15"/>
      <c r="D48"/>
      <c r="E48" s="15"/>
      <c r="F48" s="5"/>
      <c r="G48"/>
      <c r="H48" s="15"/>
      <c r="I48" s="5" t="s">
        <v>149</v>
      </c>
      <c r="J48" s="70"/>
    </row>
    <row r="49" spans="1:11" s="6" customFormat="1" ht="12" hidden="1" customHeight="1" x14ac:dyDescent="0.2">
      <c r="A49" s="24"/>
      <c r="B49" s="24"/>
      <c r="C49" s="15"/>
      <c r="D49"/>
      <c r="E49" s="15"/>
      <c r="F49" s="5"/>
      <c r="G49"/>
      <c r="H49" s="15"/>
      <c r="I49" s="5"/>
      <c r="J49" s="70"/>
    </row>
    <row r="50" spans="1:11" s="6" customFormat="1" ht="5.0999999999999996" customHeight="1" x14ac:dyDescent="0.2">
      <c r="A50"/>
      <c r="B50"/>
      <c r="C50"/>
      <c r="D50"/>
      <c r="E50"/>
      <c r="F50"/>
      <c r="G50"/>
      <c r="H50"/>
      <c r="I50"/>
      <c r="J50" s="70"/>
    </row>
    <row r="51" spans="1:11" s="6" customFormat="1" ht="15" customHeight="1" x14ac:dyDescent="0.2">
      <c r="A51" s="25" t="s">
        <v>56</v>
      </c>
      <c r="B51" s="224" t="b">
        <f>IF(B44="No","N/A")</f>
        <v>0</v>
      </c>
      <c r="C51" s="225"/>
      <c r="D51"/>
      <c r="E51" s="22" t="s">
        <v>78</v>
      </c>
      <c r="F51" s="163" t="b">
        <f>IF(B44="No","N/A")</f>
        <v>0</v>
      </c>
      <c r="G51"/>
      <c r="H51"/>
      <c r="I51"/>
      <c r="J51" s="70"/>
    </row>
    <row r="52" spans="1:11" s="6" customFormat="1" ht="5.0999999999999996" customHeight="1" x14ac:dyDescent="0.2">
      <c r="A52"/>
      <c r="B52"/>
      <c r="C52"/>
      <c r="D52"/>
      <c r="E52"/>
      <c r="F52"/>
      <c r="G52"/>
      <c r="H52"/>
      <c r="I52"/>
      <c r="J52" s="70"/>
    </row>
    <row r="53" spans="1:11" s="6" customFormat="1" ht="15" customHeight="1" x14ac:dyDescent="0.2">
      <c r="A53" s="25" t="s">
        <v>68</v>
      </c>
      <c r="B53" s="224" t="b">
        <f>IF(B44="No","N/A")</f>
        <v>0</v>
      </c>
      <c r="C53" s="225"/>
      <c r="D53"/>
      <c r="E53" s="21" t="s">
        <v>122</v>
      </c>
      <c r="F53" s="162" t="b">
        <f>IF(B53="N/A","N/A",IF(B53="Std (3mm)","N/A",IF(B53="2mm","N/A",IF(B53="1mm","N/A",IF(B53="See Layout","N/A",IF(B53="Centered","N/A",IF(B53="Other","Indicate Dis.",IF(B53="Per 1 up PDF","N/A"))))))))</f>
        <v>0</v>
      </c>
      <c r="G53"/>
      <c r="H53" s="113" t="s">
        <v>94</v>
      </c>
      <c r="I53" s="163"/>
      <c r="J53" s="70"/>
    </row>
    <row r="54" spans="1:11" s="6" customFormat="1" ht="5.0999999999999996" customHeight="1" x14ac:dyDescent="0.2">
      <c r="A54"/>
      <c r="B54"/>
      <c r="C54"/>
      <c r="D54"/>
      <c r="E54"/>
      <c r="F54"/>
      <c r="G54"/>
      <c r="H54"/>
      <c r="I54"/>
      <c r="J54" s="70"/>
    </row>
    <row r="55" spans="1:11" s="6" customFormat="1" ht="15" customHeight="1" x14ac:dyDescent="0.2">
      <c r="A55" s="25" t="s">
        <v>8</v>
      </c>
      <c r="B55" s="234"/>
      <c r="C55" s="234"/>
      <c r="D55" s="234"/>
      <c r="E55" s="234"/>
      <c r="F55" s="235"/>
      <c r="G55"/>
      <c r="H55" s="22" t="s">
        <v>113</v>
      </c>
      <c r="I55" s="165"/>
      <c r="J55" s="70"/>
    </row>
    <row r="56" spans="1:11" s="6" customFormat="1" ht="5.0999999999999996" customHeight="1" x14ac:dyDescent="0.2">
      <c r="A56"/>
      <c r="B56"/>
      <c r="C56"/>
      <c r="D56"/>
      <c r="E56"/>
      <c r="F56"/>
      <c r="G56"/>
      <c r="H56"/>
      <c r="I56"/>
      <c r="J56" s="70"/>
    </row>
    <row r="57" spans="1:11" s="6" customFormat="1" ht="15.75" customHeight="1" x14ac:dyDescent="0.2">
      <c r="A57" s="3" t="s">
        <v>244</v>
      </c>
      <c r="B57" s="3"/>
      <c r="C57" s="8"/>
      <c r="D57" s="8"/>
      <c r="E57" s="8"/>
      <c r="F57" s="8"/>
      <c r="G57" s="15"/>
      <c r="H57" s="184" t="s">
        <v>184</v>
      </c>
      <c r="I57" s="184"/>
      <c r="J57" s="70"/>
      <c r="K57" s="91"/>
    </row>
    <row r="58" spans="1:11" s="6" customFormat="1" ht="5.0999999999999996" customHeight="1" x14ac:dyDescent="0.2">
      <c r="A58" s="24"/>
      <c r="B58" s="24"/>
      <c r="C58" s="15"/>
      <c r="D58" s="15"/>
      <c r="E58" s="15"/>
      <c r="F58" s="15"/>
      <c r="G58" s="15"/>
      <c r="H58" s="46"/>
      <c r="I58" s="15"/>
      <c r="J58" s="70"/>
    </row>
    <row r="59" spans="1:11" s="6" customFormat="1" ht="15.75" customHeight="1" x14ac:dyDescent="0.2">
      <c r="A59" s="22" t="s">
        <v>240</v>
      </c>
      <c r="B59" s="236">
        <f>'Roll Stock Checklist'!F43</f>
        <v>0</v>
      </c>
      <c r="C59" s="237"/>
      <c r="D59" s="15"/>
      <c r="E59" s="223" t="s">
        <v>146</v>
      </c>
      <c r="F59" s="223"/>
      <c r="G59" s="7"/>
      <c r="H59" s="21" t="s">
        <v>31</v>
      </c>
      <c r="I59" s="166">
        <f>'Roll Stock Checklist'!I39</f>
        <v>0</v>
      </c>
      <c r="J59" s="70"/>
    </row>
    <row r="60" spans="1:11" s="6" customFormat="1" ht="5.0999999999999996" customHeight="1" x14ac:dyDescent="0.2">
      <c r="A60" s="17"/>
      <c r="B60" s="17"/>
      <c r="C60" s="17"/>
      <c r="H60" s="46"/>
      <c r="J60" s="70"/>
    </row>
    <row r="61" spans="1:11" s="6" customFormat="1" ht="15.75" customHeight="1" x14ac:dyDescent="0.2">
      <c r="A61" s="226">
        <f>'Roll Stock Checklist'!A45</f>
        <v>0</v>
      </c>
      <c r="B61" s="244"/>
      <c r="C61" s="227"/>
      <c r="D61" s="36"/>
      <c r="E61" s="226">
        <f>'Roll Stock Checklist'!A47</f>
        <v>0</v>
      </c>
      <c r="F61" s="227"/>
      <c r="G61" s="43"/>
      <c r="H61" s="221">
        <f>B31</f>
        <v>0</v>
      </c>
      <c r="I61" s="221"/>
      <c r="J61" s="70"/>
    </row>
    <row r="62" spans="1:11" s="19" customFormat="1" ht="5.0999999999999996" customHeight="1" x14ac:dyDescent="0.2">
      <c r="A62" s="41"/>
      <c r="B62" s="41"/>
      <c r="C62" s="41"/>
      <c r="D62" s="38"/>
      <c r="E62" s="41"/>
      <c r="F62" s="41"/>
      <c r="G62" s="44"/>
      <c r="H62" s="71"/>
      <c r="I62" s="45"/>
      <c r="J62" s="75"/>
    </row>
    <row r="63" spans="1:11" s="6" customFormat="1" ht="15.75" customHeight="1" x14ac:dyDescent="0.2">
      <c r="A63" s="226">
        <f>'Roll Stock Checklist'!B45</f>
        <v>0</v>
      </c>
      <c r="B63" s="244"/>
      <c r="C63" s="227"/>
      <c r="D63" s="36"/>
      <c r="E63" s="226">
        <f>'Roll Stock Checklist'!B47</f>
        <v>0</v>
      </c>
      <c r="F63" s="227"/>
      <c r="G63" s="43"/>
      <c r="H63" s="218">
        <f>F31</f>
        <v>0</v>
      </c>
      <c r="I63" s="213"/>
      <c r="J63" s="70"/>
    </row>
    <row r="64" spans="1:11" s="6" customFormat="1" ht="5.0999999999999996" customHeight="1" x14ac:dyDescent="0.2">
      <c r="A64" s="42"/>
      <c r="B64" s="42"/>
      <c r="C64" s="42"/>
      <c r="D64" s="38"/>
      <c r="E64" s="42"/>
      <c r="F64" s="42"/>
      <c r="G64" s="44"/>
      <c r="H64" s="218"/>
      <c r="I64" s="213"/>
      <c r="J64" s="70"/>
    </row>
    <row r="65" spans="1:10" s="6" customFormat="1" ht="15.75" customHeight="1" x14ac:dyDescent="0.2">
      <c r="A65" s="226">
        <f>'Roll Stock Checklist'!D45</f>
        <v>0</v>
      </c>
      <c r="B65" s="244"/>
      <c r="C65" s="227"/>
      <c r="D65" s="38"/>
      <c r="E65" s="226">
        <f>'Roll Stock Checklist'!D47</f>
        <v>0</v>
      </c>
      <c r="F65" s="227"/>
      <c r="G65" s="44"/>
      <c r="H65" s="218"/>
      <c r="J65" s="70"/>
    </row>
    <row r="66" spans="1:10" s="6" customFormat="1" ht="5.0999999999999996" customHeight="1" x14ac:dyDescent="0.2">
      <c r="A66" s="42"/>
      <c r="B66" s="42"/>
      <c r="C66" s="42"/>
      <c r="D66" s="38"/>
      <c r="E66" s="39"/>
      <c r="F66" s="39"/>
      <c r="G66" s="38"/>
      <c r="H66" s="218"/>
      <c r="I66" s="66"/>
      <c r="J66" s="70"/>
    </row>
    <row r="67" spans="1:10" s="6" customFormat="1" ht="15.75" customHeight="1" x14ac:dyDescent="0.2">
      <c r="A67" s="226">
        <f>'Roll Stock Checklist'!F45</f>
        <v>0</v>
      </c>
      <c r="B67" s="244"/>
      <c r="C67" s="227"/>
      <c r="D67" s="38"/>
      <c r="E67" s="246">
        <f>'Roll Stock Checklist'!F47</f>
        <v>0</v>
      </c>
      <c r="F67" s="248"/>
      <c r="G67" s="38"/>
      <c r="H67" s="218"/>
      <c r="I67" s="213"/>
      <c r="J67" s="70"/>
    </row>
    <row r="68" spans="1:10" s="6" customFormat="1" ht="5.0999999999999996" customHeight="1" x14ac:dyDescent="0.2">
      <c r="A68" s="9"/>
      <c r="B68" s="9"/>
      <c r="C68" s="9"/>
      <c r="H68" s="218"/>
      <c r="I68" s="213"/>
      <c r="J68" s="70"/>
    </row>
    <row r="69" spans="1:10" s="6" customFormat="1" ht="15.75" customHeight="1" x14ac:dyDescent="0.2">
      <c r="A69" s="246">
        <f>'Roll Stock Checklist'!H45</f>
        <v>0</v>
      </c>
      <c r="B69" s="247"/>
      <c r="C69" s="248"/>
      <c r="E69" s="246">
        <f>'Roll Stock Checklist'!H47</f>
        <v>0</v>
      </c>
      <c r="F69" s="248"/>
      <c r="H69" s="218"/>
      <c r="I69" s="66"/>
      <c r="J69" s="70"/>
    </row>
    <row r="70" spans="1:10" s="6" customFormat="1" ht="5.0999999999999996" customHeight="1" x14ac:dyDescent="0.2">
      <c r="A70" s="47"/>
      <c r="B70" s="47"/>
      <c r="C70" s="47"/>
      <c r="D70" s="19"/>
      <c r="E70" s="47"/>
      <c r="F70" s="47"/>
      <c r="H70" s="71"/>
      <c r="I70" s="49"/>
      <c r="J70" s="70"/>
    </row>
    <row r="71" spans="1:10" s="6" customFormat="1" ht="15" customHeight="1" x14ac:dyDescent="0.2">
      <c r="A71" s="246">
        <f>'Roll Stock Checklist'!I45</f>
        <v>0</v>
      </c>
      <c r="B71" s="247"/>
      <c r="C71" s="248"/>
      <c r="E71" s="246">
        <f>'Roll Stock Checklist'!I47</f>
        <v>0</v>
      </c>
      <c r="F71" s="248"/>
      <c r="H71" s="71"/>
      <c r="I71" s="49"/>
      <c r="J71" s="70"/>
    </row>
    <row r="72" spans="1:10" s="6" customFormat="1" ht="5.0999999999999996" customHeight="1" x14ac:dyDescent="0.2">
      <c r="A72" s="47"/>
      <c r="B72" s="47"/>
      <c r="C72" s="47"/>
      <c r="D72" s="19"/>
      <c r="E72" s="47"/>
      <c r="F72" s="47"/>
      <c r="H72" s="71"/>
      <c r="I72" s="49"/>
      <c r="J72" s="70"/>
    </row>
    <row r="73" spans="1:10" s="6" customFormat="1" ht="17.100000000000001" customHeight="1" x14ac:dyDescent="0.2">
      <c r="A73" s="144" t="s">
        <v>227</v>
      </c>
      <c r="B73" s="240" t="s">
        <v>82</v>
      </c>
      <c r="C73" s="241"/>
      <c r="D73" s="14"/>
      <c r="E73" s="245" t="b">
        <f>IF(B73="Other:"," ")</f>
        <v>0</v>
      </c>
      <c r="F73" s="241"/>
      <c r="H73" s="40" t="s">
        <v>3</v>
      </c>
      <c r="I73" s="61" t="s">
        <v>219</v>
      </c>
      <c r="J73" s="70"/>
    </row>
    <row r="74" spans="1:10" s="6" customFormat="1" ht="6" customHeight="1" x14ac:dyDescent="0.2">
      <c r="A74" s="32"/>
      <c r="B74" s="32"/>
      <c r="C74" s="47"/>
      <c r="D74" s="14"/>
      <c r="E74" s="39"/>
      <c r="F74" s="39"/>
      <c r="G74" s="19"/>
      <c r="H74" s="48"/>
      <c r="I74" s="62"/>
      <c r="J74" s="70"/>
    </row>
    <row r="75" spans="1:10" s="6" customFormat="1" ht="21" customHeight="1" x14ac:dyDescent="0.2">
      <c r="A75" s="3" t="s">
        <v>106</v>
      </c>
      <c r="B75" s="3"/>
      <c r="C75" s="8"/>
      <c r="D75" s="8"/>
      <c r="E75" s="8"/>
      <c r="F75" s="8"/>
      <c r="G75" s="8"/>
      <c r="H75" s="8"/>
      <c r="I75" s="8"/>
      <c r="J75" s="70"/>
    </row>
    <row r="76" spans="1:10" s="6" customFormat="1" ht="6" customHeight="1" x14ac:dyDescent="0.2">
      <c r="J76" s="70"/>
    </row>
    <row r="77" spans="1:10" s="6" customFormat="1" ht="18.75" customHeight="1" x14ac:dyDescent="0.2">
      <c r="A77" s="22" t="s">
        <v>54</v>
      </c>
      <c r="B77" s="242">
        <f>'Roll Stock Checklist'!B7</f>
        <v>0</v>
      </c>
      <c r="C77" s="242"/>
      <c r="D77" s="242"/>
      <c r="E77" s="242"/>
      <c r="F77" s="243"/>
      <c r="G77" s="12"/>
      <c r="H77" s="37" t="s">
        <v>33</v>
      </c>
      <c r="I77" s="151">
        <f>I3</f>
        <v>0</v>
      </c>
      <c r="J77" s="70"/>
    </row>
    <row r="78" spans="1:10" s="6" customFormat="1" ht="6" customHeight="1" x14ac:dyDescent="0.2">
      <c r="J78" s="70"/>
    </row>
    <row r="79" spans="1:10" s="6" customFormat="1" ht="18" customHeight="1" x14ac:dyDescent="0.2">
      <c r="A79" s="22" t="s">
        <v>131</v>
      </c>
      <c r="B79" s="139">
        <f>B11</f>
        <v>0</v>
      </c>
      <c r="C79" s="251">
        <f>'Roll Stock Checklist'!C11</f>
        <v>0</v>
      </c>
      <c r="D79" s="251"/>
      <c r="E79" s="251"/>
      <c r="F79" s="252"/>
      <c r="G79" s="12"/>
      <c r="H79" s="23" t="s">
        <v>36</v>
      </c>
      <c r="I79" s="107">
        <f>I15</f>
        <v>0</v>
      </c>
      <c r="J79" s="70"/>
    </row>
    <row r="80" spans="1:10" s="6" customFormat="1" ht="6" customHeight="1" x14ac:dyDescent="0.2">
      <c r="A80"/>
      <c r="B80"/>
      <c r="C80"/>
      <c r="D80"/>
      <c r="E80"/>
      <c r="F80"/>
      <c r="G80"/>
      <c r="H80"/>
      <c r="I80"/>
      <c r="J80" s="70"/>
    </row>
    <row r="81" spans="1:10" s="6" customFormat="1" ht="18" customHeight="1" x14ac:dyDescent="0.2">
      <c r="A81"/>
      <c r="B81"/>
      <c r="C81"/>
      <c r="D81"/>
      <c r="E81"/>
      <c r="F81"/>
      <c r="G81"/>
      <c r="H81" s="23" t="s">
        <v>276</v>
      </c>
      <c r="I81" s="137">
        <f>'Roll Stock Checklist'!B5</f>
        <v>0</v>
      </c>
      <c r="J81" s="70"/>
    </row>
    <row r="82" spans="1:10" s="6" customFormat="1" ht="6" customHeight="1" x14ac:dyDescent="0.2">
      <c r="A82"/>
      <c r="B82"/>
      <c r="C82"/>
      <c r="D82"/>
      <c r="E82"/>
      <c r="F82"/>
      <c r="G82"/>
      <c r="H82"/>
      <c r="I82"/>
      <c r="J82" s="70"/>
    </row>
    <row r="83" spans="1:10" s="6" customFormat="1" ht="18.75" customHeight="1" x14ac:dyDescent="0.2">
      <c r="A83" s="25" t="s">
        <v>46</v>
      </c>
      <c r="B83" s="249">
        <f>D19</f>
        <v>0</v>
      </c>
      <c r="C83" s="249"/>
      <c r="D83" s="249"/>
      <c r="E83" s="249"/>
      <c r="F83" s="250"/>
      <c r="G83"/>
      <c r="H83" s="23" t="s">
        <v>55</v>
      </c>
      <c r="I83" s="108">
        <f>I17</f>
        <v>0</v>
      </c>
      <c r="J83" s="70"/>
    </row>
    <row r="84" spans="1:10" s="6" customFormat="1" ht="6" customHeight="1" x14ac:dyDescent="0.2">
      <c r="A84"/>
      <c r="B84"/>
      <c r="C84"/>
      <c r="D84"/>
      <c r="E84"/>
      <c r="F84"/>
      <c r="G84"/>
      <c r="H84"/>
      <c r="I84"/>
      <c r="J84" s="70"/>
    </row>
    <row r="85" spans="1:10" s="6" customFormat="1" ht="18.75" customHeight="1" x14ac:dyDescent="0.2">
      <c r="A85" s="23" t="s">
        <v>108</v>
      </c>
      <c r="B85" s="232">
        <f>B7</f>
        <v>0</v>
      </c>
      <c r="C85" s="233"/>
      <c r="D85" s="60"/>
      <c r="E85" s="120" t="s">
        <v>24</v>
      </c>
      <c r="F85" s="116">
        <f>F7</f>
        <v>0</v>
      </c>
      <c r="G85" s="12"/>
      <c r="H85" s="119" t="s">
        <v>134</v>
      </c>
      <c r="I85" s="114">
        <f>I7</f>
        <v>0</v>
      </c>
      <c r="J85" s="70"/>
    </row>
    <row r="86" spans="1:10" s="6" customFormat="1" ht="6" customHeight="1" x14ac:dyDescent="0.2">
      <c r="A86" s="78"/>
      <c r="B86" s="78"/>
      <c r="C86" s="78"/>
      <c r="D86" s="78"/>
      <c r="E86" s="78"/>
      <c r="F86" s="78"/>
      <c r="G86" s="78"/>
      <c r="H86" s="78"/>
      <c r="I86" s="78"/>
      <c r="J86" s="70"/>
    </row>
    <row r="87" spans="1:10" s="85" customFormat="1" x14ac:dyDescent="0.2">
      <c r="A87" s="86"/>
      <c r="B87" s="86"/>
      <c r="C87" s="86"/>
      <c r="D87" s="86"/>
      <c r="E87" s="86"/>
      <c r="F87" s="86"/>
      <c r="G87" s="86"/>
      <c r="H87" s="86"/>
      <c r="I87" s="86"/>
      <c r="J87" s="131"/>
    </row>
    <row r="88" spans="1:10" s="6" customFormat="1" x14ac:dyDescent="0.2">
      <c r="A88" s="79"/>
      <c r="B88" s="79"/>
      <c r="C88" s="79"/>
      <c r="D88" s="79"/>
      <c r="E88" s="79"/>
      <c r="F88" s="79"/>
      <c r="G88" s="79"/>
      <c r="H88" s="79"/>
      <c r="I88" s="79"/>
      <c r="J88" s="70"/>
    </row>
    <row r="89" spans="1:10" s="6" customFormat="1" x14ac:dyDescent="0.2">
      <c r="A89" s="79"/>
      <c r="B89" s="79"/>
      <c r="C89" s="79"/>
      <c r="D89" s="79"/>
      <c r="E89" s="79"/>
      <c r="F89" s="79"/>
      <c r="G89" s="79"/>
      <c r="H89" s="79"/>
      <c r="I89" s="79"/>
      <c r="J89" s="70"/>
    </row>
    <row r="90" spans="1:10" s="6" customFormat="1" x14ac:dyDescent="0.2">
      <c r="A90" s="79"/>
      <c r="B90" s="79"/>
      <c r="C90" s="79"/>
      <c r="D90" s="79"/>
      <c r="E90" s="79"/>
      <c r="F90" s="79"/>
      <c r="G90" s="79"/>
      <c r="H90" s="79"/>
      <c r="I90" s="79"/>
      <c r="J90" s="70"/>
    </row>
    <row r="91" spans="1:10" s="6" customFormat="1" x14ac:dyDescent="0.2">
      <c r="A91" s="79"/>
      <c r="B91" s="79"/>
      <c r="C91" s="79"/>
      <c r="D91" s="79"/>
      <c r="E91" s="79"/>
      <c r="F91" s="79"/>
      <c r="G91" s="79"/>
      <c r="H91" s="79"/>
      <c r="I91" s="79"/>
      <c r="J91" s="70"/>
    </row>
    <row r="92" spans="1:10" s="6" customFormat="1" x14ac:dyDescent="0.2">
      <c r="A92" s="79"/>
      <c r="B92" s="79"/>
      <c r="C92" s="79"/>
      <c r="D92" s="79"/>
      <c r="E92" s="79"/>
      <c r="F92" s="79"/>
      <c r="G92" s="79"/>
      <c r="H92" s="79"/>
      <c r="I92" s="79"/>
      <c r="J92" s="70"/>
    </row>
    <row r="93" spans="1:10" s="6" customFormat="1" x14ac:dyDescent="0.2">
      <c r="A93" s="79"/>
      <c r="B93" s="79"/>
      <c r="C93" s="79"/>
      <c r="D93" s="79"/>
      <c r="E93" s="79"/>
      <c r="F93" s="79"/>
      <c r="G93" s="79"/>
      <c r="H93" s="79"/>
      <c r="I93" s="79"/>
      <c r="J93" s="70"/>
    </row>
    <row r="94" spans="1:10" s="6" customFormat="1" x14ac:dyDescent="0.2">
      <c r="A94" s="79"/>
      <c r="B94" s="79"/>
      <c r="C94" s="79"/>
      <c r="D94" s="79"/>
      <c r="E94" s="79"/>
      <c r="F94" s="79"/>
      <c r="G94" s="79"/>
      <c r="H94" s="79"/>
      <c r="I94" s="79"/>
      <c r="J94" s="70"/>
    </row>
    <row r="95" spans="1:10" s="6" customFormat="1" x14ac:dyDescent="0.2">
      <c r="A95" s="79"/>
      <c r="B95" s="79"/>
      <c r="C95" s="79"/>
      <c r="D95" s="79"/>
      <c r="E95" s="79"/>
      <c r="F95" s="79"/>
      <c r="G95" s="79"/>
      <c r="H95" s="79"/>
      <c r="I95" s="79"/>
      <c r="J95" s="70"/>
    </row>
    <row r="96" spans="1:10" s="6" customFormat="1" x14ac:dyDescent="0.2">
      <c r="A96" s="79"/>
      <c r="B96" s="79"/>
      <c r="C96" s="79"/>
      <c r="D96" s="79"/>
      <c r="E96" s="79"/>
      <c r="F96" s="79"/>
      <c r="G96" s="79"/>
      <c r="H96" s="79"/>
      <c r="I96" s="79"/>
      <c r="J96" s="70"/>
    </row>
    <row r="97" spans="1:10" s="6" customFormat="1" x14ac:dyDescent="0.2">
      <c r="A97" s="79"/>
      <c r="B97" s="79"/>
      <c r="C97" s="79"/>
      <c r="D97" s="79"/>
      <c r="E97" s="79"/>
      <c r="F97" s="79"/>
      <c r="G97" s="79"/>
      <c r="H97" s="79"/>
      <c r="I97" s="79"/>
      <c r="J97" s="70"/>
    </row>
    <row r="98" spans="1:10" s="6" customFormat="1" x14ac:dyDescent="0.2">
      <c r="A98" s="79"/>
      <c r="B98" s="79"/>
      <c r="C98" s="79"/>
      <c r="D98" s="79"/>
      <c r="E98" s="79"/>
      <c r="F98" s="79"/>
      <c r="G98" s="79"/>
      <c r="H98" s="79"/>
      <c r="I98" s="79"/>
      <c r="J98" s="70"/>
    </row>
    <row r="99" spans="1:10" s="6" customFormat="1" x14ac:dyDescent="0.2">
      <c r="A99" s="79"/>
      <c r="B99" s="79"/>
      <c r="C99" s="79"/>
      <c r="D99" s="79"/>
      <c r="E99" s="79"/>
      <c r="F99" s="79"/>
      <c r="G99" s="79"/>
      <c r="H99" s="79"/>
      <c r="I99" s="79"/>
      <c r="J99" s="70"/>
    </row>
    <row r="100" spans="1:10" s="6" customFormat="1" x14ac:dyDescent="0.2">
      <c r="A100" s="79"/>
      <c r="B100" s="79"/>
      <c r="C100" s="79"/>
      <c r="D100" s="79"/>
      <c r="E100" s="79"/>
      <c r="F100" s="79"/>
      <c r="G100" s="79"/>
      <c r="H100" s="79"/>
      <c r="I100" s="79"/>
      <c r="J100" s="70"/>
    </row>
    <row r="101" spans="1:10" s="6" customFormat="1" x14ac:dyDescent="0.2">
      <c r="A101" s="79"/>
      <c r="B101" s="79"/>
      <c r="C101" s="79"/>
      <c r="D101" s="79"/>
      <c r="E101" s="79"/>
      <c r="F101" s="79"/>
      <c r="G101" s="79"/>
      <c r="H101" s="79"/>
      <c r="I101" s="79"/>
      <c r="J101" s="70"/>
    </row>
    <row r="102" spans="1:10" s="6" customFormat="1" x14ac:dyDescent="0.2">
      <c r="A102" s="79"/>
      <c r="B102" s="79"/>
      <c r="C102" s="79"/>
      <c r="D102" s="79"/>
      <c r="E102" s="79"/>
      <c r="F102" s="79"/>
      <c r="G102" s="79"/>
      <c r="H102" s="79"/>
      <c r="I102" s="79"/>
      <c r="J102" s="70"/>
    </row>
    <row r="103" spans="1:10" s="6" customFormat="1" x14ac:dyDescent="0.2">
      <c r="A103" s="79"/>
      <c r="B103" s="79"/>
      <c r="C103" s="79"/>
      <c r="D103" s="79"/>
      <c r="E103" s="79"/>
      <c r="F103" s="79"/>
      <c r="G103" s="79"/>
      <c r="H103" s="79"/>
      <c r="I103" s="79"/>
      <c r="J103" s="70"/>
    </row>
    <row r="104" spans="1:10" s="6" customFormat="1" x14ac:dyDescent="0.2">
      <c r="A104" s="79"/>
      <c r="B104" s="79"/>
      <c r="C104" s="79"/>
      <c r="D104" s="79"/>
      <c r="E104" s="79"/>
      <c r="F104" s="79"/>
      <c r="G104" s="79"/>
      <c r="H104" s="79"/>
      <c r="I104" s="79"/>
      <c r="J104" s="70"/>
    </row>
    <row r="105" spans="1:10" s="6" customFormat="1" x14ac:dyDescent="0.2">
      <c r="A105" s="79"/>
      <c r="B105" s="79"/>
      <c r="C105" s="79"/>
      <c r="D105" s="79"/>
      <c r="E105" s="79"/>
      <c r="F105" s="79"/>
      <c r="G105" s="79"/>
      <c r="H105" s="79"/>
      <c r="I105" s="79"/>
      <c r="J105" s="70"/>
    </row>
    <row r="106" spans="1:10" s="6" customFormat="1" x14ac:dyDescent="0.2">
      <c r="A106" s="79"/>
      <c r="B106" s="79"/>
      <c r="C106" s="79"/>
      <c r="D106" s="79"/>
      <c r="E106" s="79"/>
      <c r="F106" s="79"/>
      <c r="G106" s="79"/>
      <c r="H106" s="79"/>
      <c r="I106" s="79"/>
      <c r="J106" s="70"/>
    </row>
    <row r="107" spans="1:10" s="6" customFormat="1" x14ac:dyDescent="0.2">
      <c r="A107" s="79"/>
      <c r="B107" s="79"/>
      <c r="C107" s="79"/>
      <c r="D107" s="79"/>
      <c r="E107" s="79"/>
      <c r="F107" s="79"/>
      <c r="G107" s="79"/>
      <c r="H107" s="79"/>
      <c r="I107" s="79"/>
      <c r="J107" s="70"/>
    </row>
    <row r="108" spans="1:10" s="6" customFormat="1" x14ac:dyDescent="0.2">
      <c r="A108" s="79"/>
      <c r="B108" s="79"/>
      <c r="C108" s="79"/>
      <c r="D108" s="79"/>
      <c r="E108" s="79"/>
      <c r="F108" s="79"/>
      <c r="G108" s="79"/>
      <c r="H108" s="79"/>
      <c r="I108" s="79"/>
      <c r="J108" s="70"/>
    </row>
    <row r="109" spans="1:10" s="6" customFormat="1" x14ac:dyDescent="0.2">
      <c r="A109" s="79"/>
      <c r="B109" s="79"/>
      <c r="C109" s="79"/>
      <c r="D109" s="79"/>
      <c r="E109" s="79"/>
      <c r="F109" s="79"/>
      <c r="G109" s="79"/>
      <c r="H109" s="79"/>
      <c r="I109" s="79"/>
      <c r="J109" s="70"/>
    </row>
    <row r="110" spans="1:10" s="6" customFormat="1" x14ac:dyDescent="0.2">
      <c r="A110" s="79"/>
      <c r="B110" s="79"/>
      <c r="C110" s="79"/>
      <c r="D110" s="79"/>
      <c r="E110" s="79"/>
      <c r="F110" s="79"/>
      <c r="G110" s="79"/>
      <c r="H110" s="79"/>
      <c r="I110" s="79"/>
      <c r="J110" s="70"/>
    </row>
    <row r="111" spans="1:10" s="6" customFormat="1" x14ac:dyDescent="0.2">
      <c r="A111" s="79"/>
      <c r="B111" s="79"/>
      <c r="C111" s="79"/>
      <c r="D111" s="79"/>
      <c r="E111" s="79"/>
      <c r="F111" s="79"/>
      <c r="G111" s="79"/>
      <c r="H111" s="79"/>
      <c r="I111" s="79"/>
      <c r="J111" s="70"/>
    </row>
    <row r="112" spans="1:10" s="6" customFormat="1" x14ac:dyDescent="0.2">
      <c r="A112" s="79"/>
      <c r="B112" s="79"/>
      <c r="C112" s="79"/>
      <c r="D112" s="79"/>
      <c r="E112" s="79"/>
      <c r="F112" s="79"/>
      <c r="G112" s="79"/>
      <c r="H112" s="79"/>
      <c r="I112" s="79"/>
      <c r="J112" s="70"/>
    </row>
    <row r="113" spans="1:10" s="6" customFormat="1" x14ac:dyDescent="0.2">
      <c r="A113" s="79"/>
      <c r="B113" s="79"/>
      <c r="C113" s="79"/>
      <c r="D113" s="79"/>
      <c r="E113" s="79"/>
      <c r="F113" s="79"/>
      <c r="G113" s="79"/>
      <c r="H113" s="79"/>
      <c r="I113" s="79"/>
      <c r="J113" s="70"/>
    </row>
    <row r="114" spans="1:10" s="6" customFormat="1" x14ac:dyDescent="0.2">
      <c r="A114" s="79"/>
      <c r="B114" s="79"/>
      <c r="C114" s="79"/>
      <c r="D114" s="79"/>
      <c r="E114" s="79"/>
      <c r="F114" s="79"/>
      <c r="G114" s="79"/>
      <c r="H114" s="79"/>
      <c r="I114" s="79"/>
      <c r="J114" s="70"/>
    </row>
    <row r="115" spans="1:10" s="6" customFormat="1" x14ac:dyDescent="0.2">
      <c r="A115" s="79"/>
      <c r="B115" s="79"/>
      <c r="C115" s="79"/>
      <c r="D115" s="79"/>
      <c r="E115" s="79"/>
      <c r="F115" s="79"/>
      <c r="G115" s="79"/>
      <c r="H115" s="79"/>
      <c r="I115" s="79"/>
      <c r="J115" s="70"/>
    </row>
    <row r="116" spans="1:10" s="6" customFormat="1" x14ac:dyDescent="0.2">
      <c r="A116" s="79"/>
      <c r="B116" s="79"/>
      <c r="C116" s="79"/>
      <c r="D116" s="79"/>
      <c r="E116" s="79"/>
      <c r="F116" s="79"/>
      <c r="G116" s="79"/>
      <c r="H116" s="79"/>
      <c r="I116" s="79"/>
      <c r="J116" s="70"/>
    </row>
    <row r="117" spans="1:10" s="6" customFormat="1" x14ac:dyDescent="0.2">
      <c r="A117" s="79"/>
      <c r="B117" s="79"/>
      <c r="C117" s="79"/>
      <c r="D117" s="79"/>
      <c r="E117" s="79"/>
      <c r="F117" s="79"/>
      <c r="G117" s="79"/>
      <c r="H117" s="79"/>
      <c r="I117" s="79"/>
      <c r="J117" s="70"/>
    </row>
    <row r="118" spans="1:10" s="6" customFormat="1" x14ac:dyDescent="0.2">
      <c r="A118" s="79"/>
      <c r="B118" s="79"/>
      <c r="C118" s="79"/>
      <c r="D118" s="79"/>
      <c r="E118" s="79"/>
      <c r="F118" s="79"/>
      <c r="G118" s="79"/>
      <c r="H118" s="79"/>
      <c r="I118" s="79"/>
      <c r="J118" s="70"/>
    </row>
    <row r="119" spans="1:10" s="6" customFormat="1" x14ac:dyDescent="0.2">
      <c r="A119" s="79"/>
      <c r="B119" s="79"/>
      <c r="C119" s="79"/>
      <c r="D119" s="79"/>
      <c r="E119" s="79"/>
      <c r="F119" s="79"/>
      <c r="G119" s="79"/>
      <c r="H119" s="79"/>
      <c r="I119" s="79"/>
      <c r="J119" s="70"/>
    </row>
    <row r="120" spans="1:10" s="6" customFormat="1" x14ac:dyDescent="0.2">
      <c r="A120" s="79"/>
      <c r="B120" s="79"/>
      <c r="C120" s="79"/>
      <c r="D120" s="79"/>
      <c r="E120" s="79"/>
      <c r="F120" s="79"/>
      <c r="G120" s="79"/>
      <c r="H120" s="79"/>
      <c r="I120" s="79"/>
      <c r="J120" s="70"/>
    </row>
    <row r="121" spans="1:10" s="6" customFormat="1" x14ac:dyDescent="0.2">
      <c r="A121" s="79"/>
      <c r="B121" s="79"/>
      <c r="C121" s="79"/>
      <c r="D121" s="79"/>
      <c r="E121" s="79"/>
      <c r="F121" s="79"/>
      <c r="G121" s="79"/>
      <c r="H121" s="79"/>
      <c r="I121" s="79"/>
      <c r="J121" s="70"/>
    </row>
    <row r="122" spans="1:10" s="6" customFormat="1" x14ac:dyDescent="0.2">
      <c r="A122" s="79"/>
      <c r="B122" s="79"/>
      <c r="C122" s="79"/>
      <c r="D122" s="79"/>
      <c r="E122" s="79"/>
      <c r="F122" s="79"/>
      <c r="G122" s="79"/>
      <c r="H122" s="79"/>
      <c r="I122" s="79"/>
      <c r="J122" s="70"/>
    </row>
    <row r="123" spans="1:10" s="6" customFormat="1" x14ac:dyDescent="0.2">
      <c r="A123" s="79"/>
      <c r="B123" s="79"/>
      <c r="C123" s="79"/>
      <c r="D123" s="79"/>
      <c r="E123" s="79"/>
      <c r="F123" s="79"/>
      <c r="G123" s="79"/>
      <c r="H123" s="79"/>
      <c r="I123" s="79"/>
      <c r="J123" s="70"/>
    </row>
    <row r="124" spans="1:10" s="6" customFormat="1" x14ac:dyDescent="0.2">
      <c r="A124" s="79"/>
      <c r="B124" s="79"/>
      <c r="C124" s="79"/>
      <c r="D124" s="79"/>
      <c r="E124" s="79"/>
      <c r="F124" s="79"/>
      <c r="G124" s="79"/>
      <c r="H124" s="79"/>
      <c r="I124" s="79"/>
      <c r="J124" s="70"/>
    </row>
    <row r="125" spans="1:10" s="6" customFormat="1" x14ac:dyDescent="0.2">
      <c r="A125" s="79"/>
      <c r="B125" s="79"/>
      <c r="C125" s="79"/>
      <c r="D125" s="79"/>
      <c r="E125" s="79"/>
      <c r="F125" s="79"/>
      <c r="G125" s="79"/>
      <c r="H125" s="79"/>
      <c r="I125" s="79"/>
      <c r="J125" s="70"/>
    </row>
    <row r="126" spans="1:10" s="6" customFormat="1" x14ac:dyDescent="0.2">
      <c r="A126" s="79"/>
      <c r="B126" s="79"/>
      <c r="C126" s="79"/>
      <c r="D126" s="79"/>
      <c r="E126" s="79"/>
      <c r="F126" s="79"/>
      <c r="G126" s="79"/>
      <c r="H126" s="79"/>
      <c r="I126" s="79"/>
      <c r="J126" s="70"/>
    </row>
    <row r="127" spans="1:10" s="6" customFormat="1" x14ac:dyDescent="0.2">
      <c r="A127" s="79"/>
      <c r="B127" s="79"/>
      <c r="C127" s="79"/>
      <c r="D127" s="79"/>
      <c r="E127" s="79"/>
      <c r="F127" s="79"/>
      <c r="G127" s="79"/>
      <c r="H127" s="79"/>
      <c r="I127" s="79"/>
      <c r="J127" s="70"/>
    </row>
    <row r="128" spans="1:10" s="6" customFormat="1" x14ac:dyDescent="0.2">
      <c r="A128" s="79"/>
      <c r="B128" s="79"/>
      <c r="C128" s="79"/>
      <c r="D128" s="79"/>
      <c r="E128" s="79"/>
      <c r="F128" s="79"/>
      <c r="G128" s="79"/>
      <c r="H128" s="79"/>
      <c r="I128" s="79"/>
      <c r="J128" s="70"/>
    </row>
    <row r="129" spans="1:10" s="6" customFormat="1" x14ac:dyDescent="0.2">
      <c r="A129" s="79"/>
      <c r="B129" s="79"/>
      <c r="C129" s="79"/>
      <c r="D129" s="79"/>
      <c r="E129" s="79"/>
      <c r="F129" s="79"/>
      <c r="G129" s="79"/>
      <c r="H129" s="79"/>
      <c r="I129" s="79"/>
      <c r="J129" s="70"/>
    </row>
    <row r="130" spans="1:10" s="6" customFormat="1" x14ac:dyDescent="0.2">
      <c r="A130" s="79"/>
      <c r="B130" s="79"/>
      <c r="C130" s="79"/>
      <c r="D130" s="79"/>
      <c r="E130" s="79"/>
      <c r="F130" s="79"/>
      <c r="G130" s="79"/>
      <c r="H130" s="79"/>
      <c r="I130" s="79"/>
      <c r="J130" s="70"/>
    </row>
    <row r="131" spans="1:10" s="6" customFormat="1" x14ac:dyDescent="0.2">
      <c r="A131" s="79"/>
      <c r="B131" s="79"/>
      <c r="C131" s="79"/>
      <c r="D131" s="79"/>
      <c r="E131" s="79"/>
      <c r="F131" s="79"/>
      <c r="G131" s="79"/>
      <c r="H131" s="79"/>
      <c r="I131" s="79"/>
      <c r="J131" s="70"/>
    </row>
    <row r="132" spans="1:10" s="6" customFormat="1" ht="21" customHeight="1" x14ac:dyDescent="0.2">
      <c r="A132" s="80"/>
      <c r="B132" s="80"/>
      <c r="C132" s="80"/>
      <c r="D132" s="80"/>
      <c r="E132" s="80"/>
      <c r="F132" s="80"/>
      <c r="G132" s="81"/>
      <c r="H132" s="64" t="s">
        <v>3</v>
      </c>
      <c r="I132" s="65" t="s">
        <v>219</v>
      </c>
      <c r="J132" s="70"/>
    </row>
    <row r="133" spans="1:10" s="6" customFormat="1" ht="6" customHeight="1" x14ac:dyDescent="0.2">
      <c r="A133" s="63"/>
      <c r="B133" s="63"/>
      <c r="C133" s="63"/>
      <c r="D133" s="63"/>
      <c r="E133" s="63"/>
      <c r="F133" s="63"/>
      <c r="G133" s="63"/>
      <c r="J133" s="70"/>
    </row>
  </sheetData>
  <sheetProtection sheet="1" objects="1" scenarios="1" insertHyperlinks="0"/>
  <mergeCells count="56">
    <mergeCell ref="B27:C27"/>
    <mergeCell ref="E37:F37"/>
    <mergeCell ref="B33:C33"/>
    <mergeCell ref="B35:C35"/>
    <mergeCell ref="B29:C29"/>
    <mergeCell ref="B31:C31"/>
    <mergeCell ref="B37:C37"/>
    <mergeCell ref="D19:I19"/>
    <mergeCell ref="B3:C3"/>
    <mergeCell ref="B5:C5"/>
    <mergeCell ref="B7:C7"/>
    <mergeCell ref="B9:F9"/>
    <mergeCell ref="C11:F11"/>
    <mergeCell ref="D17:E17"/>
    <mergeCell ref="B13:F13"/>
    <mergeCell ref="B15:F15"/>
    <mergeCell ref="B17:C17"/>
    <mergeCell ref="B83:F83"/>
    <mergeCell ref="E61:F61"/>
    <mergeCell ref="E67:F67"/>
    <mergeCell ref="A71:C71"/>
    <mergeCell ref="E71:F71"/>
    <mergeCell ref="C79:F79"/>
    <mergeCell ref="A61:C61"/>
    <mergeCell ref="A39:C39"/>
    <mergeCell ref="B85:C85"/>
    <mergeCell ref="B44:C44"/>
    <mergeCell ref="B59:C59"/>
    <mergeCell ref="B41:C41"/>
    <mergeCell ref="B55:F55"/>
    <mergeCell ref="B73:C73"/>
    <mergeCell ref="B77:F77"/>
    <mergeCell ref="A63:C63"/>
    <mergeCell ref="E63:F63"/>
    <mergeCell ref="E73:F73"/>
    <mergeCell ref="A65:C65"/>
    <mergeCell ref="A69:C69"/>
    <mergeCell ref="E69:F69"/>
    <mergeCell ref="A67:C67"/>
    <mergeCell ref="B53:C53"/>
    <mergeCell ref="I63:I64"/>
    <mergeCell ref="I67:I68"/>
    <mergeCell ref="H23:I23"/>
    <mergeCell ref="H25:I25"/>
    <mergeCell ref="H63:H69"/>
    <mergeCell ref="G37:I37"/>
    <mergeCell ref="H57:I57"/>
    <mergeCell ref="H61:I61"/>
    <mergeCell ref="A38:I38"/>
    <mergeCell ref="A40:I40"/>
    <mergeCell ref="E59:F59"/>
    <mergeCell ref="B51:C51"/>
    <mergeCell ref="E65:F65"/>
    <mergeCell ref="B23:F23"/>
    <mergeCell ref="B25:F25"/>
    <mergeCell ref="E39:F39"/>
  </mergeCells>
  <phoneticPr fontId="15"/>
  <conditionalFormatting sqref="F5 B51:C51 F44 I44 F51 B53:C53">
    <cfRule type="cellIs" dxfId="42" priority="33" stopIfTrue="1" operator="equal">
      <formula>FALSE</formula>
    </cfRule>
  </conditionalFormatting>
  <conditionalFormatting sqref="L37:M37 E39:F39">
    <cfRule type="cellIs" dxfId="41" priority="34" stopIfTrue="1" operator="equal">
      <formula>FALSE</formula>
    </cfRule>
  </conditionalFormatting>
  <conditionalFormatting sqref="E73:F73">
    <cfRule type="cellIs" dxfId="40" priority="26" stopIfTrue="1" operator="equal">
      <formula>FALSE</formula>
    </cfRule>
    <cfRule type="cellIs" dxfId="39" priority="35" stopIfTrue="1" operator="equal">
      <formula>" "</formula>
    </cfRule>
  </conditionalFormatting>
  <conditionalFormatting sqref="G57">
    <cfRule type="cellIs" dxfId="38" priority="36" stopIfTrue="1" operator="equal">
      <formula>FALSE</formula>
    </cfRule>
    <cfRule type="cellIs" dxfId="37" priority="37" stopIfTrue="1" operator="equal">
      <formula>"REQUIRED!"</formula>
    </cfRule>
  </conditionalFormatting>
  <conditionalFormatting sqref="B5:C5">
    <cfRule type="cellIs" dxfId="36" priority="40" stopIfTrue="1" operator="equal">
      <formula>FALSE</formula>
    </cfRule>
    <cfRule type="cellIs" dxfId="35" priority="41" stopIfTrue="1" operator="equal">
      <formula>"Match prev PO"</formula>
    </cfRule>
  </conditionalFormatting>
  <conditionalFormatting sqref="B25:F25">
    <cfRule type="cellIs" dxfId="34" priority="52" stopIfTrue="1" operator="equal">
      <formula>0</formula>
    </cfRule>
  </conditionalFormatting>
  <conditionalFormatting sqref="G37:I37">
    <cfRule type="cellIs" dxfId="33" priority="53" stopIfTrue="1" operator="equal">
      <formula>FALSE</formula>
    </cfRule>
    <cfRule type="cellIs" dxfId="32" priority="54" stopIfTrue="1" operator="equal">
      <formula>"Indicate position here"</formula>
    </cfRule>
  </conditionalFormatting>
  <conditionalFormatting sqref="F53">
    <cfRule type="cellIs" dxfId="31" priority="55" stopIfTrue="1" operator="equal">
      <formula>FALSE</formula>
    </cfRule>
    <cfRule type="cellIs" dxfId="30" priority="56" stopIfTrue="1" operator="equal">
      <formula>"Indicate distance"</formula>
    </cfRule>
  </conditionalFormatting>
  <conditionalFormatting sqref="B9:F9">
    <cfRule type="cellIs" dxfId="29" priority="29" operator="equal">
      <formula>0</formula>
    </cfRule>
  </conditionalFormatting>
  <conditionalFormatting sqref="D17:E17">
    <cfRule type="containsErrors" dxfId="28" priority="61">
      <formula>ISERROR(D17)</formula>
    </cfRule>
  </conditionalFormatting>
  <conditionalFormatting sqref="I59 B59:C59 E61:F61 E63:F63 E65:F65 E67:F67 E69:F69 A61:C61 A63:C63 A65:C65 A67:C67 A69:C69">
    <cfRule type="cellIs" dxfId="27" priority="21" operator="equal">
      <formula>0</formula>
    </cfRule>
  </conditionalFormatting>
  <conditionalFormatting sqref="I9 I11 I13">
    <cfRule type="cellIs" dxfId="26" priority="20" operator="equal">
      <formula>0</formula>
    </cfRule>
  </conditionalFormatting>
  <conditionalFormatting sqref="C11:F11 B13:F13 B15:F15">
    <cfRule type="cellIs" dxfId="25" priority="18" operator="equal">
      <formula>0</formula>
    </cfRule>
  </conditionalFormatting>
  <conditionalFormatting sqref="F3">
    <cfRule type="cellIs" dxfId="24" priority="17" operator="equal">
      <formula>0</formula>
    </cfRule>
  </conditionalFormatting>
  <conditionalFormatting sqref="B27:C27 B29:C29 F29 B23:F23">
    <cfRule type="cellIs" dxfId="23" priority="16" operator="equal">
      <formula>0</formula>
    </cfRule>
  </conditionalFormatting>
  <conditionalFormatting sqref="H25:I25 I31">
    <cfRule type="cellIs" dxfId="22" priority="15" operator="equal">
      <formula>FALSE</formula>
    </cfRule>
  </conditionalFormatting>
  <conditionalFormatting sqref="I33 I35">
    <cfRule type="cellIs" dxfId="21" priority="8" operator="equal">
      <formula>"None"</formula>
    </cfRule>
    <cfRule type="cellIs" dxfId="20" priority="9" operator="equal">
      <formula>FALSE</formula>
    </cfRule>
    <cfRule type="cellIs" dxfId="19" priority="14" operator="equal">
      <formula>" "</formula>
    </cfRule>
  </conditionalFormatting>
  <conditionalFormatting sqref="H33">
    <cfRule type="cellIs" dxfId="18" priority="5" operator="equal">
      <formula>"None"</formula>
    </cfRule>
    <cfRule type="cellIs" dxfId="17" priority="6" operator="equal">
      <formula>FALSE</formula>
    </cfRule>
    <cfRule type="cellIs" dxfId="16" priority="7" operator="equal">
      <formula>"# Images AC Web:"</formula>
    </cfRule>
  </conditionalFormatting>
  <conditionalFormatting sqref="H35">
    <cfRule type="cellIs" dxfId="15" priority="2" operator="equal">
      <formula>"None"</formula>
    </cfRule>
    <cfRule type="cellIs" dxfId="14" priority="3" operator="equal">
      <formula>FALSE</formula>
    </cfRule>
    <cfRule type="cellIs" dxfId="13" priority="4" operator="equal">
      <formula>"# Images AR Cyl.:"</formula>
    </cfRule>
  </conditionalFormatting>
  <conditionalFormatting sqref="E71:F71 A71:C71">
    <cfRule type="cellIs" dxfId="12" priority="1" operator="equal">
      <formula>0</formula>
    </cfRule>
  </conditionalFormatting>
  <dataValidations xWindow="418" yWindow="632" count="42">
    <dataValidation type="list" showInputMessage="1" showErrorMessage="1" sqref="I17">
      <formula1>"BH, Isa, Larry, Victoria"</formula1>
    </dataValidation>
    <dataValidation type="list" showInputMessage="1" showErrorMessage="1" sqref="C74">
      <formula1>"Clear, White, Metalized, N/A, Other:"</formula1>
    </dataValidation>
    <dataValidation type="textLength" showInputMessage="1" showErrorMessage="1" sqref="I3">
      <formula1>1</formula1>
      <formula2>10</formula2>
    </dataValidation>
    <dataValidation type="decimal" showInputMessage="1" showErrorMessage="1" sqref="I27">
      <formula1>300</formula1>
      <formula2>800</formula2>
    </dataValidation>
    <dataValidation type="decimal" showInputMessage="1" showErrorMessage="1" sqref="F59">
      <formula1>1</formula1>
      <formula2>2000</formula2>
    </dataValidation>
    <dataValidation showInputMessage="1" showErrorMessage="1" sqref="I7 I85 F27"/>
    <dataValidation type="textLength" allowBlank="1" showInputMessage="1" showErrorMessage="1" prompt="If applicable, enter back image length (around cylinder)." sqref="F35">
      <formula1>1</formula1>
      <formula2>15</formula2>
    </dataValidation>
    <dataValidation type="textLength" allowBlank="1" showInputMessage="1" showErrorMessage="1" sqref="I5">
      <formula1>1</formula1>
      <formula2>20</formula2>
    </dataValidation>
    <dataValidation type="textLength" allowBlank="1" showInputMessage="1" showErrorMessage="1" sqref="E74:F74">
      <formula1>1</formula1>
      <formula2>50</formula2>
    </dataValidation>
    <dataValidation type="list" showInputMessage="1" showErrorMessage="1" prompt="Match Prev PO or All New?" sqref="B5:C5">
      <formula1>"Match prev PO, All new plates"</formula1>
    </dataValidation>
    <dataValidation type="list" showInputMessage="1" showErrorMessage="1" prompt="Select option from list." sqref="F5">
      <formula1>"Please confirm, All, N/A, 1,2,3,4,5,6,7,8,9,10,11,12"</formula1>
    </dataValidation>
    <dataValidation type="whole" showInputMessage="1" showErrorMessage="1" sqref="B29:C29">
      <formula1>1</formula1>
      <formula2>100</formula2>
    </dataValidation>
    <dataValidation type="list" showInputMessage="1" showErrorMessage="1" prompt="&quot;No&quot; is the default. Please verify." sqref="I41">
      <formula1>"No, Yes"</formula1>
    </dataValidation>
    <dataValidation type="decimal" showInputMessage="1" showErrorMessage="1" prompt="Enter point to point for stepping. This figure must include trim if applicable." sqref="B41:C41">
      <formula1>0.1</formula1>
      <formula2>1000</formula2>
    </dataValidation>
    <dataValidation type="textLength" showInputMessage="1" showErrorMessage="1" prompt="Right click to &quot;pick from list&quot; OR manually enter eyespot size." sqref="I44">
      <formula1>1</formula1>
      <formula2>15</formula2>
    </dataValidation>
    <dataValidation type="list" showInputMessage="1" showErrorMessage="1" prompt="Are die cavity numbers required?" sqref="I55">
      <formula1>"No, Yes (see layout)"</formula1>
    </dataValidation>
    <dataValidation type="textLength" allowBlank="1" showInputMessage="1" showErrorMessage="1" prompt="Enter &quot;Other&quot; distance, if applicable." sqref="F53">
      <formula1>1</formula1>
      <formula2>15</formula2>
    </dataValidation>
    <dataValidation type="textLength" showInputMessage="1" showErrorMessage="1" prompt="Insert package length (around cylinder)." sqref="F31">
      <formula1>1</formula1>
      <formula2>15</formula2>
    </dataValidation>
    <dataValidation type="textLength" showInputMessage="1" showErrorMessage="1" prompt="Enter image length (around cylinder)." sqref="F33">
      <formula1>1</formula1>
      <formula2>15</formula2>
    </dataValidation>
    <dataValidation type="list" showInputMessage="1" showErrorMessage="1" sqref="I83">
      <formula1>"BH,Isa,Larry,Victoria"</formula1>
    </dataValidation>
    <dataValidation type="textLength" allowBlank="1" showInputMessage="1" showErrorMessage="1" prompt="Indicate mm from a specific edge." sqref="G37:I37">
      <formula1>1</formula1>
      <formula2>100</formula2>
    </dataValidation>
    <dataValidation type="textLength" showInputMessage="1" showErrorMessage="1" prompt="Insert package width (across web)." sqref="B31:C31">
      <formula1>0</formula1>
      <formula2>15</formula2>
    </dataValidation>
    <dataValidation type="textLength" showInputMessage="1" showErrorMessage="1" prompt="Enter package width (across web)." sqref="B33:C33">
      <formula1>1</formula1>
      <formula2>15</formula2>
    </dataValidation>
    <dataValidation type="textLength" allowBlank="1" showInputMessage="1" showErrorMessage="1" prompt="If applicable, enter back image width (across web)." sqref="B35:C35">
      <formula1>1</formula1>
      <formula2>15</formula2>
    </dataValidation>
    <dataValidation type="list" showInputMessage="1" showErrorMessage="1" prompt="Select required option." sqref="B37:C37">
      <formula1>"Yes,No,Random,See Comments,See Drawing"</formula1>
    </dataValidation>
    <dataValidation type="list" showInputMessage="1" showErrorMessage="1" sqref="B44:C44">
      <formula1>"Yes, No"</formula1>
    </dataValidation>
    <dataValidation type="list" allowBlank="1" showInputMessage="1" showErrorMessage="1" sqref="B55:F55">
      <formula1>"N/A,Fill in web, Other (see comments / layout sketch)"</formula1>
    </dataValidation>
    <dataValidation type="list" showInputMessage="1" showErrorMessage="1" sqref="B3:C3">
      <formula1>"New Item, RWC"</formula1>
    </dataValidation>
    <dataValidation type="list" showInputMessage="1" showErrorMessage="1" prompt="&quot;Clear&quot; is the default. Please verify." sqref="B73:C73">
      <formula1>"Clear, White, Metalized, N/A, Other:"</formula1>
    </dataValidation>
    <dataValidation type="list" showInputMessage="1" showErrorMessage="1" sqref="F51">
      <formula1>"Every Repeat,Every 2 Repeats,Every 3 Repeats,Every 4 Repeats,See Layout,See Comments"</formula1>
    </dataValidation>
    <dataValidation type="list" showInputMessage="1" showErrorMessage="1" sqref="B51:C51">
      <formula1>"1,2,3,4,See Layout"</formula1>
    </dataValidation>
    <dataValidation type="list" showInputMessage="1" showErrorMessage="1" sqref="B53:C53">
      <formula1>"Std (3mm),2mm,1.5mm,1mm,Centered,Other,See Layout,Per 1 up PDF,N/A"</formula1>
    </dataValidation>
    <dataValidation type="textLength" showInputMessage="1" showErrorMessage="1" prompt="Enter image repeat. If there is trim, enter &quot;See Layout&quot;." sqref="F41">
      <formula1>1</formula1>
      <formula2>15</formula2>
    </dataValidation>
    <dataValidation allowBlank="1" showInputMessage="1" showErrorMessage="1" prompt="If this request doesn't apply to all items, indicate applicable # of items (out of total). Example: 2 of 5." sqref="I79 I81"/>
    <dataValidation type="list" allowBlank="1" showInputMessage="1" showErrorMessage="1" prompt="&quot;Yes&quot; is the default. PLEASE VERIFY." sqref="I53">
      <formula1>"Yes,No (see drawing)"</formula1>
    </dataValidation>
    <dataValidation type="list" allowBlank="1" showInputMessage="1" showErrorMessage="1" prompt="When field is YELLOW, select pertinent number" sqref="D17:E17">
      <formula1>"611,621"</formula1>
    </dataValidation>
    <dataValidation allowBlank="1" showInputMessage="1" showErrorMessage="1" prompt="ONLY for continuous print, enter # of images printing across web if known" sqref="H33:I33"/>
    <dataValidation allowBlank="1" showInputMessage="1" showErrorMessage="1" prompt="ONLY for continuous print, enter # of images printing around cylinder if known" sqref="H35:I35"/>
    <dataValidation type="list" showInputMessage="1" showErrorMessage="1" prompt="Select colour from list. Select &quot;see comments&quot; for special colours or instructions." sqref="F44">
      <formula1>"N/A, Black,Black / OL,Spot Black,Spot Black / OL ,Blue,Brown,Burgundy,Green,White, Clear,See Comments "</formula1>
    </dataValidation>
    <dataValidation type="list" allowBlank="1" showInputMessage="1" showErrorMessage="1" sqref="D19:I19 B83:F83">
      <formula1>"N/A, 1 up PDF, Stepped PDF, 1 up &amp; Stepped PDF, Contract Proof, Rev 1 up PDF, Rev Stepped PDF, Rev 1 up &amp; Stepped PDF, Rev Contract Proof, 100% Content Proof, 100% Stepped Proof, Rev 100% Content Proof, Rev 100% Stepped Proof, Other (see comments)"</formula1>
    </dataValidation>
    <dataValidation type="textLength" showInputMessage="1" showErrorMessage="1" prompt="ONLY if laminated to &quot;Other&quot;, enter description here." sqref="E73:F73">
      <formula1>0</formula1>
      <formula2>30</formula2>
    </dataValidation>
    <dataValidation allowBlank="1" showInputMessage="1" showErrorMessage="1" prompt="Enter item # (and revision # if applicable). Example: 3-R2" sqref="B11"/>
  </dataValidations>
  <printOptions horizontalCentered="1"/>
  <pageMargins left="0.5" right="0.5" top="0.25" bottom="0.5" header="0.5" footer="0.13"/>
  <pageSetup orientation="portrait" horizontalDpi="4294967292" verticalDpi="4294967292" r:id="rId1"/>
  <headerFooter alignWithMargins="0">
    <oddFooter>&amp;L&amp;9&amp;K000000Issue Date: 1 Feb 2016&amp;C&amp;9Revision No.: 0&amp;R&amp;9&amp;K000000Revision Date: N/A</oddFooter>
  </headerFooter>
  <rowBreaks count="1" manualBreakCount="1">
    <brk id="73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5</xdr:col>
                    <xdr:colOff>285750</xdr:colOff>
                    <xdr:row>56</xdr:row>
                    <xdr:rowOff>152400</xdr:rowOff>
                  </from>
                  <to>
                    <xdr:col>5</xdr:col>
                    <xdr:colOff>628650</xdr:colOff>
                    <xdr:row>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5</xdr:col>
                    <xdr:colOff>285750</xdr:colOff>
                    <xdr:row>56</xdr:row>
                    <xdr:rowOff>152400</xdr:rowOff>
                  </from>
                  <to>
                    <xdr:col>5</xdr:col>
                    <xdr:colOff>628650</xdr:colOff>
                    <xdr:row>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5</xdr:col>
                    <xdr:colOff>285750</xdr:colOff>
                    <xdr:row>56</xdr:row>
                    <xdr:rowOff>152400</xdr:rowOff>
                  </from>
                  <to>
                    <xdr:col>5</xdr:col>
                    <xdr:colOff>628650</xdr:colOff>
                    <xdr:row>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7" name="Check Box -1021">
              <controlPr defaultSize="0" autoFill="0" autoLine="0" autoPict="0">
                <anchor moveWithCells="1">
                  <from>
                    <xdr:col>5</xdr:col>
                    <xdr:colOff>285750</xdr:colOff>
                    <xdr:row>56</xdr:row>
                    <xdr:rowOff>152400</xdr:rowOff>
                  </from>
                  <to>
                    <xdr:col>5</xdr:col>
                    <xdr:colOff>628650</xdr:colOff>
                    <xdr:row>58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1">
    <tabColor theme="6" tint="-0.249977111117893"/>
  </sheetPr>
  <dimension ref="A1:I68"/>
  <sheetViews>
    <sheetView showGridLines="0" zoomScale="120" workbookViewId="0">
      <selection activeCell="B3" sqref="B3:C3"/>
    </sheetView>
  </sheetViews>
  <sheetFormatPr defaultColWidth="8.85546875" defaultRowHeight="12.75" x14ac:dyDescent="0.2"/>
  <cols>
    <col min="1" max="1" width="12.7109375" style="6" customWidth="1"/>
    <col min="2" max="2" width="5.7109375" style="6" customWidth="1"/>
    <col min="3" max="3" width="9.140625" style="6" customWidth="1"/>
    <col min="4" max="4" width="1" style="6" customWidth="1"/>
    <col min="5" max="6" width="13.85546875" style="6" customWidth="1"/>
    <col min="7" max="7" width="1" style="6" customWidth="1"/>
    <col min="8" max="8" width="13.7109375" style="6" customWidth="1"/>
    <col min="9" max="9" width="13.85546875" style="6" customWidth="1"/>
    <col min="10" max="16384" width="8.85546875" style="6"/>
  </cols>
  <sheetData>
    <row r="1" spans="1:9" ht="20.100000000000001" customHeight="1" x14ac:dyDescent="0.2">
      <c r="A1" s="3" t="s">
        <v>251</v>
      </c>
      <c r="B1" s="3"/>
      <c r="C1" s="4"/>
      <c r="D1" s="4"/>
      <c r="E1" s="4"/>
      <c r="F1" s="4"/>
      <c r="G1" s="4"/>
      <c r="H1" s="4"/>
      <c r="I1" s="4"/>
    </row>
    <row r="2" spans="1:9" ht="5.0999999999999996" customHeight="1" x14ac:dyDescent="0.2">
      <c r="A2" s="11"/>
      <c r="B2" s="11"/>
      <c r="C2" s="11"/>
      <c r="D2" s="11"/>
      <c r="E2" s="11"/>
      <c r="F2" s="11"/>
      <c r="G2" s="11"/>
      <c r="H2" s="11"/>
      <c r="I2" s="11"/>
    </row>
    <row r="3" spans="1:9" ht="14.1" customHeight="1" x14ac:dyDescent="0.2">
      <c r="A3" s="25" t="s">
        <v>248</v>
      </c>
      <c r="B3" s="240"/>
      <c r="C3" s="241"/>
      <c r="D3" s="33"/>
      <c r="E3" s="22" t="s">
        <v>199</v>
      </c>
      <c r="F3" s="145" t="b">
        <f>ICM!B5</f>
        <v>0</v>
      </c>
      <c r="G3" s="12"/>
      <c r="H3" s="37" t="s">
        <v>33</v>
      </c>
      <c r="I3" s="151">
        <f>ICM!I3</f>
        <v>0</v>
      </c>
    </row>
    <row r="4" spans="1:9" ht="3" customHeight="1" x14ac:dyDescent="0.2">
      <c r="A4" s="27"/>
      <c r="B4" s="27"/>
      <c r="C4" s="12"/>
      <c r="D4" s="12"/>
      <c r="E4" s="12"/>
      <c r="F4" s="12"/>
      <c r="G4" s="12"/>
      <c r="H4" s="27"/>
      <c r="I4" s="12"/>
    </row>
    <row r="5" spans="1:9" ht="14.1" customHeight="1" x14ac:dyDescent="0.2">
      <c r="A5" s="90" t="s">
        <v>108</v>
      </c>
      <c r="B5" s="259"/>
      <c r="C5" s="260"/>
      <c r="D5" s="60"/>
      <c r="E5" s="120" t="s">
        <v>24</v>
      </c>
      <c r="F5" s="118"/>
      <c r="G5" s="12"/>
      <c r="H5" s="119" t="s">
        <v>134</v>
      </c>
      <c r="I5" s="114"/>
    </row>
    <row r="6" spans="1:9" ht="3" customHeight="1" x14ac:dyDescent="0.2">
      <c r="A6" s="11"/>
      <c r="B6" s="11"/>
      <c r="C6" s="11"/>
      <c r="D6" s="11"/>
      <c r="E6" s="11"/>
      <c r="F6" s="11"/>
      <c r="G6" s="11"/>
      <c r="H6" s="11"/>
      <c r="I6" s="11"/>
    </row>
    <row r="7" spans="1:9" ht="14.1" customHeight="1" x14ac:dyDescent="0.2">
      <c r="A7" s="25" t="s">
        <v>54</v>
      </c>
      <c r="B7" s="242">
        <f>'Roll Stock Checklist'!B7</f>
        <v>0</v>
      </c>
      <c r="C7" s="271"/>
      <c r="D7" s="271"/>
      <c r="E7" s="271"/>
      <c r="F7" s="272"/>
      <c r="G7"/>
      <c r="H7" s="23" t="s">
        <v>276</v>
      </c>
      <c r="I7" s="147">
        <f>'Roll Stock Checklist'!B5</f>
        <v>0</v>
      </c>
    </row>
    <row r="8" spans="1:9" ht="3" customHeight="1" x14ac:dyDescent="0.2">
      <c r="A8" s="27"/>
      <c r="B8" s="27"/>
      <c r="C8" s="12"/>
      <c r="D8" s="12"/>
      <c r="E8" s="12"/>
      <c r="F8" s="12"/>
      <c r="G8" s="12"/>
      <c r="H8" s="27"/>
      <c r="I8" s="12"/>
    </row>
    <row r="9" spans="1:9" ht="14.1" customHeight="1" x14ac:dyDescent="0.2">
      <c r="A9" s="22" t="s">
        <v>131</v>
      </c>
      <c r="B9" s="146">
        <f>ICM!B11</f>
        <v>0</v>
      </c>
      <c r="C9" s="261">
        <f>'Roll Stock Checklist'!C11</f>
        <v>0</v>
      </c>
      <c r="D9" s="261"/>
      <c r="E9" s="261"/>
      <c r="F9" s="262"/>
      <c r="G9" s="12"/>
      <c r="H9" s="23" t="s">
        <v>36</v>
      </c>
      <c r="I9" s="107">
        <f>'Roll Stock Checklist'!I9</f>
        <v>0</v>
      </c>
    </row>
    <row r="10" spans="1:9" ht="3" customHeight="1" x14ac:dyDescent="0.2">
      <c r="A10" s="27"/>
      <c r="B10" s="27"/>
      <c r="C10" s="12"/>
      <c r="D10" s="12"/>
      <c r="E10" s="12"/>
      <c r="F10" s="12"/>
      <c r="G10" s="12"/>
      <c r="H10" s="27"/>
      <c r="I10" s="12"/>
    </row>
    <row r="11" spans="1:9" ht="17.100000000000001" customHeight="1" x14ac:dyDescent="0.2">
      <c r="H11" s="58" t="s">
        <v>119</v>
      </c>
      <c r="I11" s="106"/>
    </row>
    <row r="12" spans="1:9" ht="3" customHeight="1" x14ac:dyDescent="0.2"/>
    <row r="13" spans="1:9" ht="14.1" customHeight="1" x14ac:dyDescent="0.2">
      <c r="A13" s="25" t="s">
        <v>246</v>
      </c>
      <c r="B13" s="240"/>
      <c r="C13" s="241"/>
      <c r="D13" s="24"/>
      <c r="E13" s="22" t="s">
        <v>58</v>
      </c>
      <c r="F13" s="107"/>
      <c r="H13" s="23" t="s">
        <v>55</v>
      </c>
      <c r="I13" s="108"/>
    </row>
    <row r="14" spans="1:9" ht="3" customHeight="1" x14ac:dyDescent="0.2"/>
    <row r="15" spans="1:9" ht="17.100000000000001" customHeight="1" x14ac:dyDescent="0.2">
      <c r="A15" s="3" t="s">
        <v>135</v>
      </c>
      <c r="B15" s="3"/>
      <c r="C15" s="8"/>
      <c r="D15" s="8"/>
      <c r="E15" s="270" t="b">
        <f>IF(ICM!I31="Yes","**CONTINUOUS STEP**")</f>
        <v>0</v>
      </c>
      <c r="F15" s="270"/>
      <c r="G15" s="8"/>
      <c r="H15" s="8"/>
      <c r="I15" s="8"/>
    </row>
    <row r="16" spans="1:9" ht="5.0999999999999996" customHeight="1" x14ac:dyDescent="0.2"/>
    <row r="17" spans="1:9" ht="17.100000000000001" customHeight="1" x14ac:dyDescent="0.2">
      <c r="A17" s="22" t="s">
        <v>61</v>
      </c>
      <c r="B17" s="228">
        <f>ICM!B27</f>
        <v>0</v>
      </c>
      <c r="C17" s="229"/>
      <c r="D17" s="15"/>
      <c r="E17" s="22" t="s">
        <v>152</v>
      </c>
      <c r="F17" s="107"/>
      <c r="G17" s="15"/>
      <c r="H17" s="22" t="s">
        <v>186</v>
      </c>
      <c r="I17" s="104">
        <f>ICM!I27</f>
        <v>0</v>
      </c>
    </row>
    <row r="18" spans="1:9" ht="5.0999999999999996" customHeight="1" x14ac:dyDescent="0.2">
      <c r="A18" s="26"/>
      <c r="B18" s="26"/>
      <c r="C18" s="47"/>
      <c r="D18" s="14"/>
      <c r="E18" s="26"/>
      <c r="F18" s="47"/>
      <c r="G18" s="14"/>
      <c r="H18" s="54"/>
      <c r="I18" s="57"/>
    </row>
    <row r="19" spans="1:9" ht="17.100000000000001" customHeight="1" x14ac:dyDescent="0.2">
      <c r="A19" s="22" t="s">
        <v>22</v>
      </c>
      <c r="B19" s="228" t="b">
        <f>IF(ICM!I31="Yes",ICM!I33,IF(ICM!I31="No",ICM!B29))</f>
        <v>0</v>
      </c>
      <c r="C19" s="229"/>
      <c r="D19" s="14"/>
      <c r="E19" s="22" t="s">
        <v>65</v>
      </c>
      <c r="F19" s="107" t="b">
        <f>IF(ICM!I31="Yes",ICM!I35,IF(ICM!I31="No"," "))</f>
        <v>0</v>
      </c>
      <c r="G19"/>
      <c r="H19" s="22" t="s">
        <v>37</v>
      </c>
      <c r="I19" s="148" t="e">
        <f>ICM!I29</f>
        <v>#DIV/0!</v>
      </c>
    </row>
    <row r="20" spans="1:9" ht="5.0999999999999996" customHeight="1" x14ac:dyDescent="0.2">
      <c r="A20" s="53"/>
      <c r="B20" s="53"/>
      <c r="C20" s="56"/>
      <c r="D20" s="14"/>
      <c r="E20" s="26"/>
      <c r="F20" s="47"/>
      <c r="G20" s="14"/>
      <c r="H20" s="26"/>
      <c r="I20" s="20"/>
    </row>
    <row r="21" spans="1:9" ht="17.100000000000001" customHeight="1" x14ac:dyDescent="0.2">
      <c r="A21" s="50" t="s">
        <v>195</v>
      </c>
      <c r="B21" s="240">
        <f>ICM!B41</f>
        <v>0</v>
      </c>
      <c r="C21" s="241"/>
      <c r="D21" s="14"/>
      <c r="E21" s="22" t="s">
        <v>81</v>
      </c>
      <c r="F21" s="110" t="e">
        <f>I17/F19</f>
        <v>#DIV/0!</v>
      </c>
      <c r="G21" s="14"/>
      <c r="H21" s="52" t="s">
        <v>90</v>
      </c>
      <c r="I21" s="107" t="str">
        <f>ICM!I41</f>
        <v>No</v>
      </c>
    </row>
    <row r="22" spans="1:9" ht="5.0999999999999996" customHeight="1" x14ac:dyDescent="0.2">
      <c r="A22" s="24"/>
      <c r="B22" s="24"/>
      <c r="C22" s="15"/>
      <c r="D22" s="15"/>
      <c r="E22" s="24"/>
      <c r="F22" s="15"/>
      <c r="G22" s="15"/>
      <c r="H22" s="26"/>
      <c r="I22" s="14"/>
    </row>
    <row r="23" spans="1:9" ht="17.100000000000001" customHeight="1" x14ac:dyDescent="0.2">
      <c r="A23" s="21" t="s">
        <v>168</v>
      </c>
      <c r="B23" s="240"/>
      <c r="C23" s="241"/>
      <c r="D23" s="15"/>
      <c r="E23" s="22" t="s">
        <v>167</v>
      </c>
      <c r="F23" s="106" t="b">
        <f>IF(B23="No","N/A",IF(B23="Yes",ICM!F44))</f>
        <v>0</v>
      </c>
      <c r="G23" s="15"/>
      <c r="H23" s="22" t="s">
        <v>187</v>
      </c>
      <c r="I23" s="107" t="b">
        <f>IF(B23="No","N/A",IF(B23="Yes",ICM!I44))</f>
        <v>0</v>
      </c>
    </row>
    <row r="24" spans="1:9" ht="24" hidden="1" customHeight="1" x14ac:dyDescent="0.2">
      <c r="A24" s="32"/>
      <c r="B24" s="32"/>
      <c r="C24" s="51"/>
      <c r="D24" s="14"/>
      <c r="E24" s="26"/>
      <c r="F24" s="51"/>
      <c r="G24" s="14"/>
      <c r="H24" s="26"/>
      <c r="I24" s="51" t="s">
        <v>156</v>
      </c>
    </row>
    <row r="25" spans="1:9" ht="24" hidden="1" customHeight="1" x14ac:dyDescent="0.2">
      <c r="A25" s="32"/>
      <c r="B25" s="32"/>
      <c r="C25" s="51"/>
      <c r="D25" s="14"/>
      <c r="E25" s="26"/>
      <c r="F25" s="51"/>
      <c r="G25" s="14"/>
      <c r="H25" s="26"/>
      <c r="I25" s="51" t="s">
        <v>32</v>
      </c>
    </row>
    <row r="26" spans="1:9" ht="24" hidden="1" customHeight="1" x14ac:dyDescent="0.2">
      <c r="A26" s="32"/>
      <c r="B26" s="32"/>
      <c r="C26" s="51"/>
      <c r="D26" s="14"/>
      <c r="E26" s="26"/>
      <c r="F26" s="51"/>
      <c r="G26" s="14"/>
      <c r="H26" s="26"/>
      <c r="I26" s="51" t="s">
        <v>125</v>
      </c>
    </row>
    <row r="27" spans="1:9" ht="24" hidden="1" customHeight="1" x14ac:dyDescent="0.2">
      <c r="A27" s="32"/>
      <c r="B27" s="32"/>
      <c r="C27" s="51"/>
      <c r="D27" s="14"/>
      <c r="E27" s="26"/>
      <c r="F27" s="51"/>
      <c r="G27" s="14"/>
      <c r="H27" s="26"/>
      <c r="I27" s="5" t="s">
        <v>149</v>
      </c>
    </row>
    <row r="28" spans="1:9" ht="5.0999999999999996" customHeight="1" x14ac:dyDescent="0.2">
      <c r="A28" s="24"/>
      <c r="B28" s="24"/>
      <c r="C28" s="15"/>
      <c r="D28" s="15"/>
      <c r="E28" s="24"/>
      <c r="F28" s="15"/>
      <c r="G28" s="15"/>
      <c r="H28" s="14"/>
      <c r="I28" s="14"/>
    </row>
    <row r="29" spans="1:9" ht="17.100000000000001" customHeight="1" x14ac:dyDescent="0.2">
      <c r="A29" s="22" t="s">
        <v>56</v>
      </c>
      <c r="B29" s="266" t="b">
        <f>IF(B23="No","N/A",IF(B23="Yes",ICM!B51))</f>
        <v>0</v>
      </c>
      <c r="C29" s="267"/>
      <c r="D29" s="15"/>
      <c r="E29" s="22" t="s">
        <v>78</v>
      </c>
      <c r="F29" s="106" t="b">
        <f>IF(B23="No","N/A",IF(B23="Yes",ICM!F51))</f>
        <v>0</v>
      </c>
      <c r="G29" s="15"/>
      <c r="H29" s="14"/>
      <c r="I29" s="14"/>
    </row>
    <row r="30" spans="1:9" ht="5.0999999999999996" customHeight="1" x14ac:dyDescent="0.2">
      <c r="A30" s="24"/>
      <c r="B30" s="24"/>
      <c r="C30" s="15"/>
      <c r="D30" s="15"/>
      <c r="E30" s="24"/>
      <c r="F30" s="15"/>
      <c r="G30" s="15"/>
      <c r="H30" s="14"/>
      <c r="I30" s="14"/>
    </row>
    <row r="31" spans="1:9" ht="17.100000000000001" customHeight="1" x14ac:dyDescent="0.2">
      <c r="A31" s="22" t="s">
        <v>68</v>
      </c>
      <c r="B31" s="257" t="b">
        <f>IF(B23="No","N/A",IF(B23="Yes",ICM!B53))</f>
        <v>0</v>
      </c>
      <c r="C31" s="258"/>
      <c r="E31" s="69" t="s">
        <v>122</v>
      </c>
      <c r="F31" s="109" t="b">
        <f>IF(B23="No","N/A",IF(B23="Yes",ICM!F53))</f>
        <v>0</v>
      </c>
      <c r="G31" s="47"/>
    </row>
    <row r="32" spans="1:9" ht="5.0999999999999996" customHeight="1" x14ac:dyDescent="0.2">
      <c r="A32"/>
      <c r="B32"/>
      <c r="C32"/>
      <c r="D32" s="15"/>
      <c r="E32" s="15"/>
      <c r="F32" s="15"/>
      <c r="G32" s="15"/>
      <c r="H32" s="15"/>
      <c r="I32" s="15"/>
    </row>
    <row r="33" spans="1:9" ht="17.100000000000001" customHeight="1" x14ac:dyDescent="0.2">
      <c r="A33" s="22" t="s">
        <v>16</v>
      </c>
      <c r="B33" s="257"/>
      <c r="C33" s="258"/>
      <c r="D33" s="15"/>
      <c r="E33" s="50" t="s">
        <v>225</v>
      </c>
      <c r="F33" s="107"/>
      <c r="G33"/>
      <c r="H33" s="93" t="s">
        <v>85</v>
      </c>
      <c r="I33" s="106">
        <f>ICM!I53</f>
        <v>0</v>
      </c>
    </row>
    <row r="34" spans="1:9" ht="5.0999999999999996" customHeight="1" x14ac:dyDescent="0.2">
      <c r="A34"/>
      <c r="B34"/>
      <c r="C34"/>
      <c r="D34" s="15"/>
      <c r="E34" s="30"/>
      <c r="F34" s="20"/>
      <c r="G34" s="15"/>
      <c r="H34" s="14"/>
      <c r="I34"/>
    </row>
    <row r="35" spans="1:9" ht="17.100000000000001" customHeight="1" x14ac:dyDescent="0.2">
      <c r="A35" s="21" t="s">
        <v>0</v>
      </c>
      <c r="B35" s="257"/>
      <c r="C35" s="257"/>
      <c r="D35" s="257"/>
      <c r="E35" s="257"/>
      <c r="F35" s="258"/>
      <c r="G35"/>
      <c r="H35" s="22" t="s">
        <v>153</v>
      </c>
      <c r="I35" s="106">
        <f>ICM!I55</f>
        <v>0</v>
      </c>
    </row>
    <row r="36" spans="1:9" ht="5.0999999999999996" customHeight="1" x14ac:dyDescent="0.2">
      <c r="A36" s="24"/>
      <c r="B36" s="24"/>
      <c r="C36" s="15"/>
      <c r="D36" s="15"/>
      <c r="E36" s="15"/>
      <c r="F36" s="15"/>
      <c r="G36" s="15"/>
      <c r="H36" s="15"/>
      <c r="I36" s="15"/>
    </row>
    <row r="37" spans="1:9" ht="17.100000000000001" customHeight="1" x14ac:dyDescent="0.2">
      <c r="A37" s="22" t="s">
        <v>50</v>
      </c>
      <c r="B37" s="228">
        <f>'Roll Stock Checklist'!F25</f>
        <v>0</v>
      </c>
      <c r="C37" s="228"/>
      <c r="D37" s="228"/>
      <c r="E37" s="228"/>
      <c r="F37" s="229"/>
      <c r="G37" s="15"/>
      <c r="H37" s="52" t="s">
        <v>151</v>
      </c>
      <c r="I37" s="149">
        <f>'Roll Stock Checklist'!F39</f>
        <v>0</v>
      </c>
    </row>
    <row r="38" spans="1:9" ht="5.0999999999999996" customHeight="1" x14ac:dyDescent="0.2">
      <c r="A38" s="24"/>
      <c r="B38" s="24"/>
      <c r="C38" s="15"/>
      <c r="D38" s="15"/>
      <c r="E38" s="15"/>
      <c r="F38" s="15"/>
      <c r="G38" s="15"/>
      <c r="H38" s="15"/>
      <c r="I38" s="15"/>
    </row>
    <row r="39" spans="1:9" ht="20.100000000000001" customHeight="1" x14ac:dyDescent="0.2">
      <c r="A39" s="3" t="s">
        <v>30</v>
      </c>
      <c r="B39" s="3"/>
      <c r="C39" s="8"/>
      <c r="D39" s="8"/>
      <c r="E39" s="8"/>
      <c r="F39" s="8"/>
      <c r="G39" s="8"/>
      <c r="H39" s="8"/>
      <c r="I39" s="8"/>
    </row>
    <row r="40" spans="1:9" ht="5.0999999999999996" customHeight="1" x14ac:dyDescent="0.2">
      <c r="A40" s="85"/>
      <c r="B40" s="132"/>
      <c r="C40" s="132"/>
      <c r="D40" s="132"/>
      <c r="E40" s="132"/>
      <c r="F40" s="132"/>
      <c r="G40" s="132"/>
      <c r="H40" s="132"/>
      <c r="I40" s="132"/>
    </row>
    <row r="41" spans="1:9" ht="15" customHeight="1" x14ac:dyDescent="0.2">
      <c r="A41" s="22" t="s">
        <v>198</v>
      </c>
      <c r="B41" s="268">
        <f>ICM!I5</f>
        <v>0</v>
      </c>
      <c r="C41" s="269"/>
      <c r="D41" s="134"/>
      <c r="E41" s="132"/>
      <c r="F41" s="132"/>
      <c r="G41" s="132"/>
      <c r="H41" s="132"/>
      <c r="I41" s="132"/>
    </row>
    <row r="42" spans="1:9" ht="5.0999999999999996" customHeight="1" x14ac:dyDescent="0.2">
      <c r="A42" s="133"/>
      <c r="B42" s="133"/>
      <c r="C42" s="133"/>
      <c r="D42" s="132"/>
      <c r="E42" s="132"/>
      <c r="F42" s="132"/>
      <c r="G42" s="132"/>
      <c r="H42" s="132"/>
      <c r="I42" s="132"/>
    </row>
    <row r="43" spans="1:9" ht="12" customHeight="1" x14ac:dyDescent="0.2">
      <c r="A43" s="86"/>
      <c r="B43" s="86"/>
      <c r="C43" s="86"/>
      <c r="D43" s="86"/>
      <c r="E43" s="86"/>
      <c r="F43" s="86"/>
      <c r="G43" s="86"/>
      <c r="H43" s="86"/>
      <c r="I43" s="86"/>
    </row>
    <row r="44" spans="1:9" ht="12" customHeight="1" x14ac:dyDescent="0.2">
      <c r="A44" s="79"/>
      <c r="B44" s="79"/>
      <c r="C44" s="79"/>
      <c r="D44" s="79"/>
      <c r="E44" s="79"/>
      <c r="F44" s="79"/>
      <c r="G44" s="79"/>
      <c r="H44" s="79"/>
      <c r="I44" s="79"/>
    </row>
    <row r="45" spans="1:9" ht="12" customHeight="1" x14ac:dyDescent="0.2">
      <c r="A45" s="79"/>
      <c r="B45" s="79"/>
      <c r="C45" s="79"/>
      <c r="D45" s="79"/>
      <c r="E45" s="79"/>
      <c r="F45" s="79"/>
      <c r="G45" s="79"/>
      <c r="H45" s="79"/>
      <c r="I45" s="79"/>
    </row>
    <row r="46" spans="1:9" ht="12" customHeight="1" x14ac:dyDescent="0.2">
      <c r="A46" s="79"/>
      <c r="B46" s="79"/>
      <c r="C46" s="79"/>
      <c r="D46" s="79"/>
      <c r="E46" s="79"/>
      <c r="F46" s="79"/>
      <c r="G46" s="79"/>
      <c r="H46" s="79"/>
      <c r="I46" s="79"/>
    </row>
    <row r="47" spans="1:9" ht="12" customHeight="1" x14ac:dyDescent="0.2">
      <c r="A47" s="79"/>
      <c r="B47" s="79"/>
      <c r="C47" s="79"/>
      <c r="D47" s="79"/>
      <c r="E47" s="79"/>
      <c r="F47" s="79"/>
      <c r="G47" s="79"/>
      <c r="H47" s="79"/>
      <c r="I47" s="79"/>
    </row>
    <row r="48" spans="1:9" ht="12" customHeight="1" x14ac:dyDescent="0.2">
      <c r="A48" s="86"/>
      <c r="B48" s="86"/>
      <c r="C48" s="86"/>
      <c r="D48" s="86"/>
      <c r="E48" s="86"/>
      <c r="F48" s="86"/>
      <c r="G48" s="86"/>
      <c r="H48" s="86"/>
      <c r="I48" s="86"/>
    </row>
    <row r="49" spans="1:9" ht="12" customHeight="1" x14ac:dyDescent="0.2">
      <c r="A49" s="79"/>
      <c r="B49" s="79"/>
      <c r="C49" s="79"/>
      <c r="D49" s="79"/>
      <c r="E49" s="79"/>
      <c r="F49" s="79"/>
      <c r="G49" s="79"/>
      <c r="H49" s="79"/>
      <c r="I49" s="79"/>
    </row>
    <row r="50" spans="1:9" ht="12" customHeight="1" x14ac:dyDescent="0.2">
      <c r="A50" s="85"/>
      <c r="B50" s="85"/>
      <c r="C50" s="85"/>
      <c r="D50" s="85"/>
      <c r="E50" s="85"/>
      <c r="F50" s="85"/>
      <c r="G50" s="85"/>
      <c r="H50" s="85"/>
      <c r="I50" s="85"/>
    </row>
    <row r="51" spans="1:9" ht="20.100000000000001" customHeight="1" x14ac:dyDescent="0.2">
      <c r="A51" s="3" t="s">
        <v>74</v>
      </c>
      <c r="B51" s="3"/>
      <c r="C51" s="8"/>
      <c r="D51" s="8"/>
      <c r="E51" s="8"/>
      <c r="F51" s="8"/>
      <c r="G51" s="8"/>
      <c r="H51" s="8"/>
      <c r="I51" s="8"/>
    </row>
    <row r="68" spans="8:9" ht="18.75" customHeight="1" x14ac:dyDescent="0.2">
      <c r="H68" s="48"/>
      <c r="I68" s="62"/>
    </row>
  </sheetData>
  <sheetProtection sheet="1" objects="1" scenarios="1"/>
  <mergeCells count="16">
    <mergeCell ref="B3:C3"/>
    <mergeCell ref="B5:C5"/>
    <mergeCell ref="B41:C41"/>
    <mergeCell ref="E15:F15"/>
    <mergeCell ref="C9:F9"/>
    <mergeCell ref="B7:F7"/>
    <mergeCell ref="B37:F37"/>
    <mergeCell ref="B35:F35"/>
    <mergeCell ref="B13:C13"/>
    <mergeCell ref="B17:C17"/>
    <mergeCell ref="B19:C19"/>
    <mergeCell ref="B23:C23"/>
    <mergeCell ref="B33:C33"/>
    <mergeCell ref="B31:C31"/>
    <mergeCell ref="B29:C29"/>
    <mergeCell ref="B21:C21"/>
  </mergeCells>
  <phoneticPr fontId="4" type="noConversion"/>
  <conditionalFormatting sqref="I37 I3 B17:C17 I17 B9:C9 B7">
    <cfRule type="cellIs" dxfId="11" priority="6" stopIfTrue="1" operator="equal">
      <formula>0</formula>
    </cfRule>
  </conditionalFormatting>
  <conditionalFormatting sqref="I35 B21:C21 B23:C23 I9">
    <cfRule type="cellIs" dxfId="10" priority="7" stopIfTrue="1" operator="equal">
      <formula>0</formula>
    </cfRule>
  </conditionalFormatting>
  <conditionalFormatting sqref="F23 B33 F29 I23 F31 B29:C29 B31:C31">
    <cfRule type="cellIs" dxfId="9" priority="8" stopIfTrue="1" operator="equal">
      <formula>FALSE</formula>
    </cfRule>
  </conditionalFormatting>
  <conditionalFormatting sqref="B19:C19">
    <cfRule type="cellIs" dxfId="8" priority="9" stopIfTrue="1" operator="equal">
      <formula>FALSE</formula>
    </cfRule>
  </conditionalFormatting>
  <conditionalFormatting sqref="B3:C3">
    <cfRule type="cellIs" dxfId="7" priority="10" stopIfTrue="1" operator="equal">
      <formula>"Leave Open"</formula>
    </cfRule>
  </conditionalFormatting>
  <conditionalFormatting sqref="E15:F15">
    <cfRule type="cellIs" dxfId="6" priority="11" stopIfTrue="1" operator="equal">
      <formula>FALSE</formula>
    </cfRule>
  </conditionalFormatting>
  <conditionalFormatting sqref="B37:F37">
    <cfRule type="cellIs" dxfId="5" priority="14" stopIfTrue="1" operator="equal">
      <formula>0</formula>
    </cfRule>
  </conditionalFormatting>
  <conditionalFormatting sqref="F3">
    <cfRule type="cellIs" dxfId="4" priority="15" stopIfTrue="1" operator="equal">
      <formula>FALSE</formula>
    </cfRule>
    <cfRule type="cellIs" dxfId="3" priority="16" stopIfTrue="1" operator="equal">
      <formula>"Match prev PO"</formula>
    </cfRule>
  </conditionalFormatting>
  <conditionalFormatting sqref="F19">
    <cfRule type="containsText" dxfId="2" priority="4" operator="containsText" text="FALSE">
      <formula>NOT(ISERROR(SEARCH("FALSE",F19)))</formula>
    </cfRule>
  </conditionalFormatting>
  <conditionalFormatting sqref="I33">
    <cfRule type="containsText" dxfId="1" priority="3" operator="containsText" text="0">
      <formula>NOT(ISERROR(SEARCH("0",I33)))</formula>
    </cfRule>
  </conditionalFormatting>
  <conditionalFormatting sqref="B41:C41">
    <cfRule type="cellIs" dxfId="0" priority="1" stopIfTrue="1" operator="equal">
      <formula>0</formula>
    </cfRule>
  </conditionalFormatting>
  <dataValidations xWindow="202" yWindow="403" count="23">
    <dataValidation showInputMessage="1" showErrorMessage="1" sqref="F21 I37 I3 I5"/>
    <dataValidation type="decimal" showInputMessage="1" showErrorMessage="1" sqref="C20 F20 C18 I20 I18 F18">
      <formula1>1</formula1>
      <formula2>2000</formula2>
    </dataValidation>
    <dataValidation type="list" showInputMessage="1" showErrorMessage="1" sqref="C24:C27">
      <formula1>"No, Yes"</formula1>
    </dataValidation>
    <dataValidation type="list" showInputMessage="1" showErrorMessage="1" sqref="B3:C3">
      <formula1>"Close, Leave Open"</formula1>
    </dataValidation>
    <dataValidation type="list" showInputMessage="1" showErrorMessage="1" sqref="I11">
      <formula1>"Yes (see layout), No, N/A"</formula1>
    </dataValidation>
    <dataValidation type="list" showInputMessage="1" showErrorMessage="1" sqref="B23:C23 F33">
      <formula1>"Yes, No"</formula1>
    </dataValidation>
    <dataValidation type="textLength" allowBlank="1" showInputMessage="1" showErrorMessage="1" prompt="Enter &quot;Other&quot; distance, if applicable." sqref="F31">
      <formula1>1</formula1>
      <formula2>10</formula2>
    </dataValidation>
    <dataValidation type="list" showInputMessage="1" showErrorMessage="1" sqref="B35:F35">
      <formula1>"N/A,5mm top + bottom,2mm left + right,5mm top + bottom and 2mm left + right,5mm top + bottom and fill in web,5mm top + bottom and fill in web and 2mm left + right,Fill in web and 2mm left + right,Fill in web,Cont/Random,Other (see comments/layout sketch)"</formula1>
    </dataValidation>
    <dataValidation type="list" showInputMessage="1" showErrorMessage="1" prompt="Select # of repeats between eyespots." sqref="F29">
      <formula1>"Every Repeat, Every 2 Repeats, Every 3 Repeats, Every 4 Repeats, See Layout"</formula1>
    </dataValidation>
    <dataValidation type="list" showInputMessage="1" showErrorMessage="1" sqref="I13">
      <formula1>"BH, Isa, Larry, Victoria"</formula1>
    </dataValidation>
    <dataValidation type="whole" showInputMessage="1" showErrorMessage="1" sqref="F17">
      <formula1>1</formula1>
      <formula2>20</formula2>
    </dataValidation>
    <dataValidation type="list" showInputMessage="1" showErrorMessage="1" sqref="I35">
      <formula1>"No, Yes (see layout)"</formula1>
    </dataValidation>
    <dataValidation type="list" showInputMessage="1" showErrorMessage="1" prompt="Select distance from eyespot to web edge. Select &quot;other&quot; for other distance and tab to next field. For unique positions, select &quot;see layout&quot;." sqref="B31:C31">
      <formula1>"Std (3mm),2mm,1mm,Centered,Other,See Layout,Per 1 up PDF,N/A"</formula1>
    </dataValidation>
    <dataValidation type="list" showInputMessage="1" showErrorMessage="1" prompt="Select # of eyespots across each web." sqref="B29:C29">
      <formula1>"1,2,3,4,See Layout"</formula1>
    </dataValidation>
    <dataValidation showInputMessage="1" showErrorMessage="1" prompt="Right click to &quot;pick from list&quot; OR manually enter eyespot size." sqref="I23"/>
    <dataValidation type="list" showInputMessage="1" showErrorMessage="1" prompt="Select # billable plates this item only." sqref="F13">
      <formula1>"0,1,2,3,4,5,6,7,8,9,10,11,12,13,14,15,16,17,18,19,20"</formula1>
    </dataValidation>
    <dataValidation type="decimal" showInputMessage="1" showErrorMessage="1" prompt="Enter point to point for stepping. This figure will include trim if applicable." sqref="B21:C21">
      <formula1>0</formula1>
      <formula2>2000</formula2>
    </dataValidation>
    <dataValidation type="list" showInputMessage="1" showErrorMessage="1" prompt="Select # of billable keys for this item only." sqref="B13:C13">
      <formula1>"0,1,2,3,4,5,6,7,8,9,10,11,12,13,14,15,16,17,18,19,20"</formula1>
    </dataValidation>
    <dataValidation type="list" showInputMessage="1" showErrorMessage="1" prompt="&quot;No&quot; is the default. Please verify." sqref="I21">
      <formula1>"No, Yes"</formula1>
    </dataValidation>
    <dataValidation type="list" showInputMessage="1" showErrorMessage="1" prompt="Select yes or no." sqref="I33">
      <formula1>"Yes,No (see drawing)"</formula1>
    </dataValidation>
    <dataValidation allowBlank="1" showInputMessage="1" showErrorMessage="1" prompt="If this request doesn't apply to all items, indicate applicable # of items (out of total). Example: 2 of 5." sqref="I9"/>
    <dataValidation type="list" allowBlank="1" showInputMessage="1" showErrorMessage="1" prompt="Select colour from list. Select &quot;see comments&quot; for special colour or instructions." sqref="B33:C33">
      <formula1>"N/A,Black,Spot Black,Blue,Brown,Burgundy,Green,Red,White,See Comments"</formula1>
    </dataValidation>
    <dataValidation type="list" showInputMessage="1" showErrorMessage="1" prompt="Select colour from list. Select &quot;see comments&quot; for special colours or instructions." sqref="F23">
      <formula1>"N/A, Black,Black / OL,Spot Black,Spot Black / OL ,Blue,Brown,Burgundy,Green,White, Clear,See Comments "</formula1>
    </dataValidation>
  </dataValidations>
  <printOptions horizontalCentered="1"/>
  <pageMargins left="0.5" right="0.5" top="0.25" bottom="0.5" header="0.5" footer="0.13"/>
  <pageSetup orientation="portrait" horizontalDpi="4294967292" verticalDpi="4294967292" r:id="rId1"/>
  <headerFooter alignWithMargins="0">
    <oddFooter>&amp;L&amp;9&amp;K000000Issue Date: 1 Feb 2016&amp;C&amp;9Revision No.: 0&amp;R&amp;9&amp;K000000Revisions Date: N/A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220" zoomScaleNormal="220" workbookViewId="0">
      <selection sqref="A1:IV65536"/>
    </sheetView>
  </sheetViews>
  <sheetFormatPr defaultColWidth="1" defaultRowHeight="6" customHeight="1" x14ac:dyDescent="0.2"/>
  <sheetData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>
    <tabColor theme="7" tint="0.39997558519241921"/>
  </sheetPr>
  <dimension ref="A1:B4"/>
  <sheetViews>
    <sheetView showGridLines="0" zoomScale="125" zoomScaleNormal="100" workbookViewId="0"/>
  </sheetViews>
  <sheetFormatPr defaultColWidth="8.85546875" defaultRowHeight="12.75" x14ac:dyDescent="0.2"/>
  <sheetData>
    <row r="1" spans="1:2" s="2" customFormat="1" ht="15" x14ac:dyDescent="0.2"/>
    <row r="2" spans="1:2" s="2" customFormat="1" ht="15.75" x14ac:dyDescent="0.25">
      <c r="A2" s="1" t="s">
        <v>222</v>
      </c>
    </row>
    <row r="3" spans="1:2" s="2" customFormat="1" ht="15" x14ac:dyDescent="0.2"/>
    <row r="4" spans="1:2" s="2" customFormat="1" ht="15" x14ac:dyDescent="0.2">
      <c r="B4" s="10"/>
    </row>
  </sheetData>
  <sheetProtection sheet="1" objects="1" scenarios="1"/>
  <phoneticPr fontId="4" type="noConversion"/>
  <printOptions gridLines="1"/>
  <pageMargins left="0.25" right="0.25" top="0.5" bottom="0.5" header="0.5" footer="0.5"/>
  <pageSetup orientation="landscape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H270"/>
  <sheetViews>
    <sheetView zoomScale="125" workbookViewId="0">
      <selection activeCell="B1" sqref="B1"/>
    </sheetView>
  </sheetViews>
  <sheetFormatPr defaultColWidth="8.85546875" defaultRowHeight="12.75" x14ac:dyDescent="0.2"/>
  <cols>
    <col min="1" max="1" width="8.140625" style="73" customWidth="1"/>
    <col min="2" max="2" width="29.140625" style="98" customWidth="1"/>
    <col min="3" max="3" width="7" style="73" customWidth="1"/>
    <col min="4" max="4" width="6.42578125" customWidth="1"/>
    <col min="5" max="5" width="13.85546875" customWidth="1"/>
    <col min="6" max="6" width="6.140625" customWidth="1"/>
    <col min="7" max="7" width="6.85546875" customWidth="1"/>
    <col min="8" max="8" width="14" customWidth="1"/>
    <col min="9" max="9" width="5.42578125" customWidth="1"/>
    <col min="10" max="10" width="7.28515625" customWidth="1"/>
    <col min="11" max="11" width="12.140625" customWidth="1"/>
    <col min="12" max="12" width="6" customWidth="1"/>
  </cols>
  <sheetData>
    <row r="1" spans="1:8" ht="18" customHeight="1" x14ac:dyDescent="0.2">
      <c r="A1" s="169" t="s">
        <v>270</v>
      </c>
      <c r="B1" s="170" t="s">
        <v>271</v>
      </c>
      <c r="C1" s="171">
        <v>621</v>
      </c>
      <c r="D1" s="101"/>
      <c r="E1" s="172" t="s">
        <v>215</v>
      </c>
      <c r="F1" s="273" t="s">
        <v>373</v>
      </c>
      <c r="G1" s="273"/>
      <c r="H1" s="273"/>
    </row>
    <row r="2" spans="1:8" s="168" customFormat="1" ht="18" customHeight="1" x14ac:dyDescent="0.2">
      <c r="A2" s="99" t="s">
        <v>132</v>
      </c>
      <c r="B2" s="100" t="s">
        <v>280</v>
      </c>
      <c r="C2" s="112">
        <v>621</v>
      </c>
      <c r="D2" s="167"/>
      <c r="E2" s="167"/>
      <c r="F2" s="167"/>
      <c r="G2" s="167"/>
      <c r="H2" s="167"/>
    </row>
    <row r="3" spans="1:8" ht="18" customHeight="1" x14ac:dyDescent="0.2">
      <c r="A3" s="169" t="s">
        <v>254</v>
      </c>
      <c r="B3" s="170" t="s">
        <v>202</v>
      </c>
      <c r="C3" s="171">
        <v>621</v>
      </c>
      <c r="D3" s="101"/>
      <c r="E3" s="101"/>
      <c r="F3" s="101"/>
      <c r="G3" s="101"/>
      <c r="H3" s="101"/>
    </row>
    <row r="4" spans="1:8" s="168" customFormat="1" ht="18" customHeight="1" x14ac:dyDescent="0.2">
      <c r="A4" s="99" t="s">
        <v>203</v>
      </c>
      <c r="B4" s="100" t="s">
        <v>43</v>
      </c>
      <c r="C4" s="112">
        <v>621</v>
      </c>
      <c r="D4" s="167"/>
      <c r="E4" s="167"/>
      <c r="F4" s="167"/>
      <c r="G4" s="167"/>
      <c r="H4" s="167"/>
    </row>
    <row r="5" spans="1:8" ht="18" customHeight="1" x14ac:dyDescent="0.2">
      <c r="A5" s="169" t="s">
        <v>229</v>
      </c>
      <c r="B5" s="170" t="s">
        <v>39</v>
      </c>
      <c r="C5" s="171">
        <v>611</v>
      </c>
      <c r="D5" s="101"/>
      <c r="E5" s="101"/>
      <c r="F5" s="101"/>
      <c r="G5" s="101"/>
      <c r="H5" s="101"/>
    </row>
    <row r="6" spans="1:8" s="168" customFormat="1" ht="18" customHeight="1" x14ac:dyDescent="0.2">
      <c r="A6" s="99" t="s">
        <v>40</v>
      </c>
      <c r="B6" s="100" t="s">
        <v>281</v>
      </c>
      <c r="C6" s="112">
        <v>621</v>
      </c>
      <c r="D6" s="167"/>
      <c r="E6" s="167"/>
      <c r="F6" s="167"/>
      <c r="G6" s="167"/>
      <c r="H6" s="167"/>
    </row>
    <row r="7" spans="1:8" ht="18" customHeight="1" x14ac:dyDescent="0.2">
      <c r="A7" s="169" t="s">
        <v>220</v>
      </c>
      <c r="B7" s="170" t="s">
        <v>282</v>
      </c>
      <c r="C7" s="171">
        <v>611</v>
      </c>
      <c r="D7" s="101"/>
      <c r="E7" s="101"/>
      <c r="F7" s="101"/>
      <c r="G7" s="101"/>
      <c r="H7" s="101"/>
    </row>
    <row r="8" spans="1:8" s="168" customFormat="1" ht="18" customHeight="1" x14ac:dyDescent="0.2">
      <c r="A8" s="99" t="s">
        <v>124</v>
      </c>
      <c r="B8" s="100" t="s">
        <v>374</v>
      </c>
      <c r="C8" s="112">
        <v>621</v>
      </c>
      <c r="D8" s="167"/>
      <c r="E8" s="167"/>
      <c r="F8" s="167"/>
      <c r="G8" s="167"/>
      <c r="H8" s="167"/>
    </row>
    <row r="9" spans="1:8" s="168" customFormat="1" ht="18" customHeight="1" x14ac:dyDescent="0.2">
      <c r="A9" s="169" t="s">
        <v>79</v>
      </c>
      <c r="B9" s="170" t="s">
        <v>239</v>
      </c>
      <c r="C9" s="171">
        <v>621</v>
      </c>
      <c r="D9" s="167"/>
      <c r="E9" s="167"/>
      <c r="F9" s="167"/>
      <c r="G9" s="167"/>
      <c r="H9" s="167"/>
    </row>
    <row r="10" spans="1:8" s="168" customFormat="1" ht="18" customHeight="1" x14ac:dyDescent="0.2">
      <c r="A10" s="99" t="s">
        <v>87</v>
      </c>
      <c r="B10" s="100" t="s">
        <v>49</v>
      </c>
      <c r="C10" s="112">
        <v>621</v>
      </c>
      <c r="D10" s="167"/>
      <c r="E10" s="167"/>
      <c r="F10" s="167"/>
      <c r="G10" s="167"/>
      <c r="H10" s="167"/>
    </row>
    <row r="11" spans="1:8" s="168" customFormat="1" ht="18" customHeight="1" x14ac:dyDescent="0.2">
      <c r="A11" s="169" t="s">
        <v>241</v>
      </c>
      <c r="B11" s="170" t="s">
        <v>283</v>
      </c>
      <c r="C11" s="171">
        <v>621</v>
      </c>
      <c r="D11" s="167"/>
      <c r="E11" s="167"/>
      <c r="F11" s="167"/>
      <c r="G11" s="167"/>
      <c r="H11" s="167"/>
    </row>
    <row r="12" spans="1:8" s="168" customFormat="1" ht="18" customHeight="1" x14ac:dyDescent="0.2">
      <c r="A12" s="99" t="s">
        <v>34</v>
      </c>
      <c r="B12" s="100" t="s">
        <v>375</v>
      </c>
      <c r="C12" s="112">
        <v>621</v>
      </c>
      <c r="D12" s="167"/>
      <c r="E12" s="167"/>
      <c r="F12" s="167"/>
      <c r="G12" s="167"/>
      <c r="H12" s="167"/>
    </row>
    <row r="13" spans="1:8" s="168" customFormat="1" ht="18" customHeight="1" x14ac:dyDescent="0.2">
      <c r="A13" s="169" t="s">
        <v>71</v>
      </c>
      <c r="B13" s="170" t="s">
        <v>133</v>
      </c>
      <c r="C13" s="171">
        <v>621</v>
      </c>
      <c r="D13" s="167"/>
      <c r="E13" s="167"/>
      <c r="F13" s="167"/>
      <c r="G13" s="167"/>
      <c r="H13" s="167"/>
    </row>
    <row r="14" spans="1:8" s="168" customFormat="1" ht="18" customHeight="1" x14ac:dyDescent="0.2">
      <c r="A14" s="99" t="s">
        <v>188</v>
      </c>
      <c r="B14" s="100" t="s">
        <v>284</v>
      </c>
      <c r="C14" s="112">
        <v>611</v>
      </c>
      <c r="D14" s="167"/>
      <c r="E14" s="167"/>
      <c r="F14" s="167"/>
      <c r="G14" s="167"/>
      <c r="H14" s="167"/>
    </row>
    <row r="15" spans="1:8" s="168" customFormat="1" ht="18" customHeight="1" x14ac:dyDescent="0.2">
      <c r="A15" s="169"/>
      <c r="B15" s="170"/>
      <c r="C15" s="171"/>
      <c r="D15" s="167"/>
      <c r="E15" s="167"/>
      <c r="F15" s="167"/>
      <c r="G15" s="167"/>
      <c r="H15" s="167"/>
    </row>
    <row r="16" spans="1:8" s="168" customFormat="1" ht="18" customHeight="1" x14ac:dyDescent="0.2">
      <c r="A16" s="99" t="s">
        <v>259</v>
      </c>
      <c r="B16" s="100" t="s">
        <v>260</v>
      </c>
      <c r="C16" s="112">
        <v>621</v>
      </c>
      <c r="D16" s="167"/>
      <c r="E16" s="167"/>
      <c r="F16" s="167"/>
      <c r="G16" s="167"/>
      <c r="H16" s="167"/>
    </row>
    <row r="17" spans="1:8" s="168" customFormat="1" ht="18" customHeight="1" x14ac:dyDescent="0.2">
      <c r="A17" s="169" t="s">
        <v>165</v>
      </c>
      <c r="B17" s="170" t="s">
        <v>376</v>
      </c>
      <c r="C17" s="171">
        <v>621</v>
      </c>
      <c r="D17" s="167"/>
      <c r="E17" s="167"/>
      <c r="F17" s="167"/>
      <c r="G17" s="167"/>
      <c r="H17" s="167"/>
    </row>
    <row r="18" spans="1:8" s="168" customFormat="1" ht="18" customHeight="1" x14ac:dyDescent="0.2">
      <c r="A18" s="99" t="s">
        <v>9</v>
      </c>
      <c r="B18" s="100" t="s">
        <v>285</v>
      </c>
      <c r="C18" s="112">
        <v>621</v>
      </c>
      <c r="D18" s="167"/>
      <c r="E18" s="167"/>
      <c r="F18" s="167"/>
      <c r="G18" s="167"/>
      <c r="H18" s="167"/>
    </row>
    <row r="19" spans="1:8" s="168" customFormat="1" ht="18" customHeight="1" x14ac:dyDescent="0.2">
      <c r="A19" s="169" t="s">
        <v>14</v>
      </c>
      <c r="B19" s="170" t="s">
        <v>286</v>
      </c>
      <c r="C19" s="171">
        <v>621</v>
      </c>
      <c r="D19" s="167"/>
      <c r="E19" s="167"/>
      <c r="F19" s="167"/>
      <c r="G19" s="167"/>
      <c r="H19" s="167"/>
    </row>
    <row r="20" spans="1:8" s="168" customFormat="1" ht="18" customHeight="1" x14ac:dyDescent="0.2">
      <c r="A20" s="99" t="s">
        <v>287</v>
      </c>
      <c r="B20" s="100" t="s">
        <v>288</v>
      </c>
      <c r="C20" s="112">
        <v>621</v>
      </c>
      <c r="D20" s="167"/>
      <c r="E20" s="167"/>
      <c r="F20" s="167"/>
      <c r="G20" s="167"/>
      <c r="H20" s="167"/>
    </row>
    <row r="21" spans="1:8" s="168" customFormat="1" ht="18" customHeight="1" x14ac:dyDescent="0.2">
      <c r="A21" s="169" t="s">
        <v>261</v>
      </c>
      <c r="B21" s="170" t="s">
        <v>289</v>
      </c>
      <c r="C21" s="171">
        <v>621</v>
      </c>
      <c r="D21" s="167"/>
      <c r="E21" s="167"/>
      <c r="F21" s="167"/>
      <c r="G21" s="167"/>
      <c r="H21" s="167"/>
    </row>
    <row r="22" spans="1:8" s="168" customFormat="1" ht="18" customHeight="1" x14ac:dyDescent="0.2">
      <c r="A22" s="99" t="s">
        <v>277</v>
      </c>
      <c r="B22" s="100" t="s">
        <v>278</v>
      </c>
      <c r="C22" s="112">
        <v>621</v>
      </c>
      <c r="D22" s="167"/>
      <c r="E22" s="167"/>
      <c r="F22" s="167"/>
      <c r="G22" s="167"/>
      <c r="H22" s="167"/>
    </row>
    <row r="23" spans="1:8" s="168" customFormat="1" ht="18" customHeight="1" x14ac:dyDescent="0.2">
      <c r="A23" s="169" t="s">
        <v>290</v>
      </c>
      <c r="B23" s="170" t="s">
        <v>377</v>
      </c>
      <c r="C23" s="171">
        <v>621</v>
      </c>
      <c r="D23" s="167"/>
      <c r="E23" s="167"/>
      <c r="F23" s="167"/>
      <c r="G23" s="167"/>
      <c r="H23" s="167"/>
    </row>
    <row r="24" spans="1:8" s="168" customFormat="1" ht="18" customHeight="1" x14ac:dyDescent="0.2">
      <c r="A24" s="169" t="s">
        <v>378</v>
      </c>
      <c r="B24" s="170" t="s">
        <v>379</v>
      </c>
      <c r="C24" s="171">
        <v>611</v>
      </c>
      <c r="D24" s="167"/>
      <c r="E24" s="167"/>
      <c r="F24" s="167"/>
      <c r="G24" s="167"/>
      <c r="H24" s="167"/>
    </row>
    <row r="25" spans="1:8" s="168" customFormat="1" ht="18" customHeight="1" x14ac:dyDescent="0.2">
      <c r="A25" s="99" t="s">
        <v>175</v>
      </c>
      <c r="B25" s="100" t="s">
        <v>127</v>
      </c>
      <c r="C25" s="112">
        <v>621</v>
      </c>
      <c r="D25" s="167"/>
      <c r="E25" s="167"/>
      <c r="F25" s="167"/>
      <c r="G25" s="167"/>
      <c r="H25" s="167"/>
    </row>
    <row r="26" spans="1:8" s="168" customFormat="1" ht="18" customHeight="1" x14ac:dyDescent="0.2">
      <c r="A26" s="169" t="s">
        <v>42</v>
      </c>
      <c r="B26" s="170" t="s">
        <v>291</v>
      </c>
      <c r="C26" s="171">
        <v>621</v>
      </c>
      <c r="D26" s="167"/>
      <c r="E26" s="167"/>
      <c r="F26" s="167"/>
      <c r="G26" s="167"/>
      <c r="H26" s="167"/>
    </row>
    <row r="27" spans="1:8" s="168" customFormat="1" ht="18" customHeight="1" x14ac:dyDescent="0.2">
      <c r="A27" s="99" t="s">
        <v>292</v>
      </c>
      <c r="B27" s="100" t="s">
        <v>293</v>
      </c>
      <c r="C27" s="112">
        <v>621</v>
      </c>
      <c r="D27" s="167"/>
      <c r="E27" s="167"/>
      <c r="F27" s="167"/>
      <c r="G27" s="167"/>
      <c r="H27" s="167"/>
    </row>
    <row r="28" spans="1:8" s="168" customFormat="1" ht="18" customHeight="1" x14ac:dyDescent="0.2">
      <c r="A28" s="169" t="s">
        <v>41</v>
      </c>
      <c r="B28" s="170" t="s">
        <v>162</v>
      </c>
      <c r="C28" s="171">
        <v>621</v>
      </c>
      <c r="D28" s="167"/>
      <c r="E28" s="167"/>
      <c r="F28" s="167"/>
      <c r="G28" s="167"/>
      <c r="H28" s="167"/>
    </row>
    <row r="29" spans="1:8" s="168" customFormat="1" ht="18" customHeight="1" x14ac:dyDescent="0.2">
      <c r="A29" s="99" t="s">
        <v>115</v>
      </c>
      <c r="B29" s="100" t="s">
        <v>111</v>
      </c>
      <c r="C29" s="112">
        <v>621</v>
      </c>
      <c r="D29" s="167"/>
      <c r="E29" s="167"/>
      <c r="F29" s="167"/>
      <c r="G29" s="167"/>
      <c r="H29" s="167"/>
    </row>
    <row r="30" spans="1:8" s="168" customFormat="1" ht="18" customHeight="1" x14ac:dyDescent="0.2">
      <c r="A30" s="169" t="s">
        <v>84</v>
      </c>
      <c r="B30" s="170" t="s">
        <v>123</v>
      </c>
      <c r="C30" s="171">
        <v>621</v>
      </c>
      <c r="D30" s="167"/>
      <c r="E30" s="167"/>
      <c r="F30" s="167"/>
      <c r="G30" s="167"/>
      <c r="H30" s="167"/>
    </row>
    <row r="31" spans="1:8" s="168" customFormat="1" ht="18" customHeight="1" x14ac:dyDescent="0.2">
      <c r="A31" s="99" t="s">
        <v>86</v>
      </c>
      <c r="B31" s="100" t="s">
        <v>294</v>
      </c>
      <c r="C31" s="112">
        <v>621</v>
      </c>
      <c r="D31" s="167"/>
      <c r="E31" s="167"/>
      <c r="F31" s="167"/>
      <c r="G31" s="167"/>
      <c r="H31" s="167"/>
    </row>
    <row r="32" spans="1:8" s="168" customFormat="1" ht="18" customHeight="1" x14ac:dyDescent="0.2">
      <c r="A32" s="169" t="s">
        <v>100</v>
      </c>
      <c r="B32" s="170" t="s">
        <v>295</v>
      </c>
      <c r="C32" s="171">
        <v>621</v>
      </c>
      <c r="D32" s="167"/>
      <c r="E32" s="167"/>
      <c r="F32" s="167"/>
      <c r="G32" s="167"/>
      <c r="H32" s="167"/>
    </row>
    <row r="33" spans="1:8" s="168" customFormat="1" ht="18" customHeight="1" x14ac:dyDescent="0.2">
      <c r="A33" s="99" t="s">
        <v>207</v>
      </c>
      <c r="B33" s="100" t="s">
        <v>296</v>
      </c>
      <c r="C33" s="112">
        <v>621</v>
      </c>
      <c r="D33" s="167"/>
      <c r="E33" s="167"/>
      <c r="F33" s="167"/>
      <c r="G33" s="167"/>
      <c r="H33" s="167"/>
    </row>
    <row r="34" spans="1:8" s="168" customFormat="1" ht="18" customHeight="1" x14ac:dyDescent="0.2">
      <c r="A34" s="169" t="s">
        <v>228</v>
      </c>
      <c r="B34" s="170" t="s">
        <v>297</v>
      </c>
      <c r="C34" s="171">
        <v>621</v>
      </c>
      <c r="D34" s="167"/>
      <c r="E34" s="167"/>
      <c r="F34" s="167"/>
      <c r="G34" s="167"/>
      <c r="H34" s="167"/>
    </row>
    <row r="35" spans="1:8" s="168" customFormat="1" ht="18" customHeight="1" x14ac:dyDescent="0.2">
      <c r="A35" s="99" t="s">
        <v>120</v>
      </c>
      <c r="B35" s="100" t="s">
        <v>18</v>
      </c>
      <c r="C35" s="112">
        <v>621</v>
      </c>
      <c r="D35" s="167"/>
      <c r="E35" s="167"/>
      <c r="F35" s="167"/>
      <c r="G35" s="167"/>
      <c r="H35" s="167"/>
    </row>
    <row r="36" spans="1:8" s="168" customFormat="1" ht="18" customHeight="1" x14ac:dyDescent="0.2">
      <c r="A36" s="169" t="s">
        <v>21</v>
      </c>
      <c r="B36" s="170" t="s">
        <v>164</v>
      </c>
      <c r="C36" s="171">
        <v>621</v>
      </c>
      <c r="D36" s="167"/>
      <c r="E36" s="167"/>
      <c r="F36" s="167"/>
      <c r="G36" s="167"/>
      <c r="H36" s="167"/>
    </row>
    <row r="37" spans="1:8" s="168" customFormat="1" ht="18" customHeight="1" x14ac:dyDescent="0.2">
      <c r="A37" s="99" t="s">
        <v>72</v>
      </c>
      <c r="B37" s="100" t="s">
        <v>298</v>
      </c>
      <c r="C37" s="112">
        <v>621</v>
      </c>
      <c r="D37" s="167"/>
      <c r="E37" s="167"/>
      <c r="F37" s="167"/>
      <c r="G37" s="167"/>
      <c r="H37" s="167"/>
    </row>
    <row r="38" spans="1:8" s="168" customFormat="1" ht="18" customHeight="1" x14ac:dyDescent="0.2">
      <c r="A38" s="169" t="s">
        <v>59</v>
      </c>
      <c r="B38" s="170" t="s">
        <v>299</v>
      </c>
      <c r="C38" s="171">
        <v>611</v>
      </c>
      <c r="D38" s="167"/>
      <c r="E38" s="167"/>
      <c r="F38" s="167"/>
      <c r="G38" s="167"/>
      <c r="H38" s="167"/>
    </row>
    <row r="39" spans="1:8" s="168" customFormat="1" ht="18" customHeight="1" x14ac:dyDescent="0.2">
      <c r="A39" s="99" t="s">
        <v>20</v>
      </c>
      <c r="B39" s="100" t="s">
        <v>47</v>
      </c>
      <c r="C39" s="112">
        <v>621</v>
      </c>
      <c r="D39" s="167"/>
      <c r="E39" s="167"/>
      <c r="F39" s="167"/>
      <c r="G39" s="167"/>
      <c r="H39" s="167"/>
    </row>
    <row r="40" spans="1:8" s="168" customFormat="1" ht="18" customHeight="1" x14ac:dyDescent="0.2">
      <c r="A40" s="169" t="s">
        <v>69</v>
      </c>
      <c r="B40" s="170" t="s">
        <v>300</v>
      </c>
      <c r="C40" s="171">
        <v>611</v>
      </c>
      <c r="D40" s="167"/>
      <c r="E40" s="167"/>
      <c r="F40" s="167"/>
      <c r="G40" s="167"/>
      <c r="H40" s="167"/>
    </row>
    <row r="41" spans="1:8" s="168" customFormat="1" ht="18" customHeight="1" x14ac:dyDescent="0.2">
      <c r="A41" s="99" t="s">
        <v>110</v>
      </c>
      <c r="B41" s="100" t="s">
        <v>301</v>
      </c>
      <c r="C41" s="112">
        <v>621</v>
      </c>
      <c r="D41" s="167"/>
      <c r="E41" s="167"/>
      <c r="F41" s="167"/>
      <c r="G41" s="167"/>
      <c r="H41" s="167"/>
    </row>
    <row r="42" spans="1:8" s="168" customFormat="1" ht="18" customHeight="1" x14ac:dyDescent="0.2">
      <c r="A42" s="169" t="s">
        <v>73</v>
      </c>
      <c r="B42" s="170" t="s">
        <v>302</v>
      </c>
      <c r="C42" s="171">
        <v>611</v>
      </c>
      <c r="D42" s="167"/>
      <c r="E42" s="167"/>
      <c r="F42" s="167"/>
      <c r="G42" s="167"/>
      <c r="H42" s="167"/>
    </row>
    <row r="43" spans="1:8" s="168" customFormat="1" ht="18" customHeight="1" x14ac:dyDescent="0.2">
      <c r="A43" s="99" t="s">
        <v>252</v>
      </c>
      <c r="B43" s="100" t="s">
        <v>303</v>
      </c>
      <c r="C43" s="112">
        <v>611</v>
      </c>
      <c r="D43" s="167"/>
      <c r="E43" s="167"/>
      <c r="F43" s="167"/>
      <c r="G43" s="167"/>
      <c r="H43" s="167"/>
    </row>
    <row r="44" spans="1:8" s="168" customFormat="1" ht="18" customHeight="1" x14ac:dyDescent="0.2">
      <c r="A44" s="169" t="s">
        <v>80</v>
      </c>
      <c r="B44" s="170" t="s">
        <v>304</v>
      </c>
      <c r="C44" s="171">
        <v>611</v>
      </c>
      <c r="D44" s="167"/>
      <c r="E44" s="167"/>
      <c r="F44" s="167"/>
      <c r="G44" s="167"/>
      <c r="H44" s="167"/>
    </row>
    <row r="45" spans="1:8" s="168" customFormat="1" ht="18" customHeight="1" x14ac:dyDescent="0.2">
      <c r="A45" s="99" t="s">
        <v>126</v>
      </c>
      <c r="B45" s="100" t="s">
        <v>305</v>
      </c>
      <c r="C45" s="112">
        <v>611</v>
      </c>
      <c r="D45" s="167"/>
      <c r="E45" s="167"/>
      <c r="F45" s="167"/>
      <c r="G45" s="167"/>
      <c r="H45" s="167"/>
    </row>
    <row r="46" spans="1:8" s="168" customFormat="1" ht="18" customHeight="1" x14ac:dyDescent="0.2">
      <c r="A46" s="169" t="s">
        <v>101</v>
      </c>
      <c r="B46" s="170" t="s">
        <v>306</v>
      </c>
      <c r="C46" s="171">
        <v>611</v>
      </c>
      <c r="D46" s="167"/>
      <c r="E46" s="167"/>
      <c r="F46" s="167"/>
      <c r="G46" s="167"/>
      <c r="H46" s="167"/>
    </row>
    <row r="47" spans="1:8" s="168" customFormat="1" ht="18" customHeight="1" x14ac:dyDescent="0.2">
      <c r="A47" s="99" t="s">
        <v>137</v>
      </c>
      <c r="B47" s="100" t="s">
        <v>170</v>
      </c>
      <c r="C47" s="112">
        <v>621</v>
      </c>
      <c r="D47" s="167"/>
      <c r="E47" s="167"/>
      <c r="F47" s="167"/>
      <c r="G47" s="167"/>
      <c r="H47" s="167"/>
    </row>
    <row r="48" spans="1:8" s="168" customFormat="1" ht="18" customHeight="1" x14ac:dyDescent="0.2">
      <c r="A48" s="169" t="s">
        <v>128</v>
      </c>
      <c r="B48" s="170" t="s">
        <v>380</v>
      </c>
      <c r="C48" s="171">
        <v>621</v>
      </c>
      <c r="D48" s="167"/>
      <c r="E48" s="167"/>
      <c r="F48" s="167"/>
      <c r="G48" s="167"/>
      <c r="H48" s="167"/>
    </row>
    <row r="49" spans="1:8" s="168" customFormat="1" ht="18" customHeight="1" x14ac:dyDescent="0.2">
      <c r="A49" s="99" t="s">
        <v>171</v>
      </c>
      <c r="B49" s="100" t="s">
        <v>307</v>
      </c>
      <c r="C49" s="112">
        <v>611</v>
      </c>
      <c r="D49" s="167"/>
      <c r="E49" s="167"/>
      <c r="F49" s="167"/>
      <c r="G49" s="167"/>
      <c r="H49" s="167"/>
    </row>
    <row r="50" spans="1:8" s="168" customFormat="1" ht="18" customHeight="1" x14ac:dyDescent="0.2">
      <c r="A50" s="169" t="s">
        <v>190</v>
      </c>
      <c r="B50" s="170" t="s">
        <v>209</v>
      </c>
      <c r="C50" s="171">
        <v>621</v>
      </c>
      <c r="D50" s="167"/>
      <c r="E50" s="167"/>
      <c r="F50" s="167"/>
      <c r="G50" s="167"/>
      <c r="H50" s="167"/>
    </row>
    <row r="51" spans="1:8" s="168" customFormat="1" ht="18" customHeight="1" x14ac:dyDescent="0.2">
      <c r="A51" s="99" t="s">
        <v>210</v>
      </c>
      <c r="B51" s="100" t="s">
        <v>38</v>
      </c>
      <c r="C51" s="112">
        <v>611</v>
      </c>
      <c r="D51" s="167"/>
      <c r="E51" s="167"/>
      <c r="F51" s="167"/>
      <c r="G51" s="167"/>
      <c r="H51" s="167"/>
    </row>
    <row r="52" spans="1:8" s="168" customFormat="1" ht="18" customHeight="1" x14ac:dyDescent="0.2">
      <c r="A52" s="169" t="s">
        <v>116</v>
      </c>
      <c r="B52" s="170" t="s">
        <v>308</v>
      </c>
      <c r="C52" s="171">
        <v>611</v>
      </c>
      <c r="D52" s="167"/>
      <c r="E52" s="167"/>
      <c r="F52" s="167"/>
      <c r="G52" s="167"/>
      <c r="H52" s="167"/>
    </row>
    <row r="53" spans="1:8" s="168" customFormat="1" ht="18" customHeight="1" x14ac:dyDescent="0.2">
      <c r="A53" s="99" t="s">
        <v>183</v>
      </c>
      <c r="B53" s="100" t="s">
        <v>245</v>
      </c>
      <c r="C53" s="112">
        <v>621</v>
      </c>
      <c r="D53" s="167"/>
      <c r="E53" s="167"/>
      <c r="F53" s="167"/>
      <c r="G53" s="167"/>
      <c r="H53" s="167"/>
    </row>
    <row r="54" spans="1:8" s="168" customFormat="1" ht="18" customHeight="1" x14ac:dyDescent="0.2">
      <c r="A54" s="169" t="s">
        <v>57</v>
      </c>
      <c r="B54" s="170" t="s">
        <v>223</v>
      </c>
      <c r="C54" s="171">
        <v>621</v>
      </c>
      <c r="D54" s="167"/>
      <c r="E54" s="167"/>
      <c r="F54" s="167"/>
      <c r="G54" s="167"/>
      <c r="H54" s="167"/>
    </row>
    <row r="55" spans="1:8" s="168" customFormat="1" ht="18" customHeight="1" x14ac:dyDescent="0.2">
      <c r="A55" s="99" t="s">
        <v>230</v>
      </c>
      <c r="B55" s="100" t="s">
        <v>381</v>
      </c>
      <c r="C55" s="112">
        <v>621</v>
      </c>
      <c r="D55" s="167"/>
      <c r="E55" s="167"/>
      <c r="F55" s="167"/>
      <c r="G55" s="167"/>
      <c r="H55" s="167"/>
    </row>
    <row r="56" spans="1:8" s="168" customFormat="1" ht="18" customHeight="1" x14ac:dyDescent="0.2">
      <c r="A56" s="169" t="s">
        <v>235</v>
      </c>
      <c r="B56" s="170" t="s">
        <v>23</v>
      </c>
      <c r="C56" s="171">
        <v>611</v>
      </c>
      <c r="D56" s="167"/>
      <c r="E56" s="167"/>
      <c r="F56" s="167"/>
      <c r="G56" s="167"/>
      <c r="H56" s="167"/>
    </row>
    <row r="57" spans="1:8" s="168" customFormat="1" ht="18" customHeight="1" x14ac:dyDescent="0.2">
      <c r="A57" s="99" t="s">
        <v>7</v>
      </c>
      <c r="B57" s="100" t="s">
        <v>102</v>
      </c>
      <c r="C57" s="112">
        <v>621</v>
      </c>
      <c r="D57" s="167"/>
      <c r="E57" s="167"/>
      <c r="F57" s="167"/>
      <c r="G57" s="167"/>
      <c r="H57" s="167"/>
    </row>
    <row r="58" spans="1:8" s="168" customFormat="1" ht="18" customHeight="1" x14ac:dyDescent="0.2">
      <c r="A58" s="169" t="s">
        <v>35</v>
      </c>
      <c r="B58" s="170" t="s">
        <v>309</v>
      </c>
      <c r="C58" s="171">
        <v>611</v>
      </c>
      <c r="D58" s="167"/>
      <c r="E58" s="167"/>
      <c r="F58" s="167"/>
      <c r="G58" s="167"/>
      <c r="H58" s="167"/>
    </row>
    <row r="59" spans="1:8" s="168" customFormat="1" ht="18" customHeight="1" x14ac:dyDescent="0.2">
      <c r="A59" s="99" t="s">
        <v>231</v>
      </c>
      <c r="B59" s="100" t="s">
        <v>310</v>
      </c>
      <c r="C59" s="112">
        <v>611</v>
      </c>
      <c r="D59" s="167"/>
      <c r="E59" s="167"/>
      <c r="F59" s="167"/>
      <c r="G59" s="167"/>
      <c r="H59" s="167"/>
    </row>
    <row r="60" spans="1:8" s="168" customFormat="1" ht="18" customHeight="1" x14ac:dyDescent="0.2">
      <c r="A60" s="169" t="s">
        <v>232</v>
      </c>
      <c r="B60" s="170" t="s">
        <v>262</v>
      </c>
      <c r="C60" s="171">
        <v>621</v>
      </c>
      <c r="D60" s="167"/>
      <c r="E60" s="167"/>
      <c r="F60" s="167"/>
      <c r="G60" s="167"/>
      <c r="H60" s="167"/>
    </row>
    <row r="61" spans="1:8" s="168" customFormat="1" ht="18" customHeight="1" x14ac:dyDescent="0.2">
      <c r="A61" s="99" t="s">
        <v>96</v>
      </c>
      <c r="B61" s="100" t="s">
        <v>97</v>
      </c>
      <c r="C61" s="112">
        <v>621</v>
      </c>
      <c r="D61" s="167"/>
      <c r="E61" s="167"/>
      <c r="F61" s="167"/>
      <c r="G61" s="167"/>
      <c r="H61" s="167"/>
    </row>
    <row r="62" spans="1:8" s="168" customFormat="1" ht="18" customHeight="1" x14ac:dyDescent="0.2">
      <c r="A62" s="169" t="s">
        <v>185</v>
      </c>
      <c r="B62" s="170" t="s">
        <v>27</v>
      </c>
      <c r="C62" s="171">
        <v>621</v>
      </c>
      <c r="D62" s="167"/>
      <c r="E62" s="167"/>
      <c r="F62" s="167"/>
      <c r="G62" s="167"/>
      <c r="H62" s="167"/>
    </row>
    <row r="63" spans="1:8" s="168" customFormat="1" ht="18" customHeight="1" x14ac:dyDescent="0.2">
      <c r="A63" s="99" t="s">
        <v>89</v>
      </c>
      <c r="B63" s="100" t="s">
        <v>311</v>
      </c>
      <c r="C63" s="112">
        <v>621</v>
      </c>
      <c r="D63" s="167"/>
      <c r="E63" s="167"/>
      <c r="F63" s="167"/>
      <c r="G63" s="167"/>
      <c r="H63" s="167"/>
    </row>
    <row r="64" spans="1:8" s="168" customFormat="1" ht="18" customHeight="1" x14ac:dyDescent="0.2">
      <c r="A64" s="169" t="s">
        <v>216</v>
      </c>
      <c r="B64" s="170" t="s">
        <v>312</v>
      </c>
      <c r="C64" s="171">
        <v>611</v>
      </c>
      <c r="D64" s="167"/>
      <c r="E64" s="167"/>
      <c r="F64" s="167"/>
      <c r="G64" s="167"/>
      <c r="H64" s="167"/>
    </row>
    <row r="65" spans="1:8" s="168" customFormat="1" ht="18" customHeight="1" x14ac:dyDescent="0.2">
      <c r="A65" s="99" t="s">
        <v>196</v>
      </c>
      <c r="B65" s="100" t="s">
        <v>313</v>
      </c>
      <c r="C65" s="112">
        <v>621</v>
      </c>
      <c r="D65" s="167"/>
      <c r="E65" s="167"/>
      <c r="F65" s="167"/>
      <c r="G65" s="167"/>
      <c r="H65" s="167"/>
    </row>
    <row r="66" spans="1:8" s="168" customFormat="1" ht="18" customHeight="1" x14ac:dyDescent="0.2">
      <c r="A66" s="169" t="s">
        <v>200</v>
      </c>
      <c r="B66" s="170" t="s">
        <v>314</v>
      </c>
      <c r="C66" s="171">
        <v>611</v>
      </c>
      <c r="D66" s="167"/>
      <c r="E66" s="167"/>
      <c r="F66" s="167"/>
      <c r="G66" s="167"/>
      <c r="H66" s="167"/>
    </row>
    <row r="67" spans="1:8" s="168" customFormat="1" ht="18" customHeight="1" x14ac:dyDescent="0.2">
      <c r="A67" s="99" t="s">
        <v>242</v>
      </c>
      <c r="B67" s="100" t="s">
        <v>243</v>
      </c>
      <c r="C67" s="112">
        <v>621</v>
      </c>
      <c r="D67" s="167"/>
      <c r="E67" s="167"/>
      <c r="F67" s="167"/>
      <c r="G67" s="167"/>
      <c r="H67" s="167"/>
    </row>
    <row r="68" spans="1:8" s="168" customFormat="1" ht="18" customHeight="1" x14ac:dyDescent="0.2">
      <c r="A68" s="169" t="s">
        <v>95</v>
      </c>
      <c r="B68" s="170" t="s">
        <v>315</v>
      </c>
      <c r="C68" s="171">
        <v>621</v>
      </c>
      <c r="D68" s="167"/>
      <c r="E68" s="167"/>
      <c r="F68" s="167"/>
      <c r="G68" s="167"/>
      <c r="H68" s="167"/>
    </row>
    <row r="69" spans="1:8" s="168" customFormat="1" ht="18" customHeight="1" x14ac:dyDescent="0.2">
      <c r="A69" s="99" t="s">
        <v>148</v>
      </c>
      <c r="B69" s="100" t="s">
        <v>382</v>
      </c>
      <c r="C69" s="112">
        <v>621</v>
      </c>
      <c r="D69" s="167"/>
      <c r="E69" s="167"/>
      <c r="F69" s="167"/>
      <c r="G69" s="167"/>
      <c r="H69" s="167"/>
    </row>
    <row r="70" spans="1:8" ht="18" customHeight="1" x14ac:dyDescent="0.2">
      <c r="A70" s="169" t="s">
        <v>104</v>
      </c>
      <c r="B70" s="170" t="s">
        <v>383</v>
      </c>
      <c r="C70" s="171">
        <v>611</v>
      </c>
      <c r="D70" s="101"/>
      <c r="E70" s="101"/>
      <c r="F70" s="101"/>
      <c r="G70" s="101"/>
      <c r="H70" s="101"/>
    </row>
    <row r="71" spans="1:8" s="168" customFormat="1" ht="18" customHeight="1" x14ac:dyDescent="0.2">
      <c r="A71" s="99" t="s">
        <v>70</v>
      </c>
      <c r="B71" s="100" t="s">
        <v>384</v>
      </c>
      <c r="C71" s="112">
        <v>621</v>
      </c>
      <c r="D71" s="167"/>
      <c r="E71" s="167"/>
      <c r="F71" s="167"/>
      <c r="G71" s="167"/>
      <c r="H71" s="167"/>
    </row>
    <row r="72" spans="1:8" ht="18" customHeight="1" x14ac:dyDescent="0.2">
      <c r="A72" s="169" t="s">
        <v>19</v>
      </c>
      <c r="B72" s="170" t="s">
        <v>385</v>
      </c>
      <c r="C72" s="171">
        <v>621</v>
      </c>
      <c r="D72" s="101"/>
      <c r="E72" s="101"/>
      <c r="F72" s="101"/>
      <c r="G72" s="101"/>
      <c r="H72" s="101"/>
    </row>
    <row r="73" spans="1:8" s="168" customFormat="1" ht="18" customHeight="1" x14ac:dyDescent="0.2">
      <c r="A73" s="99" t="s">
        <v>60</v>
      </c>
      <c r="B73" s="100" t="s">
        <v>386</v>
      </c>
      <c r="C73" s="112">
        <v>611</v>
      </c>
      <c r="D73" s="167"/>
      <c r="E73" s="167"/>
      <c r="F73" s="167"/>
      <c r="G73" s="167"/>
      <c r="H73" s="167"/>
    </row>
    <row r="74" spans="1:8" ht="18" customHeight="1" x14ac:dyDescent="0.2">
      <c r="A74" s="169" t="s">
        <v>83</v>
      </c>
      <c r="B74" s="170" t="s">
        <v>387</v>
      </c>
      <c r="C74" s="171">
        <v>611</v>
      </c>
      <c r="D74" s="101"/>
      <c r="E74" s="101"/>
      <c r="F74" s="101"/>
      <c r="G74" s="101"/>
      <c r="H74" s="101"/>
    </row>
    <row r="75" spans="1:8" s="168" customFormat="1" ht="18" customHeight="1" x14ac:dyDescent="0.2">
      <c r="A75" s="99" t="s">
        <v>253</v>
      </c>
      <c r="B75" s="100" t="s">
        <v>316</v>
      </c>
      <c r="C75" s="112">
        <v>611</v>
      </c>
      <c r="D75" s="167"/>
      <c r="E75" s="167"/>
      <c r="F75" s="167"/>
      <c r="G75" s="167"/>
      <c r="H75" s="167"/>
    </row>
    <row r="76" spans="1:8" ht="18" customHeight="1" x14ac:dyDescent="0.2">
      <c r="A76" s="169" t="s">
        <v>193</v>
      </c>
      <c r="B76" s="170" t="s">
        <v>317</v>
      </c>
      <c r="C76" s="171">
        <v>621</v>
      </c>
      <c r="D76" s="101"/>
      <c r="E76" s="101"/>
      <c r="F76" s="101"/>
      <c r="G76" s="101"/>
      <c r="H76" s="101"/>
    </row>
    <row r="77" spans="1:8" s="168" customFormat="1" ht="18" customHeight="1" x14ac:dyDescent="0.2">
      <c r="A77" s="99" t="s">
        <v>237</v>
      </c>
      <c r="B77" s="100" t="s">
        <v>141</v>
      </c>
      <c r="C77" s="112">
        <v>621</v>
      </c>
      <c r="D77" s="167"/>
      <c r="E77" s="167"/>
      <c r="F77" s="167"/>
      <c r="G77" s="167"/>
      <c r="H77" s="167"/>
    </row>
    <row r="78" spans="1:8" ht="18" customHeight="1" x14ac:dyDescent="0.2">
      <c r="A78" s="169" t="s">
        <v>154</v>
      </c>
      <c r="B78" s="170" t="s">
        <v>318</v>
      </c>
      <c r="C78" s="171">
        <v>621</v>
      </c>
      <c r="D78" s="101"/>
      <c r="E78" s="101"/>
      <c r="F78" s="101"/>
      <c r="G78" s="101"/>
      <c r="H78" s="101"/>
    </row>
    <row r="79" spans="1:8" s="168" customFormat="1" ht="18" customHeight="1" x14ac:dyDescent="0.2">
      <c r="A79" s="99" t="s">
        <v>145</v>
      </c>
      <c r="B79" s="100" t="s">
        <v>204</v>
      </c>
      <c r="C79" s="112">
        <v>621</v>
      </c>
      <c r="D79" s="167"/>
      <c r="E79" s="167"/>
      <c r="F79" s="167"/>
      <c r="G79" s="167"/>
      <c r="H79" s="167"/>
    </row>
    <row r="80" spans="1:8" ht="18" customHeight="1" x14ac:dyDescent="0.2">
      <c r="A80" s="169"/>
      <c r="B80" s="170"/>
      <c r="C80" s="171"/>
      <c r="D80" s="101"/>
      <c r="E80" s="101"/>
      <c r="F80" s="101"/>
      <c r="G80" s="101"/>
      <c r="H80" s="101"/>
    </row>
    <row r="81" spans="1:8" s="168" customFormat="1" ht="18" customHeight="1" x14ac:dyDescent="0.2">
      <c r="A81" s="99" t="s">
        <v>224</v>
      </c>
      <c r="B81" s="100" t="s">
        <v>319</v>
      </c>
      <c r="C81" s="112">
        <v>621</v>
      </c>
      <c r="D81" s="167"/>
      <c r="E81" s="167"/>
      <c r="F81" s="167"/>
      <c r="G81" s="167"/>
      <c r="H81" s="167"/>
    </row>
    <row r="82" spans="1:8" ht="18" customHeight="1" x14ac:dyDescent="0.2">
      <c r="A82" s="169" t="s">
        <v>143</v>
      </c>
      <c r="B82" s="170" t="s">
        <v>320</v>
      </c>
      <c r="C82" s="171">
        <v>621</v>
      </c>
      <c r="D82" s="101"/>
      <c r="E82" s="101"/>
      <c r="F82" s="101"/>
      <c r="G82" s="101"/>
      <c r="H82" s="101"/>
    </row>
    <row r="83" spans="1:8" s="168" customFormat="1" ht="18" customHeight="1" x14ac:dyDescent="0.2">
      <c r="A83" s="99" t="s">
        <v>144</v>
      </c>
      <c r="B83" s="100" t="s">
        <v>321</v>
      </c>
      <c r="C83" s="112">
        <v>611</v>
      </c>
      <c r="D83" s="167"/>
      <c r="E83" s="167"/>
      <c r="F83" s="167"/>
      <c r="G83" s="167"/>
      <c r="H83" s="167"/>
    </row>
    <row r="84" spans="1:8" ht="18" customHeight="1" x14ac:dyDescent="0.2">
      <c r="A84" s="169" t="s">
        <v>129</v>
      </c>
      <c r="B84" s="170" t="s">
        <v>322</v>
      </c>
      <c r="C84" s="171">
        <v>611</v>
      </c>
      <c r="D84" s="101"/>
      <c r="E84" s="101"/>
      <c r="F84" s="101"/>
      <c r="G84" s="101"/>
      <c r="H84" s="101"/>
    </row>
    <row r="85" spans="1:8" s="168" customFormat="1" ht="18" customHeight="1" x14ac:dyDescent="0.2">
      <c r="A85" s="99" t="s">
        <v>67</v>
      </c>
      <c r="B85" s="100" t="s">
        <v>323</v>
      </c>
      <c r="C85" s="112">
        <v>621</v>
      </c>
      <c r="D85" s="167"/>
      <c r="E85" s="167"/>
      <c r="F85" s="167"/>
      <c r="G85" s="167"/>
      <c r="H85" s="167"/>
    </row>
    <row r="86" spans="1:8" ht="18" customHeight="1" x14ac:dyDescent="0.2">
      <c r="A86" s="169" t="s">
        <v>75</v>
      </c>
      <c r="B86" s="170" t="s">
        <v>263</v>
      </c>
      <c r="C86" s="171">
        <v>621</v>
      </c>
      <c r="D86" s="101"/>
      <c r="E86" s="101"/>
      <c r="F86" s="101"/>
      <c r="G86" s="101"/>
      <c r="H86" s="101"/>
    </row>
    <row r="87" spans="1:8" s="168" customFormat="1" ht="18" customHeight="1" x14ac:dyDescent="0.2">
      <c r="A87" s="99" t="s">
        <v>76</v>
      </c>
      <c r="B87" s="100" t="s">
        <v>324</v>
      </c>
      <c r="C87" s="112">
        <v>611</v>
      </c>
      <c r="D87" s="167"/>
      <c r="E87" s="167"/>
      <c r="F87" s="167"/>
      <c r="G87" s="167"/>
      <c r="H87" s="167"/>
    </row>
    <row r="88" spans="1:8" ht="18" customHeight="1" x14ac:dyDescent="0.2">
      <c r="A88" s="169" t="s">
        <v>257</v>
      </c>
      <c r="B88" s="173" t="s">
        <v>325</v>
      </c>
      <c r="C88" s="171">
        <v>621</v>
      </c>
      <c r="D88" s="101"/>
      <c r="E88" s="101"/>
      <c r="F88" s="101"/>
      <c r="G88" s="101"/>
      <c r="H88" s="101"/>
    </row>
    <row r="89" spans="1:8" s="168" customFormat="1" ht="18" customHeight="1" x14ac:dyDescent="0.2">
      <c r="A89" s="99" t="s">
        <v>236</v>
      </c>
      <c r="B89" s="111" t="s">
        <v>326</v>
      </c>
      <c r="C89" s="112">
        <v>621</v>
      </c>
      <c r="D89" s="167"/>
      <c r="E89" s="167"/>
      <c r="F89" s="167"/>
      <c r="G89" s="167"/>
      <c r="H89" s="167"/>
    </row>
    <row r="90" spans="1:8" ht="18" customHeight="1" x14ac:dyDescent="0.2">
      <c r="A90" s="169" t="s">
        <v>29</v>
      </c>
      <c r="B90" s="173" t="s">
        <v>388</v>
      </c>
      <c r="C90" s="171">
        <v>611</v>
      </c>
      <c r="D90" s="101"/>
      <c r="E90" s="101"/>
      <c r="F90" s="101"/>
      <c r="G90" s="101"/>
      <c r="H90" s="101"/>
    </row>
    <row r="91" spans="1:8" s="168" customFormat="1" ht="18" customHeight="1" x14ac:dyDescent="0.2">
      <c r="A91" s="99" t="s">
        <v>258</v>
      </c>
      <c r="B91" s="111" t="s">
        <v>389</v>
      </c>
      <c r="C91" s="112">
        <v>621</v>
      </c>
      <c r="D91" s="167"/>
      <c r="E91" s="167"/>
      <c r="F91" s="167"/>
      <c r="G91" s="167"/>
      <c r="H91" s="167"/>
    </row>
    <row r="92" spans="1:8" ht="18" customHeight="1" x14ac:dyDescent="0.2">
      <c r="A92" s="169"/>
      <c r="B92" s="173"/>
      <c r="C92" s="171"/>
      <c r="D92" s="101"/>
      <c r="E92" s="101"/>
      <c r="F92" s="101"/>
      <c r="G92" s="101"/>
      <c r="H92" s="101"/>
    </row>
    <row r="93" spans="1:8" s="168" customFormat="1" ht="18" customHeight="1" x14ac:dyDescent="0.2">
      <c r="A93" s="99" t="s">
        <v>140</v>
      </c>
      <c r="B93" s="111" t="s">
        <v>327</v>
      </c>
      <c r="C93" s="112">
        <v>621</v>
      </c>
      <c r="D93" s="167"/>
      <c r="E93" s="167"/>
      <c r="F93" s="167"/>
      <c r="G93" s="167"/>
      <c r="H93" s="167"/>
    </row>
    <row r="94" spans="1:8" ht="18" customHeight="1" x14ac:dyDescent="0.2">
      <c r="A94" s="169" t="s">
        <v>247</v>
      </c>
      <c r="B94" s="173" t="s">
        <v>328</v>
      </c>
      <c r="C94" s="171">
        <v>621</v>
      </c>
      <c r="D94" s="101"/>
      <c r="E94" s="101"/>
      <c r="F94" s="101"/>
      <c r="G94" s="101"/>
      <c r="H94" s="101"/>
    </row>
    <row r="95" spans="1:8" s="168" customFormat="1" ht="18" customHeight="1" x14ac:dyDescent="0.2">
      <c r="A95" s="99" t="s">
        <v>191</v>
      </c>
      <c r="B95" s="111" t="s">
        <v>329</v>
      </c>
      <c r="C95" s="112">
        <v>621</v>
      </c>
      <c r="D95" s="167"/>
      <c r="E95" s="167"/>
      <c r="F95" s="167"/>
      <c r="G95" s="167"/>
      <c r="H95" s="167"/>
    </row>
    <row r="96" spans="1:8" ht="18" customHeight="1" x14ac:dyDescent="0.2">
      <c r="A96" s="169" t="s">
        <v>330</v>
      </c>
      <c r="B96" s="173" t="s">
        <v>331</v>
      </c>
      <c r="C96" s="171">
        <v>621</v>
      </c>
      <c r="D96" s="101"/>
      <c r="E96" s="101"/>
      <c r="F96" s="101"/>
      <c r="G96" s="101"/>
      <c r="H96" s="101"/>
    </row>
    <row r="97" spans="1:8" s="168" customFormat="1" ht="18" customHeight="1" x14ac:dyDescent="0.2">
      <c r="A97" s="99" t="s">
        <v>264</v>
      </c>
      <c r="B97" s="111" t="s">
        <v>332</v>
      </c>
      <c r="C97" s="112">
        <v>621</v>
      </c>
      <c r="D97" s="167"/>
      <c r="E97" s="167"/>
      <c r="F97" s="167"/>
      <c r="G97" s="167"/>
      <c r="H97" s="167"/>
    </row>
    <row r="98" spans="1:8" ht="18" customHeight="1" x14ac:dyDescent="0.2">
      <c r="A98" s="169" t="s">
        <v>205</v>
      </c>
      <c r="B98" s="173" t="s">
        <v>272</v>
      </c>
      <c r="C98" s="171">
        <v>621</v>
      </c>
      <c r="D98" s="101"/>
      <c r="E98" s="101"/>
      <c r="F98" s="101"/>
      <c r="G98" s="101"/>
      <c r="H98" s="101"/>
    </row>
    <row r="99" spans="1:8" s="168" customFormat="1" ht="18" customHeight="1" x14ac:dyDescent="0.2">
      <c r="A99" s="99" t="s">
        <v>173</v>
      </c>
      <c r="B99" s="111" t="s">
        <v>333</v>
      </c>
      <c r="C99" s="112">
        <v>621</v>
      </c>
      <c r="D99" s="167"/>
      <c r="E99" s="167"/>
      <c r="F99" s="167"/>
      <c r="G99" s="167"/>
      <c r="H99" s="167"/>
    </row>
    <row r="100" spans="1:8" ht="18" customHeight="1" x14ac:dyDescent="0.2">
      <c r="A100" s="169" t="s">
        <v>92</v>
      </c>
      <c r="B100" s="173" t="s">
        <v>390</v>
      </c>
      <c r="C100" s="171">
        <v>621</v>
      </c>
      <c r="D100" s="101"/>
      <c r="E100" s="101"/>
      <c r="F100" s="101"/>
      <c r="G100" s="101"/>
      <c r="H100" s="101"/>
    </row>
    <row r="101" spans="1:8" s="168" customFormat="1" ht="18" customHeight="1" x14ac:dyDescent="0.2">
      <c r="A101" s="99" t="s">
        <v>64</v>
      </c>
      <c r="B101" s="111" t="s">
        <v>334</v>
      </c>
      <c r="C101" s="112">
        <v>621</v>
      </c>
      <c r="D101" s="167"/>
      <c r="E101" s="167"/>
      <c r="F101" s="167"/>
      <c r="G101" s="167"/>
      <c r="H101" s="167"/>
    </row>
    <row r="102" spans="1:8" ht="18" customHeight="1" x14ac:dyDescent="0.2">
      <c r="A102" s="169" t="s">
        <v>103</v>
      </c>
      <c r="B102" s="173" t="s">
        <v>335</v>
      </c>
      <c r="C102" s="171">
        <v>621</v>
      </c>
      <c r="D102" s="101"/>
      <c r="E102" s="101"/>
      <c r="F102" s="101"/>
      <c r="G102" s="101"/>
      <c r="H102" s="101"/>
    </row>
    <row r="103" spans="1:8" s="168" customFormat="1" ht="18" customHeight="1" x14ac:dyDescent="0.2">
      <c r="A103" s="99" t="s">
        <v>15</v>
      </c>
      <c r="B103" s="111" t="s">
        <v>157</v>
      </c>
      <c r="C103" s="112">
        <v>621</v>
      </c>
      <c r="D103" s="167"/>
      <c r="E103" s="167"/>
      <c r="F103" s="167"/>
      <c r="G103" s="167"/>
      <c r="H103" s="167"/>
    </row>
    <row r="104" spans="1:8" ht="18" customHeight="1" x14ac:dyDescent="0.2">
      <c r="A104" s="169" t="s">
        <v>28</v>
      </c>
      <c r="B104" s="173" t="s">
        <v>391</v>
      </c>
      <c r="C104" s="171">
        <v>621</v>
      </c>
      <c r="D104" s="101"/>
      <c r="E104" s="101"/>
      <c r="F104" s="101"/>
      <c r="G104" s="101"/>
      <c r="H104" s="101"/>
    </row>
    <row r="105" spans="1:8" s="168" customFormat="1" ht="18" customHeight="1" x14ac:dyDescent="0.2">
      <c r="A105" s="99" t="s">
        <v>158</v>
      </c>
      <c r="B105" s="111" t="s">
        <v>336</v>
      </c>
      <c r="C105" s="112">
        <v>611</v>
      </c>
      <c r="D105" s="167"/>
      <c r="E105" s="167"/>
      <c r="F105" s="167"/>
      <c r="G105" s="167"/>
      <c r="H105" s="167"/>
    </row>
    <row r="106" spans="1:8" ht="18" customHeight="1" x14ac:dyDescent="0.2">
      <c r="A106" s="169" t="s">
        <v>91</v>
      </c>
      <c r="B106" s="173" t="s">
        <v>218</v>
      </c>
      <c r="C106" s="171">
        <v>621</v>
      </c>
      <c r="D106" s="101"/>
      <c r="E106" s="101"/>
      <c r="F106" s="101"/>
      <c r="G106" s="101"/>
      <c r="H106" s="101"/>
    </row>
    <row r="107" spans="1:8" s="168" customFormat="1" ht="18" customHeight="1" x14ac:dyDescent="0.2">
      <c r="A107" s="99" t="s">
        <v>159</v>
      </c>
      <c r="B107" s="111" t="s">
        <v>337</v>
      </c>
      <c r="C107" s="112">
        <v>621</v>
      </c>
      <c r="D107" s="167"/>
      <c r="E107" s="167"/>
      <c r="F107" s="167"/>
      <c r="G107" s="167"/>
      <c r="H107" s="167"/>
    </row>
    <row r="108" spans="1:8" s="168" customFormat="1" ht="18" customHeight="1" x14ac:dyDescent="0.2">
      <c r="A108" s="169" t="s">
        <v>338</v>
      </c>
      <c r="B108" s="173" t="s">
        <v>392</v>
      </c>
      <c r="C108" s="171">
        <v>621</v>
      </c>
      <c r="D108" s="167"/>
      <c r="E108" s="167"/>
      <c r="F108" s="167"/>
      <c r="G108" s="167"/>
      <c r="H108" s="167"/>
    </row>
    <row r="109" spans="1:8" s="168" customFormat="1" ht="18" customHeight="1" x14ac:dyDescent="0.2">
      <c r="A109" s="99" t="s">
        <v>266</v>
      </c>
      <c r="B109" s="111" t="s">
        <v>267</v>
      </c>
      <c r="C109" s="112">
        <v>621</v>
      </c>
      <c r="D109" s="167"/>
      <c r="E109" s="167"/>
      <c r="F109" s="167"/>
      <c r="G109" s="167"/>
      <c r="H109" s="167"/>
    </row>
    <row r="110" spans="1:8" s="168" customFormat="1" ht="18" customHeight="1" x14ac:dyDescent="0.2">
      <c r="A110" s="169" t="s">
        <v>339</v>
      </c>
      <c r="B110" s="173" t="s">
        <v>340</v>
      </c>
      <c r="C110" s="171">
        <v>621</v>
      </c>
      <c r="D110" s="167"/>
      <c r="E110" s="167"/>
      <c r="F110" s="167"/>
      <c r="G110" s="167"/>
      <c r="H110" s="167"/>
    </row>
    <row r="111" spans="1:8" s="168" customFormat="1" ht="18" customHeight="1" x14ac:dyDescent="0.2">
      <c r="A111" s="99" t="s">
        <v>341</v>
      </c>
      <c r="B111" s="111" t="s">
        <v>342</v>
      </c>
      <c r="C111" s="112">
        <v>611</v>
      </c>
      <c r="D111" s="167"/>
      <c r="E111" s="167"/>
      <c r="F111" s="167"/>
      <c r="G111" s="167"/>
      <c r="H111" s="167"/>
    </row>
    <row r="112" spans="1:8" s="168" customFormat="1" ht="18" customHeight="1" x14ac:dyDescent="0.2">
      <c r="A112" s="169" t="s">
        <v>160</v>
      </c>
      <c r="B112" s="173" t="s">
        <v>343</v>
      </c>
      <c r="C112" s="171">
        <v>621</v>
      </c>
      <c r="D112" s="167"/>
      <c r="E112" s="167"/>
      <c r="F112" s="167"/>
      <c r="G112" s="167"/>
      <c r="H112" s="167"/>
    </row>
    <row r="113" spans="1:8" s="168" customFormat="1" ht="18" customHeight="1" x14ac:dyDescent="0.2">
      <c r="A113" s="99" t="s">
        <v>212</v>
      </c>
      <c r="B113" s="111" t="s">
        <v>213</v>
      </c>
      <c r="C113" s="112">
        <v>621</v>
      </c>
      <c r="D113" s="167"/>
      <c r="E113" s="167"/>
      <c r="F113" s="167"/>
      <c r="G113" s="167"/>
      <c r="H113" s="167"/>
    </row>
    <row r="114" spans="1:8" ht="18" customHeight="1" x14ac:dyDescent="0.2">
      <c r="A114" s="169" t="s">
        <v>344</v>
      </c>
      <c r="B114" s="173" t="s">
        <v>345</v>
      </c>
      <c r="C114" s="171">
        <v>621</v>
      </c>
      <c r="D114" s="101"/>
      <c r="E114" s="101"/>
      <c r="F114" s="101"/>
      <c r="G114" s="101"/>
      <c r="H114" s="101"/>
    </row>
    <row r="115" spans="1:8" s="168" customFormat="1" ht="18" customHeight="1" x14ac:dyDescent="0.2">
      <c r="A115" s="99" t="s">
        <v>214</v>
      </c>
      <c r="B115" s="111" t="s">
        <v>346</v>
      </c>
      <c r="C115" s="112">
        <v>621</v>
      </c>
      <c r="D115" s="167"/>
      <c r="E115" s="167"/>
      <c r="F115" s="167"/>
      <c r="G115" s="167"/>
      <c r="H115" s="167"/>
    </row>
    <row r="116" spans="1:8" ht="18" customHeight="1" x14ac:dyDescent="0.2">
      <c r="A116" s="169" t="s">
        <v>265</v>
      </c>
      <c r="B116" s="173" t="s">
        <v>347</v>
      </c>
      <c r="C116" s="171">
        <v>621</v>
      </c>
      <c r="D116" s="101"/>
      <c r="E116" s="101"/>
      <c r="F116" s="101"/>
      <c r="G116" s="101"/>
      <c r="H116" s="101"/>
    </row>
    <row r="117" spans="1:8" s="168" customFormat="1" ht="18" customHeight="1" x14ac:dyDescent="0.2">
      <c r="A117" s="99" t="s">
        <v>348</v>
      </c>
      <c r="B117" s="111" t="s">
        <v>393</v>
      </c>
      <c r="C117" s="112">
        <v>621</v>
      </c>
      <c r="D117" s="167"/>
      <c r="E117" s="167"/>
      <c r="F117" s="167"/>
      <c r="G117" s="167"/>
      <c r="H117" s="167"/>
    </row>
    <row r="118" spans="1:8" ht="18" customHeight="1" x14ac:dyDescent="0.2">
      <c r="A118" s="169" t="s">
        <v>349</v>
      </c>
      <c r="B118" s="173" t="s">
        <v>350</v>
      </c>
      <c r="C118" s="171">
        <v>621</v>
      </c>
      <c r="D118" s="101"/>
      <c r="E118" s="101"/>
      <c r="F118" s="101"/>
      <c r="G118" s="101"/>
      <c r="H118" s="101"/>
    </row>
    <row r="119" spans="1:8" s="168" customFormat="1" ht="18" customHeight="1" x14ac:dyDescent="0.2">
      <c r="A119" s="99" t="s">
        <v>351</v>
      </c>
      <c r="B119" s="111" t="s">
        <v>352</v>
      </c>
      <c r="C119" s="112">
        <v>621</v>
      </c>
      <c r="D119" s="167"/>
      <c r="E119" s="167"/>
      <c r="F119" s="167"/>
      <c r="G119" s="167"/>
      <c r="H119" s="167"/>
    </row>
    <row r="120" spans="1:8" s="168" customFormat="1" ht="18" customHeight="1" x14ac:dyDescent="0.2">
      <c r="A120" s="169" t="s">
        <v>353</v>
      </c>
      <c r="B120" s="173" t="s">
        <v>354</v>
      </c>
      <c r="C120" s="171">
        <v>621</v>
      </c>
      <c r="D120" s="167"/>
      <c r="E120" s="167"/>
      <c r="F120" s="167"/>
      <c r="G120" s="167"/>
      <c r="H120" s="167"/>
    </row>
    <row r="121" spans="1:8" s="168" customFormat="1" ht="18" customHeight="1" x14ac:dyDescent="0.2">
      <c r="A121" s="169" t="s">
        <v>394</v>
      </c>
      <c r="B121" s="173" t="s">
        <v>395</v>
      </c>
      <c r="C121" s="171">
        <v>621</v>
      </c>
      <c r="D121" s="167"/>
      <c r="E121" s="167"/>
      <c r="F121" s="167"/>
      <c r="G121" s="167"/>
      <c r="H121" s="167"/>
    </row>
    <row r="122" spans="1:8" s="168" customFormat="1" ht="18" customHeight="1" x14ac:dyDescent="0.2">
      <c r="A122" s="99" t="s">
        <v>114</v>
      </c>
      <c r="B122" s="100" t="s">
        <v>355</v>
      </c>
      <c r="C122" s="112">
        <v>611</v>
      </c>
      <c r="D122" s="167"/>
      <c r="E122" s="167"/>
      <c r="F122" s="167"/>
      <c r="G122" s="167"/>
      <c r="H122" s="167"/>
    </row>
    <row r="123" spans="1:8" s="168" customFormat="1" ht="18" customHeight="1" x14ac:dyDescent="0.2">
      <c r="A123" s="169" t="s">
        <v>166</v>
      </c>
      <c r="B123" s="170" t="s">
        <v>356</v>
      </c>
      <c r="C123" s="171">
        <v>611</v>
      </c>
      <c r="D123" s="167"/>
      <c r="E123" s="167"/>
      <c r="F123" s="167"/>
      <c r="G123" s="167"/>
      <c r="H123" s="167"/>
    </row>
    <row r="124" spans="1:8" s="168" customFormat="1" ht="18" customHeight="1" x14ac:dyDescent="0.2">
      <c r="A124" s="99" t="s">
        <v>136</v>
      </c>
      <c r="B124" s="100" t="s">
        <v>357</v>
      </c>
      <c r="C124" s="112">
        <v>611</v>
      </c>
      <c r="D124" s="167"/>
      <c r="E124" s="167"/>
      <c r="F124" s="167"/>
      <c r="G124" s="167"/>
      <c r="H124" s="167"/>
    </row>
    <row r="125" spans="1:8" s="168" customFormat="1" ht="18" customHeight="1" x14ac:dyDescent="0.2">
      <c r="A125" s="169" t="s">
        <v>206</v>
      </c>
      <c r="B125" s="170" t="s">
        <v>358</v>
      </c>
      <c r="C125" s="171">
        <v>611</v>
      </c>
      <c r="D125" s="167"/>
      <c r="E125" s="167"/>
      <c r="F125" s="167"/>
      <c r="G125" s="167"/>
      <c r="H125" s="167"/>
    </row>
    <row r="126" spans="1:8" s="168" customFormat="1" ht="18" customHeight="1" x14ac:dyDescent="0.2">
      <c r="A126" s="99" t="s">
        <v>172</v>
      </c>
      <c r="B126" s="100" t="s">
        <v>359</v>
      </c>
      <c r="C126" s="112">
        <v>611</v>
      </c>
      <c r="D126" s="167"/>
      <c r="E126" s="167"/>
      <c r="F126" s="167"/>
      <c r="G126" s="167"/>
      <c r="H126" s="167"/>
    </row>
    <row r="127" spans="1:8" s="168" customFormat="1" ht="18" customHeight="1" x14ac:dyDescent="0.2">
      <c r="A127" s="169" t="s">
        <v>99</v>
      </c>
      <c r="B127" s="170" t="s">
        <v>360</v>
      </c>
      <c r="C127" s="171">
        <v>611</v>
      </c>
      <c r="D127" s="167"/>
      <c r="E127" s="167"/>
      <c r="F127" s="167"/>
      <c r="G127" s="167"/>
      <c r="H127" s="167"/>
    </row>
    <row r="128" spans="1:8" s="168" customFormat="1" ht="18" customHeight="1" x14ac:dyDescent="0.2">
      <c r="A128" s="99" t="s">
        <v>221</v>
      </c>
      <c r="B128" s="100" t="s">
        <v>361</v>
      </c>
      <c r="C128" s="112">
        <v>621</v>
      </c>
      <c r="D128" s="167"/>
      <c r="E128" s="167"/>
      <c r="F128" s="167"/>
      <c r="G128" s="167"/>
      <c r="H128" s="167"/>
    </row>
    <row r="129" spans="1:8" s="168" customFormat="1" ht="18" customHeight="1" x14ac:dyDescent="0.2">
      <c r="A129" s="169" t="s">
        <v>163</v>
      </c>
      <c r="B129" s="170" t="s">
        <v>362</v>
      </c>
      <c r="C129" s="171">
        <v>611</v>
      </c>
      <c r="D129" s="167"/>
      <c r="E129" s="167"/>
      <c r="F129" s="167"/>
      <c r="G129" s="167"/>
      <c r="H129" s="167"/>
    </row>
    <row r="130" spans="1:8" s="168" customFormat="1" ht="18" customHeight="1" x14ac:dyDescent="0.2">
      <c r="A130" s="99" t="s">
        <v>161</v>
      </c>
      <c r="B130" s="100" t="s">
        <v>363</v>
      </c>
      <c r="C130" s="112">
        <v>611</v>
      </c>
      <c r="D130" s="167"/>
      <c r="E130" s="167"/>
      <c r="F130" s="167"/>
      <c r="G130" s="167"/>
      <c r="H130" s="167"/>
    </row>
    <row r="131" spans="1:8" s="168" customFormat="1" ht="18" customHeight="1" x14ac:dyDescent="0.2">
      <c r="A131" s="169" t="s">
        <v>176</v>
      </c>
      <c r="B131" s="170" t="s">
        <v>364</v>
      </c>
      <c r="C131" s="171">
        <v>611</v>
      </c>
      <c r="D131" s="167"/>
      <c r="E131" s="167"/>
      <c r="F131" s="167"/>
      <c r="G131" s="167"/>
      <c r="H131" s="167"/>
    </row>
    <row r="132" spans="1:8" s="168" customFormat="1" ht="18" customHeight="1" x14ac:dyDescent="0.2">
      <c r="A132" s="99" t="s">
        <v>147</v>
      </c>
      <c r="B132" s="100" t="s">
        <v>365</v>
      </c>
      <c r="C132" s="112">
        <v>621</v>
      </c>
      <c r="D132" s="167"/>
      <c r="E132" s="167"/>
      <c r="F132" s="167"/>
      <c r="G132" s="167"/>
      <c r="H132" s="167"/>
    </row>
    <row r="133" spans="1:8" s="168" customFormat="1" ht="18" customHeight="1" x14ac:dyDescent="0.2">
      <c r="A133" s="169" t="s">
        <v>13</v>
      </c>
      <c r="B133" s="170" t="s">
        <v>366</v>
      </c>
      <c r="C133" s="171">
        <v>611</v>
      </c>
      <c r="D133" s="167"/>
      <c r="E133" s="167"/>
      <c r="F133" s="167"/>
      <c r="G133" s="167"/>
      <c r="H133" s="167"/>
    </row>
    <row r="134" spans="1:8" s="168" customFormat="1" ht="18" customHeight="1" x14ac:dyDescent="0.2">
      <c r="A134" s="99" t="s">
        <v>255</v>
      </c>
      <c r="B134" s="100" t="s">
        <v>367</v>
      </c>
      <c r="C134" s="112">
        <v>611</v>
      </c>
      <c r="D134" s="167"/>
      <c r="E134" s="167"/>
      <c r="F134" s="167"/>
      <c r="G134" s="167"/>
      <c r="H134" s="167"/>
    </row>
    <row r="135" spans="1:8" s="168" customFormat="1" ht="18" customHeight="1" x14ac:dyDescent="0.2">
      <c r="A135" s="169" t="s">
        <v>98</v>
      </c>
      <c r="B135" s="170" t="s">
        <v>155</v>
      </c>
      <c r="C135" s="171">
        <v>621</v>
      </c>
    </row>
    <row r="136" spans="1:8" s="168" customFormat="1" ht="18" customHeight="1" x14ac:dyDescent="0.2">
      <c r="A136" s="99" t="s">
        <v>52</v>
      </c>
      <c r="B136" s="111" t="s">
        <v>368</v>
      </c>
      <c r="C136" s="112">
        <v>621</v>
      </c>
    </row>
    <row r="137" spans="1:8" s="168" customFormat="1" ht="18" customHeight="1" x14ac:dyDescent="0.2">
      <c r="A137" s="169" t="s">
        <v>369</v>
      </c>
      <c r="B137" s="173" t="s">
        <v>370</v>
      </c>
      <c r="C137" s="171">
        <v>611</v>
      </c>
    </row>
    <row r="138" spans="1:8" s="168" customFormat="1" ht="18" customHeight="1" x14ac:dyDescent="0.2">
      <c r="A138" s="99" t="s">
        <v>371</v>
      </c>
      <c r="B138" s="111" t="s">
        <v>372</v>
      </c>
      <c r="C138" s="112">
        <v>621</v>
      </c>
    </row>
    <row r="139" spans="1:8" ht="18" customHeight="1" x14ac:dyDescent="0.2"/>
    <row r="140" spans="1:8" ht="18" customHeight="1" x14ac:dyDescent="0.2"/>
    <row r="141" spans="1:8" ht="18" customHeight="1" x14ac:dyDescent="0.2"/>
    <row r="142" spans="1:8" ht="18" customHeight="1" x14ac:dyDescent="0.2"/>
    <row r="143" spans="1:8" ht="18" customHeight="1" x14ac:dyDescent="0.2"/>
    <row r="144" spans="1:8" ht="18" customHeight="1" x14ac:dyDescent="0.2"/>
    <row r="145" spans="1:3" ht="18" customHeight="1" x14ac:dyDescent="0.2">
      <c r="A145"/>
      <c r="B145"/>
      <c r="C145"/>
    </row>
    <row r="146" spans="1:3" ht="18" customHeight="1" x14ac:dyDescent="0.2">
      <c r="A146"/>
      <c r="B146"/>
      <c r="C146"/>
    </row>
    <row r="147" spans="1:3" ht="18" customHeight="1" x14ac:dyDescent="0.2">
      <c r="A147"/>
      <c r="B147"/>
      <c r="C147"/>
    </row>
    <row r="148" spans="1:3" ht="18" customHeight="1" x14ac:dyDescent="0.2">
      <c r="A148"/>
      <c r="B148"/>
      <c r="C148"/>
    </row>
    <row r="149" spans="1:3" ht="18" customHeight="1" x14ac:dyDescent="0.2">
      <c r="A149"/>
      <c r="B149"/>
      <c r="C149"/>
    </row>
    <row r="150" spans="1:3" ht="18" customHeight="1" x14ac:dyDescent="0.2">
      <c r="A150"/>
      <c r="B150"/>
      <c r="C150"/>
    </row>
    <row r="151" spans="1:3" ht="18" customHeight="1" x14ac:dyDescent="0.2">
      <c r="A151"/>
      <c r="B151"/>
      <c r="C151"/>
    </row>
    <row r="152" spans="1:3" ht="18" customHeight="1" x14ac:dyDescent="0.2">
      <c r="A152"/>
      <c r="B152"/>
      <c r="C152"/>
    </row>
    <row r="153" spans="1:3" ht="18" customHeight="1" x14ac:dyDescent="0.2">
      <c r="A153"/>
      <c r="B153"/>
      <c r="C153"/>
    </row>
    <row r="154" spans="1:3" ht="18" customHeight="1" x14ac:dyDescent="0.2">
      <c r="A154"/>
      <c r="B154"/>
      <c r="C154"/>
    </row>
    <row r="155" spans="1:3" ht="18" customHeight="1" x14ac:dyDescent="0.2">
      <c r="A155"/>
      <c r="B155"/>
      <c r="C155"/>
    </row>
    <row r="156" spans="1:3" ht="18" customHeight="1" x14ac:dyDescent="0.2">
      <c r="A156"/>
      <c r="B156"/>
      <c r="C156"/>
    </row>
    <row r="157" spans="1:3" ht="18" customHeight="1" x14ac:dyDescent="0.2">
      <c r="A157"/>
      <c r="B157"/>
      <c r="C157"/>
    </row>
    <row r="158" spans="1:3" ht="18" customHeight="1" x14ac:dyDescent="0.2">
      <c r="A158"/>
      <c r="B158"/>
      <c r="C158"/>
    </row>
    <row r="159" spans="1:3" ht="18" customHeight="1" x14ac:dyDescent="0.2">
      <c r="A159"/>
      <c r="B159"/>
      <c r="C159"/>
    </row>
    <row r="160" spans="1:3" ht="18" customHeight="1" x14ac:dyDescent="0.2">
      <c r="A160"/>
      <c r="B160"/>
      <c r="C160"/>
    </row>
    <row r="161" spans="1:3" ht="18" customHeight="1" x14ac:dyDescent="0.2">
      <c r="A161"/>
      <c r="B161"/>
      <c r="C161"/>
    </row>
    <row r="162" spans="1:3" ht="18" customHeight="1" x14ac:dyDescent="0.2">
      <c r="A162"/>
      <c r="B162"/>
      <c r="C162"/>
    </row>
    <row r="163" spans="1:3" ht="18" customHeight="1" x14ac:dyDescent="0.2">
      <c r="A163"/>
      <c r="B163"/>
      <c r="C163"/>
    </row>
    <row r="164" spans="1:3" ht="18" customHeight="1" x14ac:dyDescent="0.2">
      <c r="A164"/>
      <c r="B164"/>
      <c r="C164"/>
    </row>
    <row r="165" spans="1:3" ht="18" customHeight="1" x14ac:dyDescent="0.2">
      <c r="A165"/>
      <c r="B165"/>
      <c r="C165"/>
    </row>
    <row r="166" spans="1:3" ht="18" customHeight="1" x14ac:dyDescent="0.2">
      <c r="A166"/>
      <c r="B166"/>
      <c r="C166"/>
    </row>
    <row r="167" spans="1:3" ht="18" customHeight="1" x14ac:dyDescent="0.2">
      <c r="A167"/>
      <c r="B167"/>
      <c r="C167"/>
    </row>
    <row r="168" spans="1:3" ht="18" customHeight="1" x14ac:dyDescent="0.2">
      <c r="A168"/>
      <c r="B168"/>
      <c r="C168"/>
    </row>
    <row r="169" spans="1:3" ht="18" customHeight="1" x14ac:dyDescent="0.2">
      <c r="A169"/>
      <c r="B169"/>
      <c r="C169"/>
    </row>
    <row r="170" spans="1:3" ht="18" customHeight="1" x14ac:dyDescent="0.2">
      <c r="A170"/>
      <c r="B170"/>
      <c r="C170"/>
    </row>
    <row r="171" spans="1:3" ht="18" customHeight="1" x14ac:dyDescent="0.2">
      <c r="A171"/>
      <c r="B171"/>
      <c r="C171"/>
    </row>
    <row r="172" spans="1:3" ht="18" customHeight="1" x14ac:dyDescent="0.2">
      <c r="A172"/>
      <c r="B172"/>
      <c r="C172"/>
    </row>
    <row r="173" spans="1:3" ht="18" customHeight="1" x14ac:dyDescent="0.2">
      <c r="A173"/>
      <c r="B173"/>
      <c r="C173"/>
    </row>
    <row r="174" spans="1:3" ht="18" customHeight="1" x14ac:dyDescent="0.2">
      <c r="A174"/>
      <c r="B174"/>
      <c r="C174"/>
    </row>
    <row r="175" spans="1:3" ht="18" customHeight="1" x14ac:dyDescent="0.2">
      <c r="A175"/>
      <c r="B175"/>
      <c r="C175"/>
    </row>
    <row r="176" spans="1:3" ht="18" customHeight="1" x14ac:dyDescent="0.2">
      <c r="A176"/>
      <c r="B176"/>
      <c r="C176"/>
    </row>
    <row r="177" spans="1:3" ht="18" customHeight="1" x14ac:dyDescent="0.2">
      <c r="A177"/>
      <c r="B177"/>
      <c r="C177"/>
    </row>
    <row r="178" spans="1:3" ht="18" customHeight="1" x14ac:dyDescent="0.2">
      <c r="A178"/>
      <c r="B178"/>
      <c r="C178"/>
    </row>
    <row r="179" spans="1:3" ht="18" customHeight="1" x14ac:dyDescent="0.2">
      <c r="A179"/>
      <c r="B179"/>
      <c r="C179"/>
    </row>
    <row r="180" spans="1:3" ht="18" customHeight="1" x14ac:dyDescent="0.2">
      <c r="A180"/>
      <c r="B180"/>
      <c r="C180"/>
    </row>
    <row r="181" spans="1:3" ht="18" customHeight="1" x14ac:dyDescent="0.2">
      <c r="A181"/>
      <c r="B181"/>
      <c r="C181"/>
    </row>
    <row r="182" spans="1:3" ht="18" customHeight="1" x14ac:dyDescent="0.2">
      <c r="A182"/>
      <c r="B182"/>
      <c r="C182"/>
    </row>
    <row r="183" spans="1:3" ht="18" customHeight="1" x14ac:dyDescent="0.2">
      <c r="A183"/>
      <c r="B183"/>
      <c r="C183"/>
    </row>
    <row r="184" spans="1:3" ht="18" customHeight="1" x14ac:dyDescent="0.2">
      <c r="A184"/>
      <c r="B184"/>
      <c r="C184"/>
    </row>
    <row r="185" spans="1:3" ht="18" customHeight="1" x14ac:dyDescent="0.2">
      <c r="A185"/>
      <c r="B185"/>
      <c r="C185"/>
    </row>
    <row r="186" spans="1:3" ht="18" customHeight="1" x14ac:dyDescent="0.2">
      <c r="A186"/>
      <c r="B186"/>
      <c r="C186"/>
    </row>
    <row r="187" spans="1:3" ht="18" customHeight="1" x14ac:dyDescent="0.2">
      <c r="A187"/>
      <c r="B187"/>
      <c r="C187"/>
    </row>
    <row r="188" spans="1:3" ht="18" customHeight="1" x14ac:dyDescent="0.2">
      <c r="A188"/>
      <c r="B188"/>
      <c r="C188"/>
    </row>
    <row r="189" spans="1:3" ht="18" customHeight="1" x14ac:dyDescent="0.2">
      <c r="A189"/>
      <c r="B189"/>
      <c r="C189"/>
    </row>
    <row r="190" spans="1:3" ht="18" customHeight="1" x14ac:dyDescent="0.2">
      <c r="A190"/>
      <c r="B190"/>
      <c r="C190"/>
    </row>
    <row r="191" spans="1:3" ht="18" customHeight="1" x14ac:dyDescent="0.2">
      <c r="A191"/>
      <c r="B191"/>
      <c r="C191"/>
    </row>
    <row r="192" spans="1:3" ht="18" customHeight="1" x14ac:dyDescent="0.2">
      <c r="A192"/>
      <c r="B192"/>
      <c r="C192"/>
    </row>
    <row r="193" spans="1:3" ht="18" customHeight="1" x14ac:dyDescent="0.2">
      <c r="A193"/>
      <c r="B193"/>
      <c r="C193"/>
    </row>
    <row r="194" spans="1:3" ht="18" customHeight="1" x14ac:dyDescent="0.2">
      <c r="A194"/>
      <c r="B194"/>
      <c r="C194"/>
    </row>
    <row r="195" spans="1:3" ht="18" customHeight="1" x14ac:dyDescent="0.2">
      <c r="A195"/>
      <c r="B195"/>
      <c r="C195"/>
    </row>
    <row r="196" spans="1:3" ht="18" customHeight="1" x14ac:dyDescent="0.2">
      <c r="A196"/>
      <c r="B196"/>
      <c r="C196"/>
    </row>
    <row r="197" spans="1:3" ht="18" customHeight="1" x14ac:dyDescent="0.2">
      <c r="A197"/>
      <c r="B197"/>
      <c r="C197"/>
    </row>
    <row r="198" spans="1:3" ht="18" customHeight="1" x14ac:dyDescent="0.2">
      <c r="A198"/>
      <c r="B198"/>
      <c r="C198"/>
    </row>
    <row r="199" spans="1:3" ht="18" customHeight="1" x14ac:dyDescent="0.2">
      <c r="A199"/>
      <c r="B199"/>
      <c r="C199"/>
    </row>
    <row r="200" spans="1:3" ht="18" customHeight="1" x14ac:dyDescent="0.2">
      <c r="A200"/>
      <c r="B200"/>
      <c r="C200"/>
    </row>
    <row r="201" spans="1:3" ht="18" customHeight="1" x14ac:dyDescent="0.2">
      <c r="A201"/>
      <c r="B201"/>
      <c r="C201"/>
    </row>
    <row r="202" spans="1:3" ht="18" customHeight="1" x14ac:dyDescent="0.2">
      <c r="A202"/>
      <c r="B202"/>
      <c r="C202"/>
    </row>
    <row r="203" spans="1:3" ht="18" customHeight="1" x14ac:dyDescent="0.2">
      <c r="A203"/>
      <c r="B203"/>
      <c r="C203"/>
    </row>
    <row r="204" spans="1:3" ht="18" customHeight="1" x14ac:dyDescent="0.2">
      <c r="A204"/>
      <c r="B204"/>
      <c r="C204"/>
    </row>
    <row r="205" spans="1:3" ht="18" customHeight="1" x14ac:dyDescent="0.2">
      <c r="A205"/>
      <c r="B205"/>
      <c r="C205"/>
    </row>
    <row r="206" spans="1:3" ht="18" customHeight="1" x14ac:dyDescent="0.2">
      <c r="A206"/>
      <c r="B206"/>
      <c r="C206"/>
    </row>
    <row r="207" spans="1:3" ht="18" customHeight="1" x14ac:dyDescent="0.2">
      <c r="A207"/>
      <c r="B207"/>
      <c r="C207"/>
    </row>
    <row r="208" spans="1:3" ht="18" customHeight="1" x14ac:dyDescent="0.2">
      <c r="A208"/>
      <c r="B208"/>
      <c r="C208"/>
    </row>
    <row r="209" spans="1:3" ht="18" customHeight="1" x14ac:dyDescent="0.2">
      <c r="A209"/>
      <c r="B209"/>
      <c r="C209"/>
    </row>
    <row r="210" spans="1:3" ht="18" customHeight="1" x14ac:dyDescent="0.2">
      <c r="A210"/>
      <c r="B210"/>
      <c r="C210"/>
    </row>
    <row r="211" spans="1:3" ht="18" customHeight="1" x14ac:dyDescent="0.2">
      <c r="A211"/>
      <c r="B211"/>
      <c r="C211"/>
    </row>
    <row r="212" spans="1:3" ht="18" customHeight="1" x14ac:dyDescent="0.2">
      <c r="A212"/>
      <c r="B212"/>
      <c r="C212"/>
    </row>
    <row r="213" spans="1:3" ht="18" customHeight="1" x14ac:dyDescent="0.2">
      <c r="A213"/>
      <c r="B213"/>
      <c r="C213"/>
    </row>
    <row r="214" spans="1:3" ht="18" customHeight="1" x14ac:dyDescent="0.2">
      <c r="A214"/>
      <c r="B214"/>
      <c r="C214"/>
    </row>
    <row r="215" spans="1:3" ht="18" customHeight="1" x14ac:dyDescent="0.2">
      <c r="A215"/>
      <c r="B215"/>
      <c r="C215"/>
    </row>
    <row r="216" spans="1:3" ht="18" customHeight="1" x14ac:dyDescent="0.2">
      <c r="A216"/>
      <c r="B216"/>
      <c r="C216"/>
    </row>
    <row r="217" spans="1:3" ht="18" customHeight="1" x14ac:dyDescent="0.2">
      <c r="A217"/>
      <c r="B217"/>
      <c r="C217"/>
    </row>
    <row r="218" spans="1:3" ht="18" customHeight="1" x14ac:dyDescent="0.2">
      <c r="A218"/>
      <c r="B218"/>
      <c r="C218"/>
    </row>
    <row r="219" spans="1:3" ht="18" customHeight="1" x14ac:dyDescent="0.2">
      <c r="A219"/>
      <c r="B219"/>
      <c r="C219"/>
    </row>
    <row r="220" spans="1:3" ht="18" customHeight="1" x14ac:dyDescent="0.2">
      <c r="A220"/>
      <c r="B220"/>
      <c r="C220"/>
    </row>
    <row r="221" spans="1:3" ht="18" customHeight="1" x14ac:dyDescent="0.2">
      <c r="A221"/>
      <c r="B221"/>
      <c r="C221"/>
    </row>
    <row r="222" spans="1:3" ht="18" customHeight="1" x14ac:dyDescent="0.2">
      <c r="A222"/>
      <c r="B222"/>
      <c r="C222"/>
    </row>
    <row r="223" spans="1:3" ht="18" customHeight="1" x14ac:dyDescent="0.2">
      <c r="A223"/>
      <c r="B223"/>
      <c r="C223"/>
    </row>
    <row r="224" spans="1:3" ht="18" customHeight="1" x14ac:dyDescent="0.2">
      <c r="A224"/>
      <c r="B224"/>
      <c r="C224"/>
    </row>
    <row r="225" spans="1:3" ht="18" customHeight="1" x14ac:dyDescent="0.2">
      <c r="A225"/>
      <c r="B225"/>
      <c r="C225"/>
    </row>
    <row r="226" spans="1:3" ht="18" customHeight="1" x14ac:dyDescent="0.2">
      <c r="A226"/>
      <c r="B226"/>
      <c r="C226"/>
    </row>
    <row r="227" spans="1:3" ht="18" customHeight="1" x14ac:dyDescent="0.2">
      <c r="A227"/>
      <c r="B227"/>
      <c r="C227"/>
    </row>
    <row r="228" spans="1:3" ht="18" customHeight="1" x14ac:dyDescent="0.2">
      <c r="A228"/>
      <c r="B228"/>
      <c r="C228"/>
    </row>
    <row r="229" spans="1:3" ht="18" customHeight="1" x14ac:dyDescent="0.2">
      <c r="A229"/>
      <c r="B229"/>
      <c r="C229"/>
    </row>
    <row r="230" spans="1:3" ht="18" customHeight="1" x14ac:dyDescent="0.2">
      <c r="A230"/>
      <c r="B230"/>
      <c r="C230"/>
    </row>
    <row r="231" spans="1:3" ht="18" customHeight="1" x14ac:dyDescent="0.2">
      <c r="A231"/>
      <c r="B231"/>
      <c r="C231"/>
    </row>
    <row r="232" spans="1:3" ht="18" customHeight="1" x14ac:dyDescent="0.2">
      <c r="A232"/>
      <c r="B232"/>
      <c r="C232"/>
    </row>
    <row r="233" spans="1:3" ht="18" customHeight="1" x14ac:dyDescent="0.2">
      <c r="A233"/>
      <c r="B233"/>
      <c r="C233"/>
    </row>
    <row r="234" spans="1:3" ht="18" customHeight="1" x14ac:dyDescent="0.2">
      <c r="A234"/>
      <c r="B234"/>
      <c r="C234"/>
    </row>
    <row r="235" spans="1:3" ht="18" customHeight="1" x14ac:dyDescent="0.2">
      <c r="A235"/>
      <c r="B235"/>
      <c r="C235"/>
    </row>
    <row r="236" spans="1:3" ht="18" customHeight="1" x14ac:dyDescent="0.2">
      <c r="A236"/>
      <c r="B236"/>
      <c r="C236"/>
    </row>
    <row r="237" spans="1:3" ht="18" customHeight="1" x14ac:dyDescent="0.2">
      <c r="A237"/>
      <c r="B237"/>
      <c r="C237"/>
    </row>
    <row r="238" spans="1:3" ht="18" customHeight="1" x14ac:dyDescent="0.2">
      <c r="A238"/>
      <c r="B238"/>
      <c r="C238"/>
    </row>
    <row r="239" spans="1:3" ht="18" customHeight="1" x14ac:dyDescent="0.2">
      <c r="A239"/>
      <c r="B239"/>
      <c r="C239"/>
    </row>
    <row r="240" spans="1:3" ht="18" customHeight="1" x14ac:dyDescent="0.2">
      <c r="A240"/>
      <c r="B240"/>
      <c r="C240"/>
    </row>
    <row r="241" spans="1:3" ht="18" customHeight="1" x14ac:dyDescent="0.2">
      <c r="A241"/>
      <c r="B241"/>
      <c r="C241"/>
    </row>
    <row r="242" spans="1:3" ht="18" customHeight="1" x14ac:dyDescent="0.2">
      <c r="A242"/>
      <c r="B242"/>
      <c r="C242"/>
    </row>
    <row r="243" spans="1:3" ht="18" customHeight="1" x14ac:dyDescent="0.2">
      <c r="A243"/>
      <c r="B243"/>
      <c r="C243"/>
    </row>
    <row r="244" spans="1:3" ht="18" customHeight="1" x14ac:dyDescent="0.2">
      <c r="A244"/>
      <c r="B244"/>
      <c r="C244"/>
    </row>
    <row r="245" spans="1:3" ht="18" customHeight="1" x14ac:dyDescent="0.2">
      <c r="A245"/>
      <c r="B245"/>
      <c r="C245"/>
    </row>
    <row r="246" spans="1:3" ht="18" customHeight="1" x14ac:dyDescent="0.2">
      <c r="A246"/>
      <c r="B246"/>
      <c r="C246"/>
    </row>
    <row r="247" spans="1:3" ht="18" customHeight="1" x14ac:dyDescent="0.2">
      <c r="A247"/>
      <c r="B247"/>
      <c r="C247"/>
    </row>
    <row r="248" spans="1:3" ht="18" customHeight="1" x14ac:dyDescent="0.2">
      <c r="A248"/>
      <c r="B248"/>
      <c r="C248"/>
    </row>
    <row r="249" spans="1:3" ht="18" customHeight="1" x14ac:dyDescent="0.2">
      <c r="A249"/>
      <c r="B249"/>
      <c r="C249"/>
    </row>
    <row r="250" spans="1:3" ht="18" customHeight="1" x14ac:dyDescent="0.2">
      <c r="A250"/>
      <c r="B250"/>
      <c r="C250"/>
    </row>
    <row r="251" spans="1:3" ht="18" customHeight="1" x14ac:dyDescent="0.2">
      <c r="A251"/>
      <c r="B251"/>
      <c r="C251"/>
    </row>
    <row r="252" spans="1:3" ht="18" customHeight="1" x14ac:dyDescent="0.2">
      <c r="A252"/>
      <c r="B252"/>
      <c r="C252"/>
    </row>
    <row r="253" spans="1:3" ht="18" customHeight="1" x14ac:dyDescent="0.2">
      <c r="A253"/>
      <c r="B253"/>
      <c r="C253"/>
    </row>
    <row r="254" spans="1:3" ht="18" customHeight="1" x14ac:dyDescent="0.2">
      <c r="A254"/>
      <c r="B254"/>
      <c r="C254"/>
    </row>
    <row r="255" spans="1:3" ht="18" customHeight="1" x14ac:dyDescent="0.2">
      <c r="A255"/>
      <c r="B255"/>
      <c r="C255"/>
    </row>
    <row r="256" spans="1:3" ht="18" customHeight="1" x14ac:dyDescent="0.2">
      <c r="A256"/>
      <c r="B256"/>
      <c r="C256"/>
    </row>
    <row r="257" spans="1:3" ht="18" customHeight="1" x14ac:dyDescent="0.2">
      <c r="A257"/>
      <c r="B257"/>
      <c r="C257"/>
    </row>
    <row r="258" spans="1:3" ht="18" customHeight="1" x14ac:dyDescent="0.2">
      <c r="A258"/>
      <c r="B258"/>
      <c r="C258"/>
    </row>
    <row r="259" spans="1:3" ht="18" customHeight="1" x14ac:dyDescent="0.2">
      <c r="A259"/>
      <c r="B259"/>
      <c r="C259"/>
    </row>
    <row r="260" spans="1:3" ht="18" customHeight="1" x14ac:dyDescent="0.2">
      <c r="A260"/>
      <c r="B260"/>
      <c r="C260"/>
    </row>
    <row r="261" spans="1:3" ht="18" customHeight="1" x14ac:dyDescent="0.2">
      <c r="A261"/>
      <c r="B261"/>
      <c r="C261"/>
    </row>
    <row r="262" spans="1:3" ht="18" customHeight="1" x14ac:dyDescent="0.2">
      <c r="A262"/>
      <c r="B262"/>
      <c r="C262"/>
    </row>
    <row r="263" spans="1:3" ht="18" customHeight="1" x14ac:dyDescent="0.2">
      <c r="A263"/>
      <c r="B263"/>
      <c r="C263"/>
    </row>
    <row r="264" spans="1:3" ht="18" customHeight="1" x14ac:dyDescent="0.2">
      <c r="A264"/>
      <c r="B264"/>
      <c r="C264"/>
    </row>
    <row r="265" spans="1:3" ht="18" customHeight="1" x14ac:dyDescent="0.2">
      <c r="A265"/>
      <c r="B265"/>
      <c r="C265"/>
    </row>
    <row r="266" spans="1:3" ht="18" customHeight="1" x14ac:dyDescent="0.2">
      <c r="A266"/>
      <c r="B266"/>
      <c r="C266"/>
    </row>
    <row r="267" spans="1:3" ht="18" customHeight="1" x14ac:dyDescent="0.2">
      <c r="A267"/>
      <c r="B267"/>
      <c r="C267"/>
    </row>
    <row r="268" spans="1:3" ht="18" customHeight="1" x14ac:dyDescent="0.2">
      <c r="A268"/>
      <c r="B268"/>
      <c r="C268"/>
    </row>
    <row r="269" spans="1:3" ht="18" customHeight="1" x14ac:dyDescent="0.2">
      <c r="A269"/>
      <c r="B269"/>
      <c r="C269"/>
    </row>
    <row r="270" spans="1:3" ht="18" customHeight="1" x14ac:dyDescent="0.2">
      <c r="A270"/>
      <c r="B270"/>
      <c r="C270"/>
    </row>
  </sheetData>
  <mergeCells count="1">
    <mergeCell ref="F1:H1"/>
  </mergeCells>
  <phoneticPr fontId="4" type="noConversion"/>
  <pageMargins left="0.75" right="0.75" top="1" bottom="1" header="0.5" footer="0.5"/>
  <pageSetup scale="85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39997558519241921"/>
  </sheetPr>
  <dimension ref="A1:B53"/>
  <sheetViews>
    <sheetView zoomScale="150" zoomScaleNormal="150" workbookViewId="0">
      <selection activeCell="A2" sqref="A2"/>
    </sheetView>
  </sheetViews>
  <sheetFormatPr defaultColWidth="11.42578125" defaultRowHeight="12.75" x14ac:dyDescent="0.2"/>
  <cols>
    <col min="1" max="1" width="10.85546875" style="124" customWidth="1"/>
    <col min="2" max="2" width="78.7109375" customWidth="1"/>
  </cols>
  <sheetData>
    <row r="1" spans="1:2" x14ac:dyDescent="0.2">
      <c r="A1" s="125" t="s">
        <v>273</v>
      </c>
      <c r="B1" s="126" t="s">
        <v>274</v>
      </c>
    </row>
    <row r="2" spans="1:2" x14ac:dyDescent="0.2">
      <c r="A2" s="127"/>
      <c r="B2" s="123"/>
    </row>
    <row r="3" spans="1:2" x14ac:dyDescent="0.2">
      <c r="A3" s="127"/>
      <c r="B3" s="123"/>
    </row>
    <row r="4" spans="1:2" x14ac:dyDescent="0.2">
      <c r="A4" s="127"/>
      <c r="B4" s="123"/>
    </row>
    <row r="5" spans="1:2" x14ac:dyDescent="0.2">
      <c r="A5" s="127"/>
      <c r="B5" s="123"/>
    </row>
    <row r="6" spans="1:2" x14ac:dyDescent="0.2">
      <c r="A6" s="127"/>
      <c r="B6" s="123"/>
    </row>
    <row r="7" spans="1:2" x14ac:dyDescent="0.2">
      <c r="A7" s="127"/>
      <c r="B7" s="123"/>
    </row>
    <row r="8" spans="1:2" x14ac:dyDescent="0.2">
      <c r="A8" s="127"/>
      <c r="B8" s="123"/>
    </row>
    <row r="9" spans="1:2" x14ac:dyDescent="0.2">
      <c r="A9" s="127"/>
      <c r="B9" s="123"/>
    </row>
    <row r="10" spans="1:2" x14ac:dyDescent="0.2">
      <c r="A10" s="127"/>
      <c r="B10" s="123"/>
    </row>
    <row r="11" spans="1:2" x14ac:dyDescent="0.2">
      <c r="A11" s="127"/>
      <c r="B11" s="123"/>
    </row>
    <row r="12" spans="1:2" x14ac:dyDescent="0.2">
      <c r="A12" s="127"/>
      <c r="B12" s="123"/>
    </row>
    <row r="13" spans="1:2" x14ac:dyDescent="0.2">
      <c r="A13" s="127"/>
      <c r="B13" s="123"/>
    </row>
    <row r="14" spans="1:2" x14ac:dyDescent="0.2">
      <c r="A14" s="127"/>
      <c r="B14" s="123"/>
    </row>
    <row r="15" spans="1:2" x14ac:dyDescent="0.2">
      <c r="A15" s="127"/>
      <c r="B15" s="123"/>
    </row>
    <row r="16" spans="1:2" x14ac:dyDescent="0.2">
      <c r="A16" s="127"/>
      <c r="B16" s="123"/>
    </row>
    <row r="17" spans="1:2" x14ac:dyDescent="0.2">
      <c r="A17" s="127"/>
      <c r="B17" s="123"/>
    </row>
    <row r="18" spans="1:2" x14ac:dyDescent="0.2">
      <c r="A18" s="127"/>
      <c r="B18" s="123"/>
    </row>
    <row r="19" spans="1:2" x14ac:dyDescent="0.2">
      <c r="A19" s="127"/>
      <c r="B19" s="123"/>
    </row>
    <row r="20" spans="1:2" x14ac:dyDescent="0.2">
      <c r="A20" s="127"/>
      <c r="B20" s="123"/>
    </row>
    <row r="21" spans="1:2" x14ac:dyDescent="0.2">
      <c r="A21" s="127"/>
      <c r="B21" s="123"/>
    </row>
    <row r="22" spans="1:2" x14ac:dyDescent="0.2">
      <c r="A22" s="127"/>
      <c r="B22" s="123"/>
    </row>
    <row r="23" spans="1:2" x14ac:dyDescent="0.2">
      <c r="A23" s="127"/>
      <c r="B23" s="123"/>
    </row>
    <row r="24" spans="1:2" x14ac:dyDescent="0.2">
      <c r="A24" s="127"/>
      <c r="B24" s="123"/>
    </row>
    <row r="25" spans="1:2" x14ac:dyDescent="0.2">
      <c r="A25" s="127"/>
      <c r="B25" s="123"/>
    </row>
    <row r="26" spans="1:2" x14ac:dyDescent="0.2">
      <c r="A26" s="127"/>
      <c r="B26" s="123"/>
    </row>
    <row r="27" spans="1:2" x14ac:dyDescent="0.2">
      <c r="A27" s="127"/>
      <c r="B27" s="123"/>
    </row>
    <row r="28" spans="1:2" x14ac:dyDescent="0.2">
      <c r="A28" s="127"/>
      <c r="B28" s="123"/>
    </row>
    <row r="29" spans="1:2" x14ac:dyDescent="0.2">
      <c r="A29" s="127"/>
      <c r="B29" s="123"/>
    </row>
    <row r="30" spans="1:2" x14ac:dyDescent="0.2">
      <c r="A30" s="127"/>
      <c r="B30" s="123"/>
    </row>
    <row r="31" spans="1:2" x14ac:dyDescent="0.2">
      <c r="A31" s="127"/>
      <c r="B31" s="123"/>
    </row>
    <row r="32" spans="1:2" x14ac:dyDescent="0.2">
      <c r="A32" s="127"/>
      <c r="B32" s="123"/>
    </row>
    <row r="33" spans="1:2" x14ac:dyDescent="0.2">
      <c r="A33" s="127"/>
      <c r="B33" s="123"/>
    </row>
    <row r="34" spans="1:2" x14ac:dyDescent="0.2">
      <c r="A34" s="127"/>
      <c r="B34" s="123"/>
    </row>
    <row r="35" spans="1:2" x14ac:dyDescent="0.2">
      <c r="A35" s="127"/>
      <c r="B35" s="123"/>
    </row>
    <row r="36" spans="1:2" x14ac:dyDescent="0.2">
      <c r="A36" s="127"/>
      <c r="B36" s="123"/>
    </row>
    <row r="37" spans="1:2" x14ac:dyDescent="0.2">
      <c r="A37" s="127"/>
      <c r="B37" s="123"/>
    </row>
    <row r="38" spans="1:2" x14ac:dyDescent="0.2">
      <c r="A38" s="127"/>
      <c r="B38" s="123"/>
    </row>
    <row r="39" spans="1:2" x14ac:dyDescent="0.2">
      <c r="A39" s="127"/>
      <c r="B39" s="123"/>
    </row>
    <row r="40" spans="1:2" x14ac:dyDescent="0.2">
      <c r="A40" s="127"/>
      <c r="B40" s="123"/>
    </row>
    <row r="41" spans="1:2" x14ac:dyDescent="0.2">
      <c r="A41" s="127"/>
      <c r="B41" s="123"/>
    </row>
    <row r="42" spans="1:2" x14ac:dyDescent="0.2">
      <c r="A42" s="127"/>
      <c r="B42" s="123"/>
    </row>
    <row r="43" spans="1:2" x14ac:dyDescent="0.2">
      <c r="A43" s="127"/>
      <c r="B43" s="123"/>
    </row>
    <row r="44" spans="1:2" x14ac:dyDescent="0.2">
      <c r="A44" s="127"/>
      <c r="B44" s="123"/>
    </row>
    <row r="45" spans="1:2" x14ac:dyDescent="0.2">
      <c r="A45" s="127"/>
      <c r="B45" s="123"/>
    </row>
    <row r="46" spans="1:2" x14ac:dyDescent="0.2">
      <c r="A46" s="127"/>
      <c r="B46" s="123"/>
    </row>
    <row r="47" spans="1:2" x14ac:dyDescent="0.2">
      <c r="A47" s="127"/>
      <c r="B47" s="123"/>
    </row>
    <row r="48" spans="1:2" x14ac:dyDescent="0.2">
      <c r="A48" s="127"/>
      <c r="B48" s="123"/>
    </row>
    <row r="49" spans="1:2" x14ac:dyDescent="0.2">
      <c r="A49" s="127"/>
      <c r="B49" s="123"/>
    </row>
    <row r="50" spans="1:2" x14ac:dyDescent="0.2">
      <c r="A50" s="127"/>
      <c r="B50" s="123"/>
    </row>
    <row r="51" spans="1:2" x14ac:dyDescent="0.2">
      <c r="A51" s="127"/>
      <c r="B51" s="123"/>
    </row>
    <row r="52" spans="1:2" x14ac:dyDescent="0.2">
      <c r="A52" s="127"/>
      <c r="B52" s="123"/>
    </row>
    <row r="53" spans="1:2" x14ac:dyDescent="0.2">
      <c r="A53" s="127"/>
      <c r="B53" s="123"/>
    </row>
  </sheetData>
  <phoneticPr fontId="4" type="noConversion"/>
  <pageMargins left="0.75000000000000011" right="0.75000000000000011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Roll Stock Checklist</vt:lpstr>
      <vt:lpstr>ICM</vt:lpstr>
      <vt:lpstr> S+R</vt:lpstr>
      <vt:lpstr>Drawing</vt:lpstr>
      <vt:lpstr>Print Direction Chart</vt:lpstr>
      <vt:lpstr>GL Codes</vt:lpstr>
      <vt:lpstr>Cust Specific</vt:lpstr>
      <vt:lpstr>'GL Codes'!Print_Area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flexrip</dc:creator>
  <cp:lastModifiedBy>Parker, Holly</cp:lastModifiedBy>
  <cp:lastPrinted>2016-02-26T16:07:01Z</cp:lastPrinted>
  <dcterms:created xsi:type="dcterms:W3CDTF">2010-11-26T20:02:27Z</dcterms:created>
  <dcterms:modified xsi:type="dcterms:W3CDTF">2017-01-10T18:48:37Z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